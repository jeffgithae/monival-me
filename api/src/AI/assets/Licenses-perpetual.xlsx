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https://dynamicsafrica.sharepoint.com/sites/DynamicsAfrica/Dynamics Africa/CSP/Reference Price List/2024/July/"/>
    </mc:Choice>
  </mc:AlternateContent>
  <xr:revisionPtr revIDLastSave="5" documentId="14_{EA91823E-3942-4D16-8349-25915953F9E7}" xr6:coauthVersionLast="47" xr6:coauthVersionMax="47" xr10:uidLastSave="{8802D56E-3D16-49E0-A457-B938E47AE88D}"/>
  <bookViews>
    <workbookView xWindow="-120" yWindow="-120" windowWidth="20730" windowHeight="11040" tabRatio="596" firstSheet="1" activeTab="1" xr2:uid="{CB0BB03D-7E0F-46B2-AF92-C54825D641DD}"/>
  </bookViews>
  <sheets>
    <sheet name="Notes &amp; Instructions" sheetId="3" r:id="rId1"/>
    <sheet name="Corporate Reseller USD" sheetId="10" r:id="rId2"/>
    <sheet name="Academic Reseller USD" sheetId="9" r:id="rId3"/>
    <sheet name="Charity Reseller USD" sheetId="5" r:id="rId4"/>
    <sheet name="Perpetual Software USD" sheetId="11" r:id="rId5"/>
    <sheet name="CSP Software USD" sheetId="12" r:id="rId6"/>
    <sheet name="Incentives Guide" sheetId="4" r:id="rId7"/>
  </sheets>
  <definedNames>
    <definedName name="_xlnm._FilterDatabase" localSheetId="2" hidden="1">'Academic Reseller USD'!$A$1:$F$492</definedName>
    <definedName name="_xlnm._FilterDatabase" localSheetId="3" hidden="1">'Charity Reseller USD'!$A$1:$M$27</definedName>
    <definedName name="_xlnm._FilterDatabase" localSheetId="1" hidden="1">'Corporate Reseller USD'!$A$1:$M$8</definedName>
    <definedName name="_xlnm._FilterDatabase" localSheetId="5" hidden="1">'CSP Software USD'!$A$1:$I$50</definedName>
    <definedName name="_xlnm._FilterDatabase" localSheetId="4" hidden="1">'Perpetual Software USD'!$A$1:$H$205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28" i="5" l="1"/>
  <c r="H205" i="11" l="1"/>
  <c r="H204" i="11"/>
  <c r="H203" i="11"/>
  <c r="H202" i="11"/>
  <c r="H201" i="11"/>
  <c r="H200" i="11"/>
  <c r="H199" i="11"/>
  <c r="H198" i="11"/>
  <c r="H197" i="11"/>
  <c r="H196" i="11"/>
  <c r="H195" i="11"/>
  <c r="H194" i="11"/>
  <c r="H193" i="11"/>
  <c r="H192" i="11"/>
  <c r="H191" i="11"/>
  <c r="H190" i="11"/>
  <c r="H189" i="11"/>
  <c r="H188" i="11"/>
  <c r="H187" i="11"/>
  <c r="H186" i="11"/>
  <c r="H185" i="11"/>
  <c r="H184" i="11"/>
  <c r="H183" i="11"/>
  <c r="H182" i="11"/>
  <c r="H181" i="11"/>
  <c r="H180" i="11"/>
  <c r="H179" i="11"/>
  <c r="H178" i="11"/>
  <c r="H177" i="11"/>
  <c r="H176" i="11"/>
  <c r="H175" i="11"/>
  <c r="H174" i="11"/>
  <c r="H173" i="11"/>
  <c r="H172" i="11"/>
  <c r="H171" i="11"/>
  <c r="H170" i="11"/>
  <c r="H169" i="11"/>
  <c r="H168" i="11"/>
  <c r="H167" i="11"/>
  <c r="H166" i="11"/>
  <c r="H165" i="11"/>
  <c r="H164" i="11"/>
  <c r="H163" i="11"/>
  <c r="H162" i="11"/>
  <c r="H161" i="11"/>
  <c r="H160" i="11"/>
  <c r="H159" i="11"/>
  <c r="H158" i="11"/>
  <c r="H157" i="11"/>
  <c r="H156" i="11"/>
  <c r="H155" i="11"/>
  <c r="H154" i="11"/>
  <c r="H153" i="11"/>
  <c r="H152" i="11"/>
  <c r="H151" i="11"/>
  <c r="H150" i="11"/>
  <c r="H149" i="11"/>
  <c r="H148" i="11"/>
  <c r="H147" i="11"/>
  <c r="H146" i="11"/>
  <c r="H145" i="11"/>
  <c r="H144" i="11"/>
  <c r="H143" i="11"/>
  <c r="H142" i="11"/>
  <c r="H141" i="11"/>
  <c r="H140" i="11"/>
  <c r="H139" i="11"/>
  <c r="H138" i="11"/>
  <c r="H137" i="11"/>
  <c r="H136" i="11"/>
  <c r="H135" i="11"/>
  <c r="H134" i="11"/>
  <c r="H133" i="11"/>
  <c r="H132" i="11"/>
  <c r="H131" i="11"/>
  <c r="H130" i="11"/>
  <c r="H129" i="11"/>
  <c r="H128" i="11"/>
  <c r="H127" i="11"/>
  <c r="H126" i="11"/>
  <c r="H125" i="11"/>
  <c r="H124" i="11"/>
  <c r="H123" i="11"/>
  <c r="H122" i="11"/>
  <c r="H121" i="11"/>
  <c r="H120" i="11"/>
  <c r="H119" i="11"/>
  <c r="H118" i="11"/>
  <c r="H117" i="11"/>
  <c r="H116" i="11"/>
  <c r="H115" i="11"/>
  <c r="H114" i="11"/>
  <c r="H113" i="11"/>
  <c r="H112" i="11"/>
  <c r="H111" i="11"/>
  <c r="H110" i="11"/>
  <c r="H109" i="11"/>
  <c r="H108" i="11"/>
  <c r="H107" i="11"/>
  <c r="H106" i="11"/>
  <c r="H105" i="11"/>
  <c r="H104" i="11"/>
  <c r="H103" i="11"/>
  <c r="H102" i="11"/>
  <c r="H101" i="11"/>
  <c r="H100" i="11"/>
  <c r="H99" i="11"/>
  <c r="H98" i="11"/>
  <c r="H97" i="11"/>
  <c r="H96" i="11"/>
  <c r="H95" i="11"/>
  <c r="H94" i="11"/>
  <c r="H93" i="11"/>
  <c r="H92" i="11"/>
  <c r="H91" i="11"/>
  <c r="H90" i="11"/>
  <c r="H89" i="11"/>
  <c r="H88" i="11"/>
  <c r="H87" i="11"/>
  <c r="H86" i="11"/>
  <c r="H85" i="11"/>
  <c r="H84" i="11"/>
  <c r="H83" i="11"/>
  <c r="H82" i="11"/>
  <c r="H81" i="11"/>
  <c r="H80" i="11"/>
  <c r="H79" i="11"/>
  <c r="H78" i="11"/>
  <c r="H77" i="11"/>
  <c r="H76" i="11"/>
  <c r="H75" i="11"/>
  <c r="H74" i="11"/>
  <c r="H73" i="11"/>
  <c r="H72" i="11"/>
  <c r="H71" i="11"/>
  <c r="H70" i="11"/>
  <c r="H69" i="11"/>
  <c r="H68" i="11"/>
  <c r="H67" i="11"/>
  <c r="H66" i="11"/>
  <c r="H65" i="11"/>
  <c r="H64" i="11"/>
  <c r="H63" i="11"/>
  <c r="H62" i="11"/>
  <c r="H61" i="11"/>
  <c r="H60" i="11"/>
  <c r="H59" i="11"/>
  <c r="H58" i="11"/>
  <c r="H57" i="11"/>
  <c r="H56" i="11"/>
  <c r="H55" i="11"/>
  <c r="H54" i="11"/>
  <c r="H53" i="11"/>
  <c r="H52" i="11"/>
  <c r="H51" i="11"/>
  <c r="H50" i="11"/>
  <c r="H49" i="11"/>
  <c r="H48" i="11"/>
  <c r="H47" i="11"/>
  <c r="H46" i="11"/>
  <c r="H45" i="11"/>
  <c r="H44" i="11"/>
  <c r="H43" i="11"/>
  <c r="H42" i="11"/>
  <c r="H41" i="11"/>
  <c r="H40" i="11"/>
  <c r="H39" i="11"/>
  <c r="H38" i="11"/>
  <c r="H37" i="11"/>
  <c r="H36" i="11"/>
  <c r="H35" i="11"/>
  <c r="H34" i="11"/>
  <c r="H33" i="11"/>
  <c r="H32" i="11"/>
  <c r="H31" i="11"/>
  <c r="H30" i="11"/>
  <c r="H29" i="11"/>
  <c r="H28" i="11"/>
  <c r="H27" i="11"/>
  <c r="H26" i="11"/>
  <c r="H25" i="11"/>
  <c r="H24" i="11"/>
  <c r="H23" i="11"/>
  <c r="H22" i="11"/>
  <c r="H21" i="11"/>
  <c r="H20" i="11"/>
  <c r="H19" i="11"/>
  <c r="H18" i="11"/>
  <c r="H17" i="11"/>
  <c r="H16" i="11"/>
  <c r="H15" i="11"/>
  <c r="H14" i="11"/>
  <c r="H13" i="11"/>
  <c r="H12" i="11"/>
  <c r="H11" i="11"/>
  <c r="H10" i="11"/>
  <c r="H9" i="11"/>
  <c r="H8" i="11"/>
  <c r="H7" i="11"/>
  <c r="H6" i="11"/>
  <c r="H5" i="11"/>
  <c r="H4" i="11"/>
  <c r="H3" i="11"/>
  <c r="H2" i="11"/>
  <c r="I58" i="12"/>
  <c r="I57" i="12"/>
  <c r="I56" i="12"/>
  <c r="I55" i="12"/>
  <c r="I54" i="12"/>
  <c r="I53" i="12"/>
  <c r="I52" i="12"/>
  <c r="I51" i="12"/>
  <c r="I50" i="12"/>
  <c r="I49" i="12"/>
  <c r="I48" i="12"/>
  <c r="I47" i="12"/>
  <c r="I46" i="12"/>
  <c r="I45" i="12"/>
  <c r="I44" i="12"/>
  <c r="I43" i="12"/>
  <c r="I42" i="12"/>
  <c r="I41" i="12"/>
  <c r="I40" i="12"/>
  <c r="I39" i="12"/>
  <c r="I38" i="12"/>
  <c r="I37" i="12"/>
  <c r="I36" i="12"/>
  <c r="I35" i="12"/>
  <c r="I34" i="12"/>
  <c r="I33" i="12"/>
  <c r="I32" i="12"/>
  <c r="I31" i="12"/>
  <c r="I30" i="12"/>
  <c r="I29" i="12"/>
  <c r="I28" i="12"/>
  <c r="I27" i="12"/>
  <c r="I26" i="12"/>
  <c r="I25" i="12"/>
  <c r="I24" i="12"/>
  <c r="I23" i="12"/>
  <c r="I22" i="12"/>
  <c r="I21" i="12"/>
  <c r="I20" i="12"/>
  <c r="I19" i="12"/>
  <c r="H19" i="12"/>
  <c r="G19" i="12"/>
  <c r="I18" i="12"/>
  <c r="I17" i="12"/>
  <c r="I16" i="12"/>
  <c r="H15" i="12"/>
  <c r="G15" i="12"/>
  <c r="I15" i="12" s="1"/>
  <c r="I14" i="12"/>
  <c r="I13" i="12"/>
  <c r="I12" i="12"/>
  <c r="I11" i="12"/>
  <c r="I10" i="12"/>
  <c r="I9" i="12"/>
  <c r="I8" i="12"/>
  <c r="I7" i="12"/>
  <c r="I6" i="12"/>
  <c r="I5" i="12"/>
  <c r="I4" i="12"/>
  <c r="I3" i="12"/>
  <c r="I2" i="12"/>
  <c r="F194" i="5" l="1"/>
  <c r="F195" i="5"/>
  <c r="F196" i="5"/>
  <c r="F197" i="5"/>
  <c r="F198" i="5"/>
  <c r="F199" i="5"/>
  <c r="F200" i="5"/>
  <c r="F201" i="5"/>
  <c r="F193" i="5"/>
  <c r="F169" i="5"/>
  <c r="F170" i="5"/>
  <c r="F474" i="9"/>
  <c r="F475" i="9"/>
  <c r="F476" i="9"/>
  <c r="F477" i="9"/>
  <c r="F478" i="9"/>
  <c r="F479" i="9"/>
  <c r="F480" i="9"/>
  <c r="F481" i="9"/>
  <c r="F482" i="9"/>
  <c r="F483" i="9"/>
  <c r="F484" i="9"/>
  <c r="F485" i="9"/>
  <c r="F486" i="9"/>
  <c r="F487" i="9"/>
  <c r="F488" i="9"/>
  <c r="F489" i="9"/>
  <c r="F460" i="9"/>
  <c r="F461" i="9"/>
  <c r="F185" i="9"/>
  <c r="F186" i="9"/>
  <c r="F190" i="5" l="1"/>
  <c r="F189" i="5"/>
  <c r="F456" i="9"/>
  <c r="F455" i="9"/>
  <c r="F454" i="9"/>
  <c r="F453" i="9"/>
  <c r="F548" i="9"/>
  <c r="F549" i="9"/>
  <c r="F550" i="9"/>
  <c r="F551" i="9"/>
  <c r="F552" i="9"/>
  <c r="F42" i="9"/>
  <c r="F150" i="9" l="1"/>
  <c r="F151" i="9"/>
  <c r="F528" i="9"/>
  <c r="F527" i="9"/>
  <c r="F61" i="5" l="1"/>
  <c r="F112" i="5"/>
  <c r="F540" i="9"/>
  <c r="F541" i="9"/>
  <c r="F542" i="9"/>
  <c r="F543" i="9"/>
  <c r="F544" i="9"/>
  <c r="F545" i="9"/>
  <c r="F546" i="9"/>
  <c r="F547" i="9"/>
  <c r="F430" i="9"/>
  <c r="F429" i="9"/>
  <c r="F70" i="5"/>
  <c r="F111" i="5"/>
  <c r="F110" i="5"/>
  <c r="F123" i="9"/>
  <c r="F124" i="9"/>
  <c r="F426" i="9"/>
  <c r="F427" i="9"/>
  <c r="F428" i="9"/>
  <c r="F425" i="9"/>
  <c r="F333" i="5" l="1"/>
  <c r="F332" i="5"/>
  <c r="F536" i="9"/>
  <c r="F535" i="9"/>
  <c r="F207" i="5"/>
  <c r="F208" i="5"/>
  <c r="F209" i="5"/>
  <c r="F210" i="5"/>
  <c r="F211" i="5"/>
  <c r="F212" i="5"/>
  <c r="F206" i="5"/>
  <c r="F516" i="9"/>
  <c r="F517" i="9"/>
  <c r="F506" i="9"/>
  <c r="F507" i="9"/>
  <c r="F508" i="9"/>
  <c r="F509" i="9"/>
  <c r="F510" i="9"/>
  <c r="F511" i="9"/>
  <c r="F512" i="9"/>
  <c r="F513" i="9"/>
  <c r="F514" i="9"/>
  <c r="F505" i="9"/>
  <c r="F30" i="5"/>
  <c r="F31" i="5"/>
  <c r="F32" i="5"/>
  <c r="F34" i="5"/>
  <c r="F35" i="5"/>
  <c r="F36" i="5"/>
  <c r="F37" i="5"/>
  <c r="F38" i="5"/>
  <c r="F40" i="5"/>
  <c r="F41" i="5"/>
  <c r="F42" i="5"/>
  <c r="F44" i="5"/>
  <c r="F46" i="5"/>
  <c r="F47" i="5"/>
  <c r="F50" i="5"/>
  <c r="F51" i="5"/>
  <c r="F52" i="5"/>
  <c r="F55" i="5"/>
  <c r="F56" i="5"/>
  <c r="F58" i="5"/>
  <c r="F60" i="5"/>
  <c r="F63" i="5"/>
  <c r="F64" i="5"/>
  <c r="F65" i="5"/>
  <c r="F66" i="5"/>
  <c r="F67" i="5"/>
  <c r="F74" i="5"/>
  <c r="F76" i="5"/>
  <c r="F80" i="5"/>
  <c r="F81" i="5"/>
  <c r="F84" i="5"/>
  <c r="F87" i="5"/>
  <c r="F88" i="5"/>
  <c r="F89" i="5"/>
  <c r="F90" i="5"/>
  <c r="F91" i="5"/>
  <c r="F92" i="5"/>
  <c r="F93" i="5"/>
  <c r="F94" i="5"/>
  <c r="F95" i="5"/>
  <c r="F96" i="5"/>
  <c r="F97" i="5"/>
  <c r="F102" i="5"/>
  <c r="F103" i="5"/>
  <c r="F106" i="5"/>
  <c r="F109" i="5"/>
  <c r="F115" i="5"/>
  <c r="F117" i="5"/>
  <c r="F118" i="5"/>
  <c r="F119" i="5"/>
  <c r="F120" i="5"/>
  <c r="F121" i="5"/>
  <c r="F124" i="5"/>
  <c r="F125" i="5"/>
  <c r="F127" i="5"/>
  <c r="F128" i="5"/>
  <c r="F129" i="5"/>
  <c r="F130" i="5"/>
  <c r="F131" i="5"/>
  <c r="F133" i="5"/>
  <c r="F134" i="5"/>
  <c r="F136" i="5"/>
  <c r="F137" i="5"/>
  <c r="F140" i="5"/>
  <c r="F141" i="5"/>
  <c r="F143" i="5"/>
  <c r="F144" i="5"/>
  <c r="F145" i="5"/>
  <c r="F146" i="5"/>
  <c r="F147" i="5"/>
  <c r="F148" i="5"/>
  <c r="F149" i="5"/>
  <c r="F150" i="5"/>
  <c r="F153" i="5"/>
  <c r="F154" i="5"/>
  <c r="F155" i="5"/>
  <c r="F158" i="5"/>
  <c r="F159" i="5"/>
  <c r="F160" i="5"/>
  <c r="F161" i="5"/>
  <c r="F162" i="5"/>
  <c r="F163" i="5"/>
  <c r="F164" i="5"/>
  <c r="F165" i="5"/>
  <c r="F168" i="5"/>
  <c r="F171" i="5"/>
  <c r="F172" i="5"/>
  <c r="F173" i="5"/>
  <c r="F174" i="5"/>
  <c r="F175" i="5"/>
  <c r="F176" i="5"/>
  <c r="F177" i="5"/>
  <c r="F178" i="5"/>
  <c r="F179" i="5"/>
  <c r="F180" i="5"/>
  <c r="F183" i="5"/>
  <c r="F184" i="5"/>
  <c r="F185" i="5"/>
  <c r="F186" i="5"/>
  <c r="F187" i="5"/>
  <c r="F188" i="5"/>
  <c r="F204" i="5"/>
  <c r="F205" i="5"/>
  <c r="F214" i="5"/>
  <c r="F216" i="5"/>
  <c r="F217" i="5"/>
  <c r="F218" i="5"/>
  <c r="F220" i="5"/>
  <c r="F223"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7" i="5"/>
  <c r="F278" i="5"/>
  <c r="F279" i="5"/>
  <c r="F280" i="5"/>
  <c r="F281" i="5"/>
  <c r="F284" i="5"/>
  <c r="F285" i="5"/>
  <c r="F286" i="5"/>
  <c r="F287" i="5"/>
  <c r="F288" i="5"/>
  <c r="F289" i="5"/>
  <c r="F290" i="5"/>
  <c r="F291" i="5"/>
  <c r="F292" i="5"/>
  <c r="F294" i="5"/>
  <c r="F297" i="5"/>
  <c r="F298" i="5"/>
  <c r="F299" i="5"/>
  <c r="F300" i="5"/>
  <c r="F301" i="5"/>
  <c r="F302" i="5"/>
  <c r="F303" i="5"/>
  <c r="F304" i="5"/>
  <c r="F305" i="5"/>
  <c r="F306" i="5"/>
  <c r="F309" i="5"/>
  <c r="F310" i="5"/>
  <c r="F311" i="5"/>
  <c r="F312" i="5"/>
  <c r="F313" i="5"/>
  <c r="F314" i="5"/>
  <c r="F315" i="5"/>
  <c r="F316" i="5"/>
  <c r="F317" i="5"/>
  <c r="F318" i="5"/>
  <c r="F321" i="5"/>
  <c r="F322" i="5"/>
  <c r="F323" i="5"/>
  <c r="F324" i="5"/>
  <c r="F327" i="5"/>
  <c r="F328" i="5"/>
  <c r="F329" i="5"/>
  <c r="F330" i="5"/>
  <c r="F331" i="5"/>
  <c r="F157" i="9"/>
  <c r="F156" i="9"/>
  <c r="F155" i="9"/>
  <c r="F154" i="9"/>
  <c r="F523" i="9" l="1"/>
  <c r="F148" i="9"/>
  <c r="F149" i="9"/>
  <c r="F152" i="9"/>
  <c r="F153" i="9"/>
  <c r="F23" i="5"/>
  <c r="F34" i="9"/>
  <c r="F33" i="9"/>
  <c r="F19" i="5" l="1"/>
  <c r="F20" i="5"/>
  <c r="F21" i="5"/>
  <c r="F22" i="5"/>
  <c r="F24" i="5"/>
  <c r="F503" i="9"/>
  <c r="F220" i="10"/>
  <c r="F12" i="10"/>
  <c r="F398" i="10" l="1"/>
  <c r="F397" i="10"/>
  <c r="F472" i="10"/>
  <c r="F471" i="10"/>
  <c r="F202" i="9" l="1"/>
  <c r="F201" i="9"/>
  <c r="F200" i="9"/>
  <c r="F199" i="9"/>
  <c r="F97" i="10"/>
  <c r="F27" i="5" l="1"/>
  <c r="F26" i="5"/>
  <c r="F25" i="5"/>
  <c r="F322" i="9"/>
  <c r="F321" i="9"/>
  <c r="F320" i="9"/>
  <c r="F319" i="9"/>
  <c r="F539" i="9"/>
  <c r="F538" i="9"/>
  <c r="F43" i="9"/>
  <c r="F61" i="9"/>
  <c r="F62" i="9"/>
  <c r="F73" i="9"/>
  <c r="F74" i="9"/>
  <c r="F473" i="9"/>
  <c r="F472" i="9"/>
  <c r="F471" i="9"/>
  <c r="F470" i="9"/>
  <c r="F469" i="9"/>
  <c r="F468" i="9"/>
  <c r="F467" i="9"/>
  <c r="F466" i="9"/>
  <c r="F217" i="9"/>
  <c r="F217" i="10"/>
  <c r="F216" i="10"/>
  <c r="F215" i="10"/>
  <c r="F387" i="10"/>
  <c r="F388" i="10"/>
  <c r="F389" i="10"/>
  <c r="F390" i="10"/>
  <c r="F458" i="10"/>
  <c r="F459" i="10"/>
  <c r="F460" i="10"/>
  <c r="F32" i="10"/>
  <c r="F332" i="10"/>
  <c r="F443" i="10"/>
  <c r="F212" i="10"/>
  <c r="F211" i="10"/>
  <c r="F448" i="9" l="1"/>
  <c r="F446" i="9"/>
  <c r="F526" i="9"/>
  <c r="F425" i="10"/>
  <c r="F462" i="10"/>
  <c r="F461" i="10"/>
  <c r="F412" i="10"/>
  <c r="F72" i="9" l="1"/>
  <c r="F417" i="9" l="1"/>
  <c r="F418" i="9"/>
  <c r="F419" i="9"/>
  <c r="F416" i="9"/>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23" i="10"/>
  <c r="F319" i="10"/>
  <c r="F403" i="10"/>
  <c r="F195" i="9"/>
  <c r="F196" i="9"/>
  <c r="F197" i="9"/>
  <c r="F198" i="9"/>
  <c r="F192" i="10"/>
  <c r="F193" i="10"/>
  <c r="F469" i="10"/>
  <c r="F431" i="10"/>
  <c r="F430" i="10"/>
  <c r="F338" i="9" l="1"/>
  <c r="F337" i="9"/>
  <c r="F382" i="9"/>
  <c r="F381" i="9"/>
  <c r="F275" i="10"/>
  <c r="F274" i="10"/>
  <c r="F347" i="10"/>
  <c r="F448" i="10"/>
  <c r="F301" i="10"/>
  <c r="F300" i="10"/>
  <c r="F109" i="9"/>
  <c r="F110" i="9"/>
  <c r="F111" i="9"/>
  <c r="F112"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20" i="9"/>
  <c r="F213" i="10"/>
  <c r="F214" i="10"/>
  <c r="F66" i="10" l="1"/>
  <c r="F65"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37" i="10"/>
  <c r="F209" i="10"/>
  <c r="F210" i="10"/>
  <c r="F534" i="9" l="1"/>
  <c r="F533" i="9"/>
  <c r="F531" i="9" l="1"/>
  <c r="F467" i="10"/>
  <c r="F465" i="10"/>
  <c r="F525" i="9" l="1"/>
  <c r="F524" i="9"/>
  <c r="F457" i="10"/>
  <c r="F171" i="10"/>
  <c r="F170" i="10"/>
  <c r="F169" i="10"/>
  <c r="F340" i="10"/>
  <c r="F339" i="10"/>
  <c r="F456" i="10"/>
  <c r="F288" i="10" l="1"/>
  <c r="F16" i="10" l="1"/>
  <c r="F355" i="10" l="1"/>
  <c r="F353" i="10"/>
  <c r="F352" i="10"/>
  <c r="F351" i="10"/>
  <c r="F95" i="10" l="1"/>
  <c r="F107" i="10"/>
  <c r="F83" i="9" l="1"/>
  <c r="F521" i="9" l="1"/>
  <c r="F520" i="9"/>
  <c r="F387" i="9"/>
  <c r="F388" i="9"/>
  <c r="F389" i="9"/>
  <c r="F390" i="9"/>
  <c r="F391" i="9"/>
  <c r="F392" i="9"/>
  <c r="F393" i="9"/>
  <c r="F386" i="9"/>
  <c r="F205" i="9"/>
  <c r="F455" i="10"/>
  <c r="F354" i="10" l="1"/>
  <c r="F356" i="10"/>
  <c r="F79" i="10"/>
  <c r="F350" i="10"/>
  <c r="F196" i="10"/>
  <c r="F109" i="10" l="1"/>
  <c r="F161" i="9"/>
  <c r="F160" i="9"/>
  <c r="F44" i="9"/>
  <c r="F312" i="9" l="1"/>
  <c r="F313" i="9"/>
  <c r="F311" i="9"/>
  <c r="F357" i="9"/>
  <c r="F356" i="9"/>
  <c r="F38" i="9"/>
  <c r="F37" i="9"/>
  <c r="F382" i="10"/>
  <c r="F101" i="10"/>
  <c r="F298" i="10"/>
  <c r="F106" i="10"/>
  <c r="F191" i="10" l="1"/>
  <c r="F310" i="9" l="1"/>
  <c r="F314" i="9"/>
  <c r="F315" i="9"/>
  <c r="F316" i="9"/>
  <c r="F317" i="9"/>
  <c r="F318" i="9"/>
  <c r="F381" i="10"/>
  <c r="F383" i="10"/>
  <c r="F384" i="10"/>
  <c r="F385" i="10"/>
  <c r="F386" i="10"/>
  <c r="F380" i="10"/>
  <c r="F79" i="9" l="1"/>
  <c r="F78" i="9"/>
  <c r="F24" i="10"/>
  <c r="F168" i="10"/>
  <c r="F167" i="10"/>
  <c r="F28" i="10" l="1"/>
  <c r="F452" i="9" l="1"/>
  <c r="F451" i="9"/>
  <c r="F450" i="9"/>
  <c r="F449" i="9"/>
  <c r="F65" i="9" l="1"/>
  <c r="F66" i="9"/>
  <c r="F67" i="9"/>
  <c r="F68" i="9"/>
  <c r="F69" i="9"/>
  <c r="F64" i="9"/>
  <c r="F194" i="9"/>
  <c r="F193" i="9"/>
  <c r="F435" i="10"/>
  <c r="F434" i="10"/>
  <c r="F166" i="10"/>
  <c r="F35" i="10"/>
  <c r="F36" i="10"/>
  <c r="F37" i="10"/>
  <c r="F451" i="10"/>
  <c r="F452" i="10"/>
  <c r="F41" i="9" l="1"/>
  <c r="F33" i="10"/>
  <c r="F31" i="10"/>
  <c r="F77" i="10" l="1"/>
  <c r="F78" i="10"/>
  <c r="F406" i="9" l="1"/>
  <c r="F407" i="9"/>
  <c r="F408" i="9"/>
  <c r="F409" i="9"/>
  <c r="F410" i="9"/>
  <c r="F411" i="9"/>
  <c r="F412" i="9"/>
  <c r="F405" i="9"/>
  <c r="F369" i="10"/>
  <c r="F370" i="10"/>
  <c r="F371" i="10"/>
  <c r="F372" i="10"/>
  <c r="F373" i="10"/>
  <c r="F374" i="10"/>
  <c r="F375" i="10"/>
  <c r="F376" i="10"/>
  <c r="F377" i="10"/>
  <c r="F368" i="10"/>
  <c r="F73" i="10" l="1"/>
  <c r="F379" i="9" l="1"/>
  <c r="F378" i="9"/>
  <c r="F345" i="10"/>
  <c r="F330" i="10"/>
  <c r="F327" i="10"/>
  <c r="F325" i="10"/>
  <c r="F365" i="10"/>
  <c r="F360" i="10"/>
  <c r="F343" i="10"/>
  <c r="F306" i="10"/>
  <c r="F304" i="10"/>
  <c r="F297" i="10"/>
  <c r="F294" i="10"/>
  <c r="F292" i="10"/>
  <c r="F206" i="10"/>
  <c r="F189" i="10" l="1"/>
  <c r="F187" i="10"/>
  <c r="F185" i="10"/>
  <c r="F183" i="10" l="1"/>
  <c r="F181" i="10"/>
  <c r="F51" i="10" l="1"/>
  <c r="F362" i="9" l="1"/>
  <c r="F140" i="9" l="1"/>
  <c r="F502" i="9"/>
  <c r="F429" i="10" l="1"/>
  <c r="F428" i="10"/>
  <c r="F446" i="10"/>
  <c r="F287" i="10"/>
  <c r="F285" i="10"/>
  <c r="F283" i="10"/>
  <c r="F281" i="10"/>
  <c r="F208" i="10"/>
  <c r="F235" i="10"/>
  <c r="F232" i="10"/>
  <c r="F203" i="10"/>
  <c r="F201" i="10"/>
  <c r="F498" i="9" l="1"/>
  <c r="F494" i="9"/>
  <c r="F465" i="9"/>
  <c r="F464" i="9"/>
  <c r="F399" i="10"/>
  <c r="F19" i="9" l="1"/>
  <c r="F18" i="9"/>
  <c r="F180" i="10" l="1"/>
  <c r="F3" i="9" l="1"/>
  <c r="F4" i="9"/>
  <c r="F5" i="9"/>
  <c r="F6" i="9"/>
  <c r="F317" i="10"/>
  <c r="F316" i="10"/>
  <c r="F315" i="10"/>
  <c r="F314" i="10"/>
  <c r="F313" i="10"/>
  <c r="F312" i="10"/>
  <c r="F311" i="10"/>
  <c r="F310" i="10"/>
  <c r="F309" i="10"/>
  <c r="F188" i="10"/>
  <c r="F186" i="10"/>
  <c r="F184" i="10"/>
  <c r="F182" i="10"/>
  <c r="F173" i="10"/>
  <c r="F172" i="10"/>
  <c r="F165" i="10"/>
  <c r="F164" i="10"/>
  <c r="F163" i="10"/>
  <c r="F161" i="10"/>
  <c r="F120" i="10"/>
  <c r="F114" i="10"/>
  <c r="F112" i="10"/>
  <c r="F90" i="10"/>
  <c r="F89" i="10"/>
  <c r="F88" i="10"/>
  <c r="F87" i="10"/>
  <c r="F86" i="10"/>
  <c r="F83" i="10"/>
  <c r="F82" i="10"/>
  <c r="F71" i="10"/>
  <c r="F70" i="10"/>
  <c r="F69" i="10"/>
  <c r="F64" i="10"/>
  <c r="F63" i="10"/>
  <c r="F62" i="10"/>
  <c r="F61" i="10"/>
  <c r="F60" i="10"/>
  <c r="F59" i="10"/>
  <c r="F56" i="10"/>
  <c r="F55" i="10"/>
  <c r="F50" i="10"/>
  <c r="F49" i="10"/>
  <c r="F48" i="10"/>
  <c r="F47" i="10"/>
  <c r="F41" i="10"/>
  <c r="F40" i="10"/>
  <c r="F39" i="10"/>
  <c r="F30" i="10"/>
  <c r="F29" i="10"/>
  <c r="F26" i="10"/>
  <c r="F25" i="10"/>
  <c r="F23" i="10"/>
  <c r="F21" i="10"/>
  <c r="F19" i="10"/>
  <c r="F17" i="10"/>
  <c r="F15" i="10"/>
  <c r="F11" i="10"/>
  <c r="F10" i="10"/>
  <c r="F8" i="10"/>
  <c r="F7" i="10"/>
  <c r="F6" i="10"/>
  <c r="F5" i="10"/>
  <c r="F4" i="10"/>
  <c r="F3" i="10"/>
  <c r="F354" i="9" l="1"/>
  <c r="F457" i="9"/>
  <c r="F293" i="9"/>
  <c r="F447" i="9"/>
  <c r="F445" i="9"/>
  <c r="F442" i="9"/>
  <c r="F441" i="9"/>
  <c r="F440" i="9"/>
  <c r="F327" i="9"/>
  <c r="F325" i="9"/>
  <c r="F215" i="9"/>
  <c r="F214" i="9"/>
  <c r="F213" i="9"/>
  <c r="F364" i="9"/>
  <c r="F363" i="9"/>
  <c r="F361" i="9"/>
  <c r="F360" i="9"/>
  <c r="F335" i="9"/>
  <c r="F334" i="9"/>
  <c r="F211" i="9"/>
  <c r="F210" i="9"/>
  <c r="F209" i="9"/>
  <c r="F208" i="9"/>
  <c r="F402" i="9"/>
  <c r="F401" i="9"/>
  <c r="F377" i="9"/>
  <c r="F376" i="9"/>
  <c r="F375" i="9"/>
  <c r="F374" i="9"/>
  <c r="F326" i="10"/>
  <c r="F324" i="10"/>
  <c r="F437" i="10"/>
  <c r="F219" i="10"/>
  <c r="F432" i="10"/>
  <c r="F427" i="10"/>
  <c r="F426" i="10"/>
  <c r="F424" i="10"/>
  <c r="F423" i="10"/>
  <c r="F420" i="10"/>
  <c r="F419" i="10"/>
  <c r="F416" i="10"/>
  <c r="F415" i="10"/>
  <c r="F227" i="10"/>
  <c r="F207" i="10"/>
  <c r="F205" i="10"/>
  <c r="F305" i="10"/>
  <c r="F303" i="10"/>
  <c r="F234" i="10"/>
  <c r="F231" i="10"/>
  <c r="F224" i="10"/>
  <c r="F223" i="10"/>
  <c r="F222" i="10"/>
  <c r="F321" i="10"/>
  <c r="F202" i="10"/>
  <c r="F200" i="10"/>
  <c r="F364" i="10"/>
  <c r="F362" i="10"/>
  <c r="F361" i="10"/>
  <c r="F359" i="10"/>
  <c r="F344" i="10"/>
  <c r="F342" i="10"/>
  <c r="F17" i="5" l="1"/>
  <c r="F463" i="9" l="1"/>
  <c r="F462" i="9"/>
  <c r="F328" i="10"/>
  <c r="F442" i="10" l="1"/>
  <c r="F191" i="9" l="1"/>
  <c r="F190" i="9"/>
  <c r="F189" i="9"/>
  <c r="F184" i="9"/>
  <c r="F183" i="9"/>
  <c r="F13" i="5" l="1"/>
  <c r="F496" i="9"/>
  <c r="F492" i="9"/>
  <c r="F47" i="9" l="1"/>
  <c r="F48" i="9"/>
  <c r="F46" i="9"/>
  <c r="F21" i="9"/>
  <c r="F20" i="9"/>
  <c r="F17" i="9"/>
  <c r="F16" i="9"/>
  <c r="F91" i="9" l="1"/>
  <c r="F90" i="9"/>
  <c r="F89" i="9"/>
  <c r="F88" i="9"/>
  <c r="F278" i="10"/>
  <c r="F341" i="9"/>
  <c r="F342" i="9"/>
  <c r="F343" i="9"/>
  <c r="F344" i="9"/>
  <c r="F279" i="10"/>
  <c r="F441" i="10"/>
  <c r="F440" i="10"/>
  <c r="F44" i="10"/>
  <c r="F45" i="10"/>
  <c r="F43" i="10"/>
  <c r="F192" i="9" l="1"/>
  <c r="F18" i="5" l="1"/>
  <c r="F98" i="9"/>
  <c r="F97" i="9"/>
  <c r="F96" i="9"/>
  <c r="F95" i="9"/>
  <c r="F221" i="10"/>
  <c r="F135" i="9" l="1"/>
  <c r="F136" i="9"/>
  <c r="F409" i="10" l="1"/>
  <c r="F411" i="10"/>
  <c r="F408" i="10"/>
  <c r="F395" i="10"/>
  <c r="F104" i="10"/>
  <c r="F103" i="10"/>
  <c r="F355" i="9" l="1"/>
  <c r="F296" i="10" l="1"/>
  <c r="F85" i="9" l="1"/>
  <c r="F84" i="9"/>
  <c r="F349" i="9"/>
  <c r="F348" i="9"/>
  <c r="F291" i="10" l="1"/>
  <c r="F293" i="10"/>
  <c r="F295" i="10"/>
  <c r="F280" i="10"/>
  <c r="F282" i="10"/>
  <c r="F284" i="10"/>
  <c r="F286" i="10"/>
  <c r="F306" i="9" l="1"/>
  <c r="F305" i="9"/>
  <c r="F302" i="9"/>
  <c r="F372" i="9"/>
  <c r="F371" i="9"/>
  <c r="F8" i="5"/>
  <c r="F121" i="10"/>
  <c r="F118" i="10"/>
  <c r="F393" i="10"/>
  <c r="F329" i="10"/>
  <c r="F31" i="9" l="1"/>
  <c r="F174" i="9" l="1"/>
  <c r="F173" i="9"/>
  <c r="F171" i="9"/>
  <c r="F170" i="9"/>
  <c r="F167" i="9"/>
  <c r="F166" i="9"/>
  <c r="F165" i="9"/>
  <c r="F164" i="9"/>
  <c r="F138" i="9"/>
  <c r="F137" i="9"/>
  <c r="F120" i="9"/>
  <c r="F119" i="9"/>
  <c r="F118" i="9"/>
  <c r="F117" i="9"/>
  <c r="F108" i="9"/>
  <c r="F107" i="9"/>
  <c r="F106" i="9"/>
  <c r="F105" i="9"/>
  <c r="F104" i="9"/>
  <c r="F103" i="9"/>
  <c r="F102" i="9"/>
  <c r="F101" i="9"/>
  <c r="F141" i="9"/>
  <c r="F139" i="9"/>
  <c r="F29" i="9"/>
  <c r="F28" i="9"/>
  <c r="F14" i="9"/>
  <c r="F13" i="9"/>
  <c r="F11" i="9"/>
  <c r="F10" i="9"/>
  <c r="F8" i="9"/>
  <c r="F7" i="9"/>
  <c r="F437" i="9"/>
  <c r="F436" i="9"/>
  <c r="F435" i="9"/>
  <c r="F434" i="9"/>
  <c r="F433" i="9"/>
  <c r="F423" i="9"/>
  <c r="F422" i="9"/>
  <c r="F60" i="9"/>
  <c r="F59" i="9"/>
  <c r="F82" i="9"/>
  <c r="F80" i="9"/>
  <c r="F76" i="9"/>
  <c r="F75" i="9"/>
  <c r="F353" i="9"/>
  <c r="F352" i="9"/>
  <c r="F351" i="9"/>
  <c r="F350" i="9"/>
  <c r="F332" i="9"/>
  <c r="F331" i="9"/>
  <c r="F300" i="9"/>
  <c r="F299" i="9"/>
  <c r="F298" i="9"/>
  <c r="F297" i="9"/>
  <c r="F296" i="9"/>
  <c r="F295" i="9"/>
  <c r="F399" i="9"/>
  <c r="F398" i="9"/>
  <c r="F397" i="9"/>
  <c r="F396" i="9"/>
  <c r="F370" i="9"/>
  <c r="F369" i="9"/>
  <c r="F368" i="9"/>
  <c r="F367" i="9"/>
  <c r="F304" i="9"/>
  <c r="F303" i="9"/>
  <c r="F134" i="9"/>
  <c r="F133" i="9"/>
  <c r="F132" i="9"/>
  <c r="F131" i="9"/>
  <c r="F130" i="9"/>
  <c r="F129" i="9"/>
  <c r="F178" i="9"/>
  <c r="F177" i="9"/>
  <c r="F128" i="9"/>
  <c r="F127" i="9"/>
  <c r="F55" i="9"/>
  <c r="F54" i="9"/>
  <c r="F53" i="9"/>
  <c r="F52" i="9"/>
  <c r="F51" i="9"/>
  <c r="F50" i="9"/>
  <c r="F32" i="9"/>
  <c r="F15" i="5" l="1"/>
  <c r="F14" i="5"/>
  <c r="F11" i="5"/>
  <c r="F9" i="5"/>
  <c r="F6" i="5"/>
  <c r="F4" i="5"/>
  <c r="F3" i="5"/>
</calcChain>
</file>

<file path=xl/sharedStrings.xml><?xml version="1.0" encoding="utf-8"?>
<sst xmlns="http://schemas.openxmlformats.org/spreadsheetml/2006/main" count="8148" uniqueCount="2584">
  <si>
    <t>Offer Display Name</t>
  </si>
  <si>
    <t>Offer ID</t>
  </si>
  <si>
    <t>License Agreement Type</t>
  </si>
  <si>
    <t>Purchase Unit</t>
  </si>
  <si>
    <t>Secondary License Type</t>
  </si>
  <si>
    <t>End Customer Type</t>
  </si>
  <si>
    <t>Suggested Retail</t>
  </si>
  <si>
    <t>Reseller Price</t>
  </si>
  <si>
    <t>Reseller Margin</t>
  </si>
  <si>
    <t>Exchange Online (Plan 1)</t>
  </si>
  <si>
    <t>195416c1-3447-423a-b37b-ee59a99a19c4</t>
  </si>
  <si>
    <t>1 Month(s)</t>
  </si>
  <si>
    <t>NON-SPECIFIC</t>
  </si>
  <si>
    <t>CLOUD RESELLER CORPORATE</t>
  </si>
  <si>
    <t>Exchange Online (Plan 2)</t>
  </si>
  <si>
    <t>2f707c7c-2433-49a5-a437-9ca7cf40d3eb</t>
  </si>
  <si>
    <t>c082b70a-0e63-47ca-9cf7-5a962a920452</t>
  </si>
  <si>
    <t>Exchange Online Archiving for Exchange Online</t>
  </si>
  <si>
    <t>2828be95-46ba-4f91-b2fd-0bef192ecf60</t>
  </si>
  <si>
    <t>ADDON</t>
  </si>
  <si>
    <t>Exchange Online Kiosk</t>
  </si>
  <si>
    <t>Exchange Online Protection</t>
  </si>
  <si>
    <t>d903a2db-bf6f-4434-83f1-21ba44017813</t>
  </si>
  <si>
    <t>5c9fd4cc-edce-44a8-8e91-07df09744609</t>
  </si>
  <si>
    <t>bd938f12-058f-4927-bba3-ae36b1d2501c</t>
  </si>
  <si>
    <t>031c9e47-4802-4248-838e-778fb1d2cc05</t>
  </si>
  <si>
    <t>c0bd2e08-11ac-4836-bdc7-3712e744922f</t>
  </si>
  <si>
    <t>TRIAL</t>
  </si>
  <si>
    <t>796b6b5f-613c-4e24-a17c-eba730d49c02</t>
  </si>
  <si>
    <t>32b23c88-949f-4e5b-b500-a87eec676b80</t>
  </si>
  <si>
    <t>a044b16a-1861-4308-8086-a3a3b506fac2</t>
  </si>
  <si>
    <t>64168b63-4bcc-41e0-b5cb-7dc548977620</t>
  </si>
  <si>
    <t>02c07b64-2cd3-4667-b014-561192fc5d1a</t>
  </si>
  <si>
    <t>96d36e53-7e42-4ca3-ae96-bd20e3098d8d</t>
  </si>
  <si>
    <t>Office 365 Extra File Storage</t>
  </si>
  <si>
    <t>53fc25f7-6639-4f78-bb44-3c2dfec3ed40</t>
  </si>
  <si>
    <t>6fbad345-b7de-42a6-b6ab-79b363d0b371</t>
  </si>
  <si>
    <t>be57ff4c-100c-4f1f-b82d-f1c5ab63a665</t>
  </si>
  <si>
    <t>efe1183a-8fa0-4138-bf0a-5ae271ab6e3c</t>
  </si>
  <si>
    <t>O365 Storage:  OneDrive for Business</t>
  </si>
  <si>
    <t>OneDrive for Business (Plan 1)</t>
  </si>
  <si>
    <t>90d3615e-aa96-478e-b6ce-8eb1e9a96b4b</t>
  </si>
  <si>
    <t>OneDrive for Business (Plan 2)</t>
  </si>
  <si>
    <t>bf1f6907-1f8e-4f05-b327-4896d1395c15</t>
  </si>
  <si>
    <t>4260988e-990d-479c-ae7b-f01ce8e1bb4d</t>
  </si>
  <si>
    <t>Business Reporting:</t>
  </si>
  <si>
    <t>Power BI Pro</t>
  </si>
  <si>
    <t>800f4f3b-cfe1-42c1-9cea-675512810488</t>
  </si>
  <si>
    <t>Power BI Premium P1</t>
  </si>
  <si>
    <t>47490014-3ed5-4a67-937e-c7de2422d888</t>
  </si>
  <si>
    <t>Power BI Premium P2</t>
  </si>
  <si>
    <t>4daeed88-7f6e-4210-b7d9-50e0853c9e4f</t>
  </si>
  <si>
    <t>Power BI Premium P3</t>
  </si>
  <si>
    <t>30a0221f-6b2d-4c3c-93d9-c76e3b409d1f</t>
  </si>
  <si>
    <t>Power BI Premium P4</t>
  </si>
  <si>
    <t>771c2453-e28a-47ff-ad72-5e32696f2435</t>
  </si>
  <si>
    <t>Power BI Premium P5</t>
  </si>
  <si>
    <t>ea1938b1-6307-4749-ac97-37df8ab660ef</t>
  </si>
  <si>
    <t>Microsoft Project Online:</t>
  </si>
  <si>
    <t>Project Online Essentials</t>
  </si>
  <si>
    <t>a4179d30-cc09-49f0-977e-dc2cb70b874f</t>
  </si>
  <si>
    <t>d85c8762-22e4-44c0-97fe-27ed3fc4e61a</t>
  </si>
  <si>
    <t>a56baa74-d4e3-49fd-b228-ca0b62d08bad</t>
  </si>
  <si>
    <t xml:space="preserve">SharePoint Online: </t>
  </si>
  <si>
    <t>SharePoint Online (Plan 1)</t>
  </si>
  <si>
    <t>ff7a4f5b-4973-4241-8c43-80f2be39311d</t>
  </si>
  <si>
    <t>SharePoint Online (Plan 2)</t>
  </si>
  <si>
    <t>69c67983-cf78-4102-83f6-3e5fd246864f</t>
  </si>
  <si>
    <t>Business Communication:  Skype for Business</t>
  </si>
  <si>
    <t>Skype for Business Plus CAL</t>
  </si>
  <si>
    <t>fc233c3f-25bc-4bba-8984-860ce561af86</t>
  </si>
  <si>
    <t>Diagramming: Process Modeling: Data Visualisation - Microsoft Visio</t>
  </si>
  <si>
    <t>3f22d04e-9353-46c1-bf48-b6b0c0a55a66</t>
  </si>
  <si>
    <t>b4d4b7f4-4089-43b6-9c44-de97b760fb11</t>
  </si>
  <si>
    <t>Operating System:  Microsoft Windows</t>
  </si>
  <si>
    <t>Windows 10 Enterprise E3</t>
  </si>
  <si>
    <t>39504991-553b-48c2-bdf4-ea47f93bf784</t>
  </si>
  <si>
    <t>Windows 10 Enterprise E3 VDA</t>
  </si>
  <si>
    <t>4b608b64-3a27-4373-854c-fd33115a8ce1</t>
  </si>
  <si>
    <t>Windows 10 Enterprise E5</t>
  </si>
  <si>
    <t>f2c42110-ec7b-4434-b55e-1a9e456ac2f0</t>
  </si>
  <si>
    <t>Microsoft 365:  O365 + Operating System + Enterprise Mobility and Security</t>
  </si>
  <si>
    <t>61795cab-2abd-43f6-88e9-c9adae5746e0</t>
  </si>
  <si>
    <t>0fa9d6b6-5923-4b5d-b16e-b7ef0a69e1b7</t>
  </si>
  <si>
    <t>Microsoft 365 E3</t>
  </si>
  <si>
    <t>2b3b8d2d-10aa-4be4-b5fd-7f2feb0c3091</t>
  </si>
  <si>
    <t>Microsoft 365 E5</t>
  </si>
  <si>
    <t>8bdbb60b-e526-43e9-92ef-ab760c8e0b72</t>
  </si>
  <si>
    <t>Microsoft 365 E5 without Audio Conferencing</t>
  </si>
  <si>
    <t>db5e0b1c-9cc3-459c-9d08-c61993959fd3</t>
  </si>
  <si>
    <t>Microsoft 365 F1</t>
  </si>
  <si>
    <t>3451a3b0-8cda-44a7-bad7-c30be81c4aaa</t>
  </si>
  <si>
    <t>Enterprise Resource Planning:  ERP</t>
  </si>
  <si>
    <t>Dynamics 365 Business Central Essential</t>
  </si>
  <si>
    <t>1a90ee13-2cb4-4785-bb0f-542813f00a37</t>
  </si>
  <si>
    <t>Dynamics 365 Business Central Premium</t>
  </si>
  <si>
    <t>30e97275-fad8-48d4-bc0a-81840365c119</t>
  </si>
  <si>
    <t>Dynamics 365 Business Central Team Member</t>
  </si>
  <si>
    <t>f72752c8-3e37-4c9b-a1a0-69e8442068dc</t>
  </si>
  <si>
    <t>Finance and Operations:</t>
  </si>
  <si>
    <t>ERP Retail:</t>
  </si>
  <si>
    <t>79c103c3-35e2-4e1f-81bb-aae69800a3ef</t>
  </si>
  <si>
    <t>Customer Relationship Management:  CRM</t>
  </si>
  <si>
    <t>Sales Force Automation</t>
  </si>
  <si>
    <t>Dynamics 365 for Sales Professional</t>
  </si>
  <si>
    <t>e5aeedc5-e2f0-4099-aa45-95802034d7f8</t>
  </si>
  <si>
    <t>9fb981e1-9531-402e-875c-c69957137939</t>
  </si>
  <si>
    <t>Dynamics 365 for Marketing</t>
  </si>
  <si>
    <t>29a03361-6ac6-4165-9b7f-c714e7ed6258</t>
  </si>
  <si>
    <t>7bf88eaf-f390-40a7-8ed2-4613fb7f9bba</t>
  </si>
  <si>
    <t>Dynamics 365 for Marketing Attach</t>
  </si>
  <si>
    <t>c506d0f3-83c5-4939-971a-1270a48480e9</t>
  </si>
  <si>
    <t>Customer Care:</t>
  </si>
  <si>
    <t>58cd6573-6784-4467-b2fc-1a06bb874ed6</t>
  </si>
  <si>
    <t>56433e2b-3378-4b35-867d-31ebb879deac</t>
  </si>
  <si>
    <t>Project Automation:</t>
  </si>
  <si>
    <t>Field Service:</t>
  </si>
  <si>
    <t>5eb287f2-f34f-4bc8-a8b0-c2e9b23f7430</t>
  </si>
  <si>
    <t>df67a19b-60bc-4284-9b20-70ca4fa3c16a</t>
  </si>
  <si>
    <t>a7fc021e-0eb1-4fdb-ada1-3fe7ddf4e887</t>
  </si>
  <si>
    <t>Modern Desktop:  Office 365</t>
  </si>
  <si>
    <t>https://powerbi.microsoft.com/en-us/pricing/</t>
  </si>
  <si>
    <t>https://dynamics.microsoft.com/en-us/business-central/overview/</t>
  </si>
  <si>
    <t>https://dynamics.microsoft.com/en-us/pricing/</t>
  </si>
  <si>
    <t>https://powerapps.microsoft.com/en-us/</t>
  </si>
  <si>
    <t>https://docs.microsoft.com/en-za/SkypeForBusiness/skype-for-business-and-microsoft-teams-add-on-licensing/skype-for-business-and-microsoft-teams-add-on-licensing</t>
  </si>
  <si>
    <t>https://dynamics.microsoft.com/en-us/customer-service/capabilities/</t>
  </si>
  <si>
    <t>https://dynamics.microsoft.com/en-us/field-service/capabilities/</t>
  </si>
  <si>
    <t xml:space="preserve"> - It remains the ordering partner's responsibility to activate the licence in the customer's O365 admin portal and to assign the purchased licence to the various users.</t>
  </si>
  <si>
    <t xml:space="preserve"> - Failure by the ordering partner to submit monthly/quarterly/annual proof of payment will result in a suspended licence.</t>
  </si>
  <si>
    <t xml:space="preserve"> - Dynamics Africa will supply an electronic invoice on or before the last business day of the month</t>
  </si>
  <si>
    <t xml:space="preserve"> - Suspension Notice:  Failure to submit proof of payment will result in a series of Suspension Notices</t>
  </si>
  <si>
    <t xml:space="preserve">  -  Suspension Notice 1:  7th of the Month</t>
  </si>
  <si>
    <t xml:space="preserve">  -  Suspension Notice 2:  13th of the Month</t>
  </si>
  <si>
    <t xml:space="preserve"> - In the event of licence suspension, Dynamics Africa will not be responsible for any losses incurred by the partner and/or end customer. </t>
  </si>
  <si>
    <t xml:space="preserve"> - It remains the ordering partner's responsibility to generate data backups in the event of a suspension</t>
  </si>
  <si>
    <t xml:space="preserve"> - Backups cannot be created after a suspension notice 3 has been issued.</t>
  </si>
  <si>
    <t>Creating a new customer account:</t>
  </si>
  <si>
    <t>Kindly provide us with the following information when creating a new customer:</t>
  </si>
  <si>
    <t xml:space="preserve">  Country:</t>
  </si>
  <si>
    <t xml:space="preserve">  Company Name:</t>
  </si>
  <si>
    <r>
      <t xml:space="preserve">  Primary Domain Name (onmicrosoft.com): </t>
    </r>
    <r>
      <rPr>
        <sz val="11"/>
        <color rgb="FFFF0000"/>
        <rFont val="Calibri"/>
        <family val="2"/>
        <scheme val="minor"/>
      </rPr>
      <t>*</t>
    </r>
  </si>
  <si>
    <t xml:space="preserve">  Full Physical Address:</t>
  </si>
  <si>
    <t xml:space="preserve">  Primary Contact Name:</t>
  </si>
  <si>
    <t xml:space="preserve">  Primary Contact Last Name:</t>
  </si>
  <si>
    <t xml:space="preserve">  Primary Contact Email Address:</t>
  </si>
  <si>
    <t xml:space="preserve">  Primary Contact Phone Number:</t>
  </si>
  <si>
    <t>Additional Incentives:</t>
  </si>
  <si>
    <t xml:space="preserve"> - To gain access to these incentives Indirect Resellers must have and maintain an Active Competency in the Microsoft Partner Network.  For more information view:  https://partner.microsoft.com/en-us/membership/competencies</t>
  </si>
  <si>
    <t xml:space="preserve"> - Reseller must be enrolled in the Partner Incentive Experience (PIE) portal</t>
  </si>
  <si>
    <t>https://dynamics.microsoft.com/en-us/sales/overview/</t>
  </si>
  <si>
    <t>https://dynamics.microsoft.com/en-us/marketing/overview/</t>
  </si>
  <si>
    <t>https://dynamics.microsoft.com/en-us/project-service-automation/overview/</t>
  </si>
  <si>
    <t xml:space="preserve"> - Incentives are paid from Microsoft directly to the Reseller.  Dynamics Africa as CSP Provider has no control over payment schedules or any related payment questions/disputes.</t>
  </si>
  <si>
    <t>9b7e5904-c73f-4d26-bc83-ad5b7f21409b</t>
  </si>
  <si>
    <t>Charity</t>
  </si>
  <si>
    <t>CLOUD RESELLER CHARITY</t>
  </si>
  <si>
    <t>Exchange Online Archiving for Exchange Online (Nonprofit Staff Pricing)</t>
  </si>
  <si>
    <t>5a5bd617-7b27-41c7-96f0-37d125f7c47b</t>
  </si>
  <si>
    <t>Office 365 Advanced Compliance (Nonprofit Staff Pricing)</t>
  </si>
  <si>
    <t>e6860eee-5288-46ec-811b-d8900785fc90</t>
  </si>
  <si>
    <t>5392a891-cf7a-47c2-abf2-e9d131cad575</t>
  </si>
  <si>
    <t>12fa4fd4-8283-42f1-9876-321c98c74962</t>
  </si>
  <si>
    <t>d27f14df-aece-49bd-b769-d4e28a24963e</t>
  </si>
  <si>
    <t>Office 365 Enterprise E3 (Nonprofit Staff Pricing) Trial</t>
  </si>
  <si>
    <t>ce139fe5-8bd5-47ed-a5be-07c286f8b9e0</t>
  </si>
  <si>
    <t>Office 365 Enterprise E5 (Nonprofit Staff Pricing) Trial</t>
  </si>
  <si>
    <t>Office 365 Extra File Storage (Nonprofit Staff Pricing)</t>
  </si>
  <si>
    <t>b4155b38-a577-446c-bd1f-ff567f4c6780</t>
  </si>
  <si>
    <t>e9251d03-0fe3-42d7-847a-c2fe1c84542e</t>
  </si>
  <si>
    <t>7d45eccd-b3b5-46cd-981f-4b0ab4597255</t>
  </si>
  <si>
    <t>Project Online Essentials (Nonprofit Staff Pricing)</t>
  </si>
  <si>
    <t>9d205dfa-85be-4d4c-a9e1-90a0060fc160</t>
  </si>
  <si>
    <t>c78388f6-8d97-4ca9-9ae8-0be7d43439cb</t>
  </si>
  <si>
    <t>10a5330e-4ebc-4041-97a4-1bd3cb3557bb</t>
  </si>
  <si>
    <t>dd08daa2-bc6a-4bc6-a388-ae36118efca0</t>
  </si>
  <si>
    <t>22355eb0-b6b6-484d-b856-29be1f011300</t>
  </si>
  <si>
    <t>Visio Online Plan 1 (Nonprofit Staff Pricing)</t>
  </si>
  <si>
    <t>afd5448d-067c-4f1a-b145-e6dbe171d534</t>
  </si>
  <si>
    <t>Visio Online Plan 1 (Nonprofit Staff Pricing) Trial</t>
  </si>
  <si>
    <t>Visio Online Plan 2 (Nonprofit Staff Pricing)</t>
  </si>
  <si>
    <t>9309e59f-c199-4a2b-9fd4-bc3ea0adfdea</t>
  </si>
  <si>
    <t>Visio Online Plan 2 (Nonprofit Staff Pricing) Trial</t>
  </si>
  <si>
    <t>Windows 10 Enterprise E3 (Nonprofit Staff Pricing)</t>
  </si>
  <si>
    <t>44b9624e-839f-4b0d-ae3e-70a30fbaffdb</t>
  </si>
  <si>
    <t>Windows 10 Enterprise E5 (Nonprofit Staff Pricing)</t>
  </si>
  <si>
    <t>7dde3332-4f9f-481b-9256-54e34d6f935a</t>
  </si>
  <si>
    <t>996ee1ba-d999-497b-8985-8e19f7d3334e</t>
  </si>
  <si>
    <t>Microsoft 365 E3 (Nonprofit Staff Pricing)</t>
  </si>
  <si>
    <t>f7ad4eaf-f2ef-42dc-b43c-425ce393435c</t>
  </si>
  <si>
    <t>Microsoft 365 F1 (Nonprofit Staff Pricing)</t>
  </si>
  <si>
    <t>Microsoft Stream:  Video Streaming</t>
  </si>
  <si>
    <t>Microsoft Stream Plan 2 for Office 365 Add-On (Nonprofit Staff Pricing)</t>
  </si>
  <si>
    <t>3ebba4dc-4a35-4de2-888a-2f5b474f8104</t>
  </si>
  <si>
    <t>Microsoft Stream Storage Add-On (500 GB) (Nonprofit Staff Pricing)</t>
  </si>
  <si>
    <t>8876a30b-6c3f-4f90-b161-bba6fb6b16cf</t>
  </si>
  <si>
    <t>8817b694-eea3-43f3-9b0b-4dcec5fb9f47</t>
  </si>
  <si>
    <t>b27a256c-aa75-4095-bb43-ec25b1fd1236</t>
  </si>
  <si>
    <t>https://products.office.com/en-us/nonprofit/office-365-nonprofit-plans-and-pricing?tab=1</t>
  </si>
  <si>
    <t>https://products.office.com/en-us/nonprofit/office-365-nonprofit-plans-and-pricing?tab=2</t>
  </si>
  <si>
    <t>https://stream.microsoft.com/en-us/</t>
  </si>
  <si>
    <t>https://www.microsoft.com/en-us/nonprofits/dynamics-365</t>
  </si>
  <si>
    <t>Advanced eDiscovery Storage</t>
  </si>
  <si>
    <t>https://www.microsoft.com/en-us/cloud-platform/microsoft-intune</t>
  </si>
  <si>
    <t>Microsoft Intune:  Mobile Management</t>
  </si>
  <si>
    <t>Common Area Phone</t>
  </si>
  <si>
    <t>4d8f3b90-29b3-4e7b-b37c-4a435ddef1d9</t>
  </si>
  <si>
    <t>ded34535-507f-4246-8370-f9180318c537</t>
  </si>
  <si>
    <t>0f598efe-f330-4d79-b79f-c9480bb7ce3e</t>
  </si>
  <si>
    <t>40d28d55-0006-4bb0-8f41-37ac05df5dc7</t>
  </si>
  <si>
    <t>c94271d8-b431-4a25-a3c5-a57737a1c909</t>
  </si>
  <si>
    <t>1c410588-da3b-4f88-b38f-707eb9de46c0</t>
  </si>
  <si>
    <t>Azure Active Directory Premium P1</t>
  </si>
  <si>
    <t>16c9f982-a827-4003-a88e-e75df1927f27</t>
  </si>
  <si>
    <t>Azure Active Directory Premium P2</t>
  </si>
  <si>
    <t>e59159fc-6f67-4599-b3cb-17ff4020f643</t>
  </si>
  <si>
    <t>a19a625a-6780-4f8f-9a86-85979b7f82d0</t>
  </si>
  <si>
    <t>648bf77b-1f0a-4911-8066-caf37d67dc72</t>
  </si>
  <si>
    <t>Business Apps (free)</t>
  </si>
  <si>
    <t>05933b83-04d1-4ac6-bfcd-dbbbfc834483</t>
  </si>
  <si>
    <t>Enterprise Mobility + Security E3</t>
  </si>
  <si>
    <t>79c29af7-3cd0-4a6f-b182-a81e31dec84e</t>
  </si>
  <si>
    <t>Enterprise Mobility + Security E5</t>
  </si>
  <si>
    <t>37402a1d-0c6e-4d49-baae-0e45bd8ecb44</t>
  </si>
  <si>
    <t>Enterprise Mobility + Security E5 Trial</t>
  </si>
  <si>
    <t>ca299dc5-f84a-49a4-bca7-c93adb4d169e</t>
  </si>
  <si>
    <t>a2706f86-868d-4048-989b-0c69e5c76b63</t>
  </si>
  <si>
    <t>51e95709-dc35-4780-9040-22278cb7c0e1</t>
  </si>
  <si>
    <t>Microsoft Intune Device</t>
  </si>
  <si>
    <t>ced5f693-2d40-40ae-8848-9809ab1b0ee9</t>
  </si>
  <si>
    <t>Microsoft Stream Plan 2 for Office 365 Add-On</t>
  </si>
  <si>
    <t>7a6cf83d-b4e3-4a2d-ad58-70677698b8a4</t>
  </si>
  <si>
    <t>Microsoft Stream Storage Add-On (500 GB)</t>
  </si>
  <si>
    <t>43fce491-76d1-4bcc-b709-8a288786dbae</t>
  </si>
  <si>
    <t>Microsoft Flow:  Workflow Management</t>
  </si>
  <si>
    <t>Microsoft PowerApps:  App Creation and Management</t>
  </si>
  <si>
    <t xml:space="preserve">ERP &amp; CRM Add-ons: </t>
  </si>
  <si>
    <t>Dynamics 365:  Qualified Offers</t>
  </si>
  <si>
    <t>Finance; Payments and Suspension:</t>
  </si>
  <si>
    <t xml:space="preserve"> * Pricing reflected does not include local taxes.</t>
  </si>
  <si>
    <t xml:space="preserve"> * Errors and omissions excepted (E&amp;OE)</t>
  </si>
  <si>
    <t>Notes &amp; Instructions:</t>
  </si>
  <si>
    <t>https://azure.microsoft.com/en-us/overview/business-apps-on-azure/</t>
  </si>
  <si>
    <t>https://www.microsoft.com/en-us/cloud-platform/enterprise-mobility-security-pricing</t>
  </si>
  <si>
    <t>https://flow.microsoft.com/en-us/</t>
  </si>
  <si>
    <t>9e63cfd2-61f9-4c41-964a-2a47bcc39a0d</t>
  </si>
  <si>
    <t>Academic</t>
  </si>
  <si>
    <t>CLOUD RESELLER FACULTY</t>
  </si>
  <si>
    <t>061391db-34bc-4aca-bf89-bb7c28aca20b</t>
  </si>
  <si>
    <t>468e089f-8e8d-41f8-a688-8a91d875269a</t>
  </si>
  <si>
    <t>CLOUD RESELLER STUDENT</t>
  </si>
  <si>
    <t>3e3e9ccc-cdd4-4c7d-8644-336431f50e2b</t>
  </si>
  <si>
    <t>2084c385-65b3-4fac-867b-e9a2e1dde635</t>
  </si>
  <si>
    <t>da22b4b5-e211-4e95-905d-fc24ff5a90a9</t>
  </si>
  <si>
    <t>190adaa1-f3fc-40d3-94f3-1474ef1629d0</t>
  </si>
  <si>
    <t>9250dc5f-a50b-4887-bb9a-57a9efead4f8</t>
  </si>
  <si>
    <t>a81d31c7-197f-482e-bb0d-87c30bacc123</t>
  </si>
  <si>
    <t>ecb60fd2-bbaa-449f-a458-e9eec9ce08d6</t>
  </si>
  <si>
    <t>59b9b348-02a2-40de-90cf-23b76d6616ca</t>
  </si>
  <si>
    <t>2eb59242-162a-40ac-bb17-5b658bf8a9c1</t>
  </si>
  <si>
    <t>262a0187-2979-4c1e-909c-4c3094238264</t>
  </si>
  <si>
    <t>492b8a14-381c-4536-bf63-bd5785c14734</t>
  </si>
  <si>
    <t>64ed3fb4-9f46-4e8a-b287-7a3662245c37</t>
  </si>
  <si>
    <t>80fc6c74-cc94-478d-97b0-8455593a5987</t>
  </si>
  <si>
    <t>353d7f89-2e6f-4deb-9145-80f281a782ab</t>
  </si>
  <si>
    <t>5e8853ed-611c-4f9c-af21-540ba351a636</t>
  </si>
  <si>
    <t>da2034e1-c147-4aae-afab-9c15acf16ea5</t>
  </si>
  <si>
    <t>1ec83327-72dd-481c-acc4-87ab518d5a00</t>
  </si>
  <si>
    <t>eca4378b-b97e-4f23-ae73-ef01a63293ed</t>
  </si>
  <si>
    <t>c1267a47-0d56-4305-b975-7ba45e51eb5d</t>
  </si>
  <si>
    <t>9c6e2220-643f-41ce-9fcc-b6db3d1a25ec</t>
  </si>
  <si>
    <t>9b97f77a-106a-4039-9f30-08954636d5a7</t>
  </si>
  <si>
    <t>3ea6fca5-1502-4ec1-8d87-f65d65f382bf</t>
  </si>
  <si>
    <t>2fec701c-4de9-498a-b104-d9e22a923029</t>
  </si>
  <si>
    <t>685760e2-b019-489f-a71d-f647a1626cac</t>
  </si>
  <si>
    <t>41d5856b-9cdc-4194-944d-181517f1268e</t>
  </si>
  <si>
    <t>6b332b2d-863a-4a18-ad8a-b3d1434c27d9</t>
  </si>
  <si>
    <t>f2871ea5-b26e-4a13-8d3a-6a1dda820c72</t>
  </si>
  <si>
    <t>76642878-563b-4b30-9c9a-f7049b853743</t>
  </si>
  <si>
    <t>c7bcf2b6-7558-4013-ac24-5f4db30df525</t>
  </si>
  <si>
    <t>435f5608-fdf6-4413-a0f1-26b7d2c01cbd</t>
  </si>
  <si>
    <t>e67fe55c-1e6c-47d7-b8b8-9c7d85c778ff</t>
  </si>
  <si>
    <t>16fa20c0-cecd-422d-9cb6-dad535d7ee9f</t>
  </si>
  <si>
    <t>83a531ed-e7e8-4b78-94d0-3073d415f347</t>
  </si>
  <si>
    <t>f65ba0cd-dd42-4b7a-8df2-2adcb3c01299</t>
  </si>
  <si>
    <t>c0fadb1c-9940-4405-9c28-2ed7405cb01b</t>
  </si>
  <si>
    <t>512f56e6-9f94-4345-8a5b-fb74420c7857</t>
  </si>
  <si>
    <t>82fd9a89-80aa-4870-a145-ea50564b1a2c</t>
  </si>
  <si>
    <t>f776b4da-d4e3-4f0c-b1d2-d78ebd410a03</t>
  </si>
  <si>
    <t>9c584cf1-8326-4ff4-8a23-0a833ddbcab0</t>
  </si>
  <si>
    <t>dd3b57a3-5183-4ff8-9e3c-321f4298b58d</t>
  </si>
  <si>
    <t>10d1f071-0c98-4254-8ca3-5bf13d771e3d</t>
  </si>
  <si>
    <t>7e16efcb-382c-43aa-96b6-0547f5014c4b</t>
  </si>
  <si>
    <t>8f69e39d-0739-4a4f-897f-6f5da951ae03</t>
  </si>
  <si>
    <t>b3ef7432-5581-4b45-95bf-3a51b0d7f296</t>
  </si>
  <si>
    <t>d5caf83f-045d-4b7d-987c-dd79d5397cb3</t>
  </si>
  <si>
    <t>392f9987-0583-4225-8338-f3c015404c4c</t>
  </si>
  <si>
    <t>249eaae1-50df-42d0-8d69-ca66d53248b6</t>
  </si>
  <si>
    <t>eb93319f-34eb-45fd-92bf-6c4bdf63120d</t>
  </si>
  <si>
    <t>cbb7a0ff-cbc5-425f-8051-a1b1f981a924</t>
  </si>
  <si>
    <t>46f7b110-8370-4f99-a713-94a970160a65</t>
  </si>
  <si>
    <t>ae0515cb-3fdf-4148-903f-146223f9d1fe</t>
  </si>
  <si>
    <t>0a590a70-13fa-4cf4-996e-7c7da8055491</t>
  </si>
  <si>
    <t>512e27aa-19d1-4c38-b2cb-5813375c8201</t>
  </si>
  <si>
    <t>0757d14e-7c57-456f-8dab-47d164f2ff1f</t>
  </si>
  <si>
    <t>c60e9cc5-7339-479e-8003-285f6bd195c7</t>
  </si>
  <si>
    <t>bae285a9-d56b-4384-b02f-38adc61a6f12</t>
  </si>
  <si>
    <t>7eb5101b-b893-4d63-92ca-72df3c71fafc</t>
  </si>
  <si>
    <t>1b6263c0-b8fd-4706-98db-89d2ace5c1bf</t>
  </si>
  <si>
    <t>4ac3982a-b9a0-43bb-9639-4585284702be</t>
  </si>
  <si>
    <t>8c484fd0-1f3f-44fb-b6d2-26ca107273f6</t>
  </si>
  <si>
    <t>3891169e-2323-45f7-95c2-4497cda23d1c</t>
  </si>
  <si>
    <t>afa66641-7d3c-4e28-88ac-56c9c0d9f676</t>
  </si>
  <si>
    <t>a5676fc6-38bb-4f91-9618-81a0c9465a6f</t>
  </si>
  <si>
    <t>0126406e-ff5b-448e-affb-6d253c4c720c</t>
  </si>
  <si>
    <t>77abd8d3-fc66-424b-8626-8d216d4ea52b</t>
  </si>
  <si>
    <t>4d1f0e32-0972-499c-b1fc-673576d54f12</t>
  </si>
  <si>
    <t>4d30d083-68d4-454d-9fc0-8fd42281564b</t>
  </si>
  <si>
    <t>f1b34991-6b4b-4e77-9126-a42d75eb72c6</t>
  </si>
  <si>
    <t>35eb491f-5484-496e-978b-f349eed3c699</t>
  </si>
  <si>
    <t>5699c6f3-cc7a-4212-9042-8f85ce30f4e0</t>
  </si>
  <si>
    <t>f8aa0b4e-0799-4149-8dbc-b6105b5b4209</t>
  </si>
  <si>
    <t>5fd2b092-f47a-44c2-a79f-b3208bba335b</t>
  </si>
  <si>
    <t>331e4150-94df-4517-8d5c-9346deea7665</t>
  </si>
  <si>
    <t>40d1eb22-daeb-4e72-80e9-566375a83b55</t>
  </si>
  <si>
    <t>4ebcded4-77ce-43c2-a282-644390ba79c7</t>
  </si>
  <si>
    <t>3d42385f-10bd-4230-bee1-2189565224b8</t>
  </si>
  <si>
    <t>457b704a-5f90-49e0-be43-1b2124b2dd02</t>
  </si>
  <si>
    <t>cd7967ef-4c48-484c-a539-7dc876d61e88</t>
  </si>
  <si>
    <t>cfe79d8a-1948-4b68-b867-e53b771aaea0</t>
  </si>
  <si>
    <t>f17c5ab1-86b4-4d0d-9807-478c24576384</t>
  </si>
  <si>
    <t>98fa9c4d-ef56-4480-86cb-b10d49effa73</t>
  </si>
  <si>
    <t>15a38d13-62c6-48a0-a752-aea1627cb00b</t>
  </si>
  <si>
    <t>30c8f784-8eb9-46e6-bf69-a8fae07022e4</t>
  </si>
  <si>
    <t>ec0a7046-93d5-40e0-bc61-bcb0276c14e4</t>
  </si>
  <si>
    <t>ab1dfb9d-a3a3-465a-b460-1593c005803a</t>
  </si>
  <si>
    <t>f02bef2c-7ee2-41ec-af7f-1f409396c052</t>
  </si>
  <si>
    <t>a3a8a723-99a2-4129-bc40-046e6768f7a3</t>
  </si>
  <si>
    <t>7754c541-7881-4f61-a3fb-fd2cf6840143</t>
  </si>
  <si>
    <t>8637b090-a710-44e8-96ec-230e0c7f1e19</t>
  </si>
  <si>
    <t>17853361-4de9-487f-b897-ac65b9e508a3</t>
  </si>
  <si>
    <t>06312e72-b89a-42ad-bd9a-b13c72b16526</t>
  </si>
  <si>
    <t>7c1c021e-87d7-454f-bed7-27590555409b</t>
  </si>
  <si>
    <t>0198ee56-db84-4f71-a798-f5a497ce20d6</t>
  </si>
  <si>
    <t>37b24fc8-36d6-48ff-b7cd-19734aac6095</t>
  </si>
  <si>
    <t>bec91cbf-3677-41e3-afb8-bf98db7b9bd4</t>
  </si>
  <si>
    <t>10a0470d-fbd4-4a4c-9075-89af0c24414d</t>
  </si>
  <si>
    <t>8cdbe291-86ee-47ca-8199-dfc107f8a282</t>
  </si>
  <si>
    <t>eaf7db4c-b6af-403d-a865-ea289b4fa306</t>
  </si>
  <si>
    <t>989e13aa-09c2-4e61-8b9f-0d52bb7ca53d</t>
  </si>
  <si>
    <t>4cf9ea2f-7e2e-43fc-8513-190127fc3573</t>
  </si>
  <si>
    <t>Advanced eDiscovery Storage for faculty</t>
  </si>
  <si>
    <t>Azure Active Directory Premium P1 for Faculty</t>
  </si>
  <si>
    <t>Azure Active Directory Premium P1 for Students</t>
  </si>
  <si>
    <t>Azure Active Directory Premium P2 for Faculty</t>
  </si>
  <si>
    <t>Azure Active Directory Premium P2 for Students</t>
  </si>
  <si>
    <t>Common Area Phone for faculty</t>
  </si>
  <si>
    <t>Common Area Phone for students</t>
  </si>
  <si>
    <t>Dynamics 365 for Sales Professional for Faculty</t>
  </si>
  <si>
    <t>Dynamics 365 for Sales Professional for Students</t>
  </si>
  <si>
    <t>Microsoft 365 A3 for faculty</t>
  </si>
  <si>
    <t>Microsoft 365 A3 for students</t>
  </si>
  <si>
    <t>Microsoft 365 A3 for students use benefit</t>
  </si>
  <si>
    <t>Microsoft 365 A5 without Audio Conferencing for students use benefit</t>
  </si>
  <si>
    <t>Microsoft Cloud App Security for Faculty</t>
  </si>
  <si>
    <t>Microsoft Cloud App Security for Students</t>
  </si>
  <si>
    <t>Microsoft Intune for Education for Faculty</t>
  </si>
  <si>
    <t>Microsoft Intune for Education for Students</t>
  </si>
  <si>
    <t>Microsoft Stream Plan 2 for Office 365 Add-On for faculty</t>
  </si>
  <si>
    <t>Microsoft Stream Plan 2 for Office 365 Add-On for students</t>
  </si>
  <si>
    <t>Microsoft Stream Storage Add-On (500 GB) for faculty</t>
  </si>
  <si>
    <t>Microsoft Stream Storage Add-On (500 GB) for students</t>
  </si>
  <si>
    <t>Office 365 A1 for faculty</t>
  </si>
  <si>
    <t>Office 365 A1 for faculty (for Device)</t>
  </si>
  <si>
    <t>Office 365 A1 for students</t>
  </si>
  <si>
    <t>Office 365 A1 for students (for Device)</t>
  </si>
  <si>
    <t>Office 365 A3 for faculty</t>
  </si>
  <si>
    <t>Office 365 A3 for students</t>
  </si>
  <si>
    <t>Office 365 A3 for students use benefit</t>
  </si>
  <si>
    <t>Office 365 A5 for faculty</t>
  </si>
  <si>
    <t>Office 365 A5 for students</t>
  </si>
  <si>
    <t>Office 365 A5 for students use benefit</t>
  </si>
  <si>
    <t>Office 365 A5 without Audio Conferencing for faculty</t>
  </si>
  <si>
    <t>Office 365 A5 without Audio Conferencing for students</t>
  </si>
  <si>
    <t>Office 365 A5 without Audio Conferencing for students use benefit</t>
  </si>
  <si>
    <t>Office 365 Advanced Compliance for faculty</t>
  </si>
  <si>
    <t>Office 365 Advanced Compliance for students</t>
  </si>
  <si>
    <t>Power BI Premium P1 for Faculty</t>
  </si>
  <si>
    <t>Power BI Premium P1 for Students</t>
  </si>
  <si>
    <t>Power BI Premium P2 for Faculty</t>
  </si>
  <si>
    <t>Power BI Premium P2 for Students</t>
  </si>
  <si>
    <t>Power BI Premium P3 for Faculty</t>
  </si>
  <si>
    <t>Power BI Premium P3 for Students</t>
  </si>
  <si>
    <t>Power BI Pro for faculty</t>
  </si>
  <si>
    <t>Power BI Pro for students</t>
  </si>
  <si>
    <t>Project Online Essentials for faculty</t>
  </si>
  <si>
    <t>Project Online Essentials for students</t>
  </si>
  <si>
    <t>Skype for Business Plus CAL for faculty</t>
  </si>
  <si>
    <t>Skype for Business Plus CAL for students</t>
  </si>
  <si>
    <t>Visio Online Plan 1 for faculty</t>
  </si>
  <si>
    <t>Visio Online Plan 1 for students</t>
  </si>
  <si>
    <t>Visio Online Plan 2 for faculty</t>
  </si>
  <si>
    <t>Visio Online Plan 2 for students</t>
  </si>
  <si>
    <t>Reference</t>
  </si>
  <si>
    <t>Dynamics 365 Business Central Premium Trial</t>
  </si>
  <si>
    <t>eb5bc29f-c744-4d36-8042-68bc11114eda</t>
  </si>
  <si>
    <t>615cbbc1-0b6c-43fa-99c5-ada5a0965500</t>
  </si>
  <si>
    <t>708b4081-1ae3-4d40-99b9-db75470df408</t>
  </si>
  <si>
    <t>04329f1d-1d37-4445-b426-48dd65d14850</t>
  </si>
  <si>
    <t>e49012e8-b9d7-44b3-8134-ee84cf160bc9</t>
  </si>
  <si>
    <t>Power BI Premium EM3 (Nonprofit Staff Pricing)</t>
  </si>
  <si>
    <t>80291b0d-8b10-48e5-9c0e-25e212c3c501</t>
  </si>
  <si>
    <t>Power BI Premium P1 (Nonprofit Staff Pricing)</t>
  </si>
  <si>
    <t>56943ffe-ba3f-48d8-9b4a-a9915a065086</t>
  </si>
  <si>
    <t>Power BI Premium P2 (Nonprofit Staff Pricing)</t>
  </si>
  <si>
    <t>98947759-4d95-484d-ad08-ace0fcd1efe7</t>
  </si>
  <si>
    <t>Power BI Premium P3 (Nonprofit Staff Pricing)</t>
  </si>
  <si>
    <t>09af5285-c8a8-4aa9-ab6e-b6aaeb60a76e</t>
  </si>
  <si>
    <t>Power BI Pro (Nonprofit Staff Pricing)</t>
  </si>
  <si>
    <t>cabdfc93-5786-4224-bfd3-35d58f833b35</t>
  </si>
  <si>
    <t>Microsoft 365 E5 without Audio Conferencing (Nonprofit Staff Pricing)</t>
  </si>
  <si>
    <t>b456810a-c414-4e07-98fc-ef74e8175a09</t>
  </si>
  <si>
    <t>Enterprise Mobility + Security E3 (Nonprofit Staff Pricing)</t>
  </si>
  <si>
    <t>e6409072-4dc4-42e8-92c1-a24abed5d524</t>
  </si>
  <si>
    <t>Enterprise Mobility + Security E5 (Nonprofit Staff Pricing)</t>
  </si>
  <si>
    <t>c785e47b-2991-410d-9f78-885750705678</t>
  </si>
  <si>
    <t>fd780435-9ee0-46cc-a1c8-5bdf0a03e691</t>
  </si>
  <si>
    <t>59ba8bec-f4db-4100-b20c-a05eb4d7636c</t>
  </si>
  <si>
    <t>ceedd55e-fc9a-45b1-9001-d6d51f2d4be2</t>
  </si>
  <si>
    <t>Dynamics 365 Business Central Essential for Students</t>
  </si>
  <si>
    <t>11feeeaf-cbbb-4498-bf85-6822eb2122ea</t>
  </si>
  <si>
    <t>Dynamics 365 Business Central Premium for Faculty</t>
  </si>
  <si>
    <t>b023d59e-7451-4817-a52d-749ff3918e83</t>
  </si>
  <si>
    <t>Dynamics 365 Business Central Premium for Students</t>
  </si>
  <si>
    <t>844c4b77-dfb5-45c9-aaa4-bf1e70dd73c8</t>
  </si>
  <si>
    <t>Dynamics 365 Business Central Team Member for Faculty</t>
  </si>
  <si>
    <t>bc89c27d-3586-4728-be98-4bb569802ede</t>
  </si>
  <si>
    <t>Dynamics 365 Business Central Team Member for Students</t>
  </si>
  <si>
    <t>b1873c69-7198-45e0-b8bf-4fa1d4a6a1ad</t>
  </si>
  <si>
    <t>Enterprise Resource Planning (ERP):  Dynamics 365 Business Central</t>
  </si>
  <si>
    <t>Dynamics 365 Business Central Essential (Nonprofit Staff Pricing)</t>
  </si>
  <si>
    <t>51385505-6308-41d2-aabb-86d69eba47f3</t>
  </si>
  <si>
    <t>Dynamics 365 Business Central Premium (Nonprofit Staff Pricing)</t>
  </si>
  <si>
    <t>56a82199-0fa8-45d5-810f-b2c7d7fa2cba</t>
  </si>
  <si>
    <t>Dynamics 365 Business Central Team Member (Nonprofit Staff Pricing)</t>
  </si>
  <si>
    <t>ddeaf912-2bfe-4b4e-877b-e5fa6a6b7583</t>
  </si>
  <si>
    <t>Azure Active Directory Premium P1 (Nonprofit Staff Pricing)</t>
  </si>
  <si>
    <t>Azure Active Directory Premium P1 for students use benefit</t>
  </si>
  <si>
    <t>4e61b7b8-9e0b-407c-a022-fb268080a11c</t>
  </si>
  <si>
    <t>Azure Active Directory Premium P2 for students use benefit</t>
  </si>
  <si>
    <t>5c923d96-3c69-46ed-84b2-caaa4be1e3f0</t>
  </si>
  <si>
    <t>Enterprise Mobility + Security A3 for students use benefit</t>
  </si>
  <si>
    <t>bac4634f-7b41-40f1-968f-22fa6596ddd5</t>
  </si>
  <si>
    <t>Enterprise Mobility + Security A5 for students use benefit</t>
  </si>
  <si>
    <t>b49d90ee-f039-496f-aae7-db91a654e6d7</t>
  </si>
  <si>
    <t xml:space="preserve"> - Any of the following competencies count towards the incentives program:</t>
  </si>
  <si>
    <t>4dcde53b-1462-48e9-a7cb-77dc81ad734f</t>
  </si>
  <si>
    <t>Azure Active Directory Premium P2 (Nonprofit Staff Pricing)</t>
  </si>
  <si>
    <t>4beb16b5-63ef-4782-98c5-a6ff73c7272f</t>
  </si>
  <si>
    <t>a015a328-45eb-481f-b83e-70d8fa6a984f</t>
  </si>
  <si>
    <t>96693d66-601c-4370-854d-478ecb1badf6</t>
  </si>
  <si>
    <t>d44d04eb-c509-47d0-817e-3939a9656d43</t>
  </si>
  <si>
    <t>Office 365 Extra File Storage for faculty</t>
  </si>
  <si>
    <t>9c460dc3-4470-4ea6-afbd-27769b2ebef4</t>
  </si>
  <si>
    <t>https://products.office.com/en-za/business/office-365-enterprise-e5-business-software</t>
  </si>
  <si>
    <t xml:space="preserve">https://products.office.com/en-us/microsoft-teams/voice-calling </t>
  </si>
  <si>
    <t>https://www.microsoft.com/en-za/microsoft-365/enterprise/home/</t>
  </si>
  <si>
    <t>Office 365 Data Loss Prevention</t>
  </si>
  <si>
    <t>4833683a-1e4a-4816-80cf-25238184b8c4</t>
  </si>
  <si>
    <t>Dynamics 365 for Customer Service Professional</t>
  </si>
  <si>
    <t>51f99b45-3f92-4ef0-9167-b04709a62106</t>
  </si>
  <si>
    <t>Dynamics 365 for Customer Service Professional for Faculty</t>
  </si>
  <si>
    <t>a81010d7-7859-4f6b-9f29-2e79e2573904</t>
  </si>
  <si>
    <t>Dynamics 365 for Customer Service Professional for Students</t>
  </si>
  <si>
    <t>69998fb3-b858-476e-99ba-0d7ba65fe8fb</t>
  </si>
  <si>
    <t>Dynamics 365 for Marketing Addnl Contacts Tier 2</t>
  </si>
  <si>
    <t>79f41ba9-3b82-4a90-a0c6-d17285e70e66</t>
  </si>
  <si>
    <t>Dynamics 365 for Marketing Addnl Contacts Tier 3</t>
  </si>
  <si>
    <t>ad661450-aefb-4c7f-a74e-e06d246a922f</t>
  </si>
  <si>
    <t>Dynamics 365 for Marketing Addnl Contacts Tier 4</t>
  </si>
  <si>
    <t>4c7ace9a-b6b9-4ceb-9bef-57e4eda5adc2</t>
  </si>
  <si>
    <t>Dynamics 365 for Marketing Addnl Contacts Tier 5</t>
  </si>
  <si>
    <t>b18b7cec-5eda-4445-90bf-d609059cd554</t>
  </si>
  <si>
    <t>1a5311e2-9236-4e7e-ace6-280581658910</t>
  </si>
  <si>
    <t>5c5e5b36-beb4-4192-8bd4-27a8a644443c</t>
  </si>
  <si>
    <t>Dynamics 365 Team Members</t>
  </si>
  <si>
    <t>b2ccb51a-43c2-47d4-92db-dbf14553a185</t>
  </si>
  <si>
    <t>Dynamics 365 Team Members (Nonprofit Staff Pricing)</t>
  </si>
  <si>
    <t>8f9230ec-b3cd-45c3-8a93-1cc02d3a4ea7</t>
  </si>
  <si>
    <t>Dynamics 365 Team Members for Faculty</t>
  </si>
  <si>
    <t>23f296d4-8ac5-470a-8dab-87afc211661b</t>
  </si>
  <si>
    <t>Dynamics 365 Team Members for Students</t>
  </si>
  <si>
    <t>346d6b11-83f6-4a2e-bf2d-7cbfc1b64d85</t>
  </si>
  <si>
    <t>f94de68e-f907-471f-b8d3-37ebacbe8ff6</t>
  </si>
  <si>
    <t>Windows 10 Enterprise E3 Trial</t>
  </si>
  <si>
    <t>35a40a91-9033-4ca2-b31f-ea6b56894a98</t>
  </si>
  <si>
    <t>Dynamics 365 Remote Assist</t>
  </si>
  <si>
    <t>09788e0b-05cf-47e9-b292-e4f4a34fe15e</t>
  </si>
  <si>
    <t>1b828270-9627-4be7-8c8a-58e0be96ee19</t>
  </si>
  <si>
    <t>43be9290-a2ef-4943-9c62-4de8cfe367bf</t>
  </si>
  <si>
    <t>7a2e775e-6a7b-40f3-a21b-1b3c2e2493f4</t>
  </si>
  <si>
    <t>Dynamics 365: Qualified Offers</t>
  </si>
  <si>
    <t>2010c1b3-9564-4a74-8a31-a21c29bfe5db</t>
  </si>
  <si>
    <t>Dynamics 365 for Project Service Automation, Enterprise Edition (Nonprofit Staff Pricing)</t>
  </si>
  <si>
    <t>a3fb5ee2-be6b-4aa3-8902-a33ff2e2a489</t>
  </si>
  <si>
    <t>Microsoft 365 A5 for faculty</t>
  </si>
  <si>
    <t>2a8fd82d-e805-4af8-a156-3befc8316892</t>
  </si>
  <si>
    <t>Microsoft 365 A5 for students</t>
  </si>
  <si>
    <t>e315e15c-cae6-430b-bc3f-e43acb481abc</t>
  </si>
  <si>
    <t>Microsoft 365 A5 for students use benefit</t>
  </si>
  <si>
    <t>02e65727-4a55-440a-ae7d-f3ccc6ae0eb7</t>
  </si>
  <si>
    <t>Microsoft 365 E5 (Nonprofit Staff Pricing)</t>
  </si>
  <si>
    <t>31bedf01-9e57-4ece-a53a-d3656a563931</t>
  </si>
  <si>
    <t>Dynamics 365 for Customer Service Professional (Nonprofit Staff Pricing)</t>
  </si>
  <si>
    <t>1f797786-6479-4e7c-ad59-9bc27ddac680</t>
  </si>
  <si>
    <t>f28514f0-6516-4ef9-8222-1c605a05d245</t>
  </si>
  <si>
    <t>Corporate</t>
  </si>
  <si>
    <t>45cf3a0b-260f-45d9-ae91-b82217e03612</t>
  </si>
  <si>
    <t>8bc28c55-52ea-474a-b732-968a1d6056c8</t>
  </si>
  <si>
    <t>0e335f28-6106-4be2-b921-10483796213a</t>
  </si>
  <si>
    <t>Meeting Room</t>
  </si>
  <si>
    <t>2c883339-ef9c-4cce-81b8-e5adea60794c</t>
  </si>
  <si>
    <t>Meeting Room without Audio Conferencing</t>
  </si>
  <si>
    <t>112a528e-8700-42f0-876e-f02705d506c6</t>
  </si>
  <si>
    <t>a07b0e52-b12f-4298-94fc-5ddd61362bcc</t>
  </si>
  <si>
    <t xml:space="preserve">Business Central: </t>
  </si>
  <si>
    <t>c3897426-9f49-4eaf-9b4d-7d9a1c72aef7</t>
  </si>
  <si>
    <t>i</t>
  </si>
  <si>
    <t>1be1f426-22a5-48bc-8ef1-4d38c71bc655</t>
  </si>
  <si>
    <t>Dynamics 365 Team Members (36 mo)</t>
  </si>
  <si>
    <t>5fd83ae6-fb47-444c-a34e-b94e7dc260bb</t>
  </si>
  <si>
    <t>Enterprise Mobility + Security A3 for Faculty</t>
  </si>
  <si>
    <t>0428d817-bbde-4568-b7c6-04e3cff36246</t>
  </si>
  <si>
    <t>Enterprise Mobility + Security A3 for Students</t>
  </si>
  <si>
    <t>5bb4000e-15e2-4910-8ff9-276f95027038</t>
  </si>
  <si>
    <t>Enterprise Mobility + Security A5 for Faculty</t>
  </si>
  <si>
    <t>e4392c9b-a8ec-40d9-aca5-083365b7a56f</t>
  </si>
  <si>
    <t>Enterprise Mobility + Security A5 for Students</t>
  </si>
  <si>
    <t>2a563bb7-8418-4da1-9008-a8764b0765bf</t>
  </si>
  <si>
    <t>Microsoft Intune for Education for Students use benefit</t>
  </si>
  <si>
    <t>786817ae-58ed-4668-994c-c30fa07e18f5</t>
  </si>
  <si>
    <t>-</t>
  </si>
  <si>
    <t>3be5ad69-83e1-4097-aa42-c0127792d108</t>
  </si>
  <si>
    <t>69537b5d-6951-4c69-befb-d699cd47585c</t>
  </si>
  <si>
    <t>320c24f4-6bf4-47cf-98e0-4f235ce09d15</t>
  </si>
  <si>
    <t>216d8606-b45f-41cf-b02a-ed270b7f246b</t>
  </si>
  <si>
    <t>132243dd-5860-4eff-ad0e-7d56100ea810 </t>
  </si>
  <si>
    <t>363d36c2-89d5-40d4-865f-f90895f0959d </t>
  </si>
  <si>
    <t>1a6e8918-d2b2-432d-83a6-68c16c5d408e </t>
  </si>
  <si>
    <t>2f192efe-608a-4c9c-9d19-2b0b70b0962e</t>
  </si>
  <si>
    <t>363e3099-5db7-43ff-8f2a-c14557589288 </t>
  </si>
  <si>
    <t>26817df4-e421-4138-a03a-17078e974dec </t>
  </si>
  <si>
    <t>93799de4-121a-40f7-93f3-915e3d9d4756 </t>
  </si>
  <si>
    <t>Dynamics 365 Business Central Essential for Faculty</t>
  </si>
  <si>
    <t xml:space="preserve">Dynamics 365 for Sales Enterprise </t>
  </si>
  <si>
    <t>Dynamics 365 for Sales Enterprise Device</t>
  </si>
  <si>
    <t>Dynamics 365 for Marketing Addnl Contacts Tier 1</t>
  </si>
  <si>
    <t>Dynamics 365 for Marketing Addnl Contacts Tier 1 for CE Plan</t>
  </si>
  <si>
    <t>Dynamics 365 for Field Service - Resource Scheduling Optimization</t>
  </si>
  <si>
    <t>Dynamics 365 for Field Service Device</t>
  </si>
  <si>
    <t>d31fcbc0-aaf7-48b7-af12-900c05a60594</t>
  </si>
  <si>
    <t>ff1f51c6-7b45-41dc-96cb-706909f9726a</t>
  </si>
  <si>
    <t>Common Data Service for Apps Database Capacity for Education</t>
  </si>
  <si>
    <t>cb2ff97f-cdd5-4a14-b655-9f5d0aa58e27</t>
  </si>
  <si>
    <t>8c52358f-22a4-4e38-be86-730f138c2c1e</t>
  </si>
  <si>
    <t>21d50969-539d-4119-9c66-2e1a265df11b</t>
  </si>
  <si>
    <t>Common Data Service for Apps File Capacity for Education</t>
  </si>
  <si>
    <t>96cf7b37-c213-4626-a613-2f6c75f6b901</t>
  </si>
  <si>
    <t>b91d164b-7a81-4398-a2f8-70d5074001c9</t>
  </si>
  <si>
    <t>ba76cb7a-6bb8-4af5-821b-11e103ca4839</t>
  </si>
  <si>
    <t>Common Data Service for Apps Log Capacity for Education</t>
  </si>
  <si>
    <t>c2783c39-f49d-4987-b753-fdbaad00ac54</t>
  </si>
  <si>
    <t>Dynamics 365 Customer Insights</t>
  </si>
  <si>
    <t>663e36bd-0002-44c8-aa60-edc398c30d4a</t>
  </si>
  <si>
    <t>Dynamics 365 Customer Insights (Nonprofit Staff Pricing)</t>
  </si>
  <si>
    <t>Dynamics 365 Customer Insights Addnl Profiles</t>
  </si>
  <si>
    <t>f4f79b1e-122a-42c1-b613-939035460a3c</t>
  </si>
  <si>
    <t>D365 Customer Insights</t>
  </si>
  <si>
    <t>a93e9934-bd2d-4022-8a7f-a3217a50cc1d</t>
  </si>
  <si>
    <t>093e3350-b541-4e57-922b-6d2e707c454b</t>
  </si>
  <si>
    <t>c8dd48d3-9de3-4ecb-9722-587128c7439a</t>
  </si>
  <si>
    <t>da270e3a-6a20-43a8-81d2-2ca319f89f8a</t>
  </si>
  <si>
    <t>9f8f1756-f56f-421e-901a-e80e857cadb8</t>
  </si>
  <si>
    <t>f0f9f37a-539f-4f44-aef6-e37070149499</t>
  </si>
  <si>
    <t>75882cce-8629-4026-846a-a981682cb3de</t>
  </si>
  <si>
    <t>4688b9b7-2fcf-47bd-a519-3ff492e5a05b</t>
  </si>
  <si>
    <t>d6d9fb41-4766-46f9-8dae-4176f78edad5</t>
  </si>
  <si>
    <t>Pro Direct Support for Dynamics 365 Unified Operations</t>
  </si>
  <si>
    <t>c3b23a21-76e2-46e7-ae4f-60e1bdb96bea</t>
  </si>
  <si>
    <t>1835808d-06a2-42c5-9f09-82c2e7ed5c72</t>
  </si>
  <si>
    <t>Intune</t>
  </si>
  <si>
    <t>Intune Extra Storage</t>
  </si>
  <si>
    <t>Office 365 E1</t>
  </si>
  <si>
    <t>Exchange Online Archiving for Exchange Server</t>
  </si>
  <si>
    <t>Office 365 E3</t>
  </si>
  <si>
    <t>Office 365 E5 without Audio Conferencing</t>
  </si>
  <si>
    <t>Remote Assist:</t>
  </si>
  <si>
    <t>Dynamics 365 Remote Assist for Faculty</t>
  </si>
  <si>
    <t>c3e6d9c3-5eff-4a1d-9369-dda3f11a7713</t>
  </si>
  <si>
    <t>Dynamics 365 Remote Assist for Students</t>
  </si>
  <si>
    <t>ce6ebefa-cbed-4c61-9aa3-f88057bf1fe3</t>
  </si>
  <si>
    <t>Microsoft MyAnalytics for faculty</t>
  </si>
  <si>
    <t>Microsoft MyAnalytics for students</t>
  </si>
  <si>
    <t>Office 365 E3 (Nonprofit Staff Pricing)</t>
  </si>
  <si>
    <t>Office 365 E5 without Audio Conferencing (Nonprofit Staff Pricing)</t>
  </si>
  <si>
    <t>Dynamics 365 Customer Insights Attach</t>
  </si>
  <si>
    <t>ca25ca9f-fd18-4e72-84d3-c9e8c98f716c</t>
  </si>
  <si>
    <t>8a93d724-50ef-4293-b4f7-b28536dc3101</t>
  </si>
  <si>
    <t>Dynamics 365 Customer Insights Attach (Nonprofit Staff Pricing)</t>
  </si>
  <si>
    <t>Dynamics 365 for Customer Service Chat</t>
  </si>
  <si>
    <t>de41684d-661e-46bd-9a45-a7af6106fd87</t>
  </si>
  <si>
    <t>Dynamics 365 for Customer Service Chat for Faculty</t>
  </si>
  <si>
    <t>621716e7-cfc9-4e8c-9b8c-262b8d8b2212</t>
  </si>
  <si>
    <t>Dynamics 365 for Customer Service Chat for Students</t>
  </si>
  <si>
    <t>4a7a84db-1982-453e-9caa-ca72606b31cc</t>
  </si>
  <si>
    <t>Dynamics 365 for Customer Service Chat (Nonprofit Staff Pricing)</t>
  </si>
  <si>
    <t>c6d70fe7-bb67-4342-a3b3-23faae2d0b63</t>
  </si>
  <si>
    <t>Microsoft Teams Commercial Cloud (User Initiated) Trial</t>
  </si>
  <si>
    <t>dd3496ba-a49b-4475-9f40-8c333709ef87</t>
  </si>
  <si>
    <t>373b99e9-51cd-437b-be03-1988a02f025a</t>
  </si>
  <si>
    <t>Phone System - Virtual User for students</t>
  </si>
  <si>
    <t>f5907f82-b2b8-4637-a827-8460f82e5f67</t>
  </si>
  <si>
    <t>Dynamics 365 for Retail for Faculty</t>
  </si>
  <si>
    <t>Dynamics 365 Unified Operations – Activity for Faculty</t>
  </si>
  <si>
    <t>Dynamics 365 Unified Operations – Device for Faculty</t>
  </si>
  <si>
    <t>Dynamics 365 Unified Operations - Sandbox Tier 2:Standard Acceptance Testing for Faculty</t>
  </si>
  <si>
    <t>Dynamics 365 Unified Operations - Sandbox Tier 3:Premier Acceptance Testing for Faculty</t>
  </si>
  <si>
    <t>17791e70-0de3-4c3c-8589-15525f6f04a1</t>
  </si>
  <si>
    <t>Microsoft Flow</t>
  </si>
  <si>
    <t>Marketing:</t>
  </si>
  <si>
    <t>Dynamics 365 for Customer Service Enterprise Attach to Qualifying Dynamics 365 Base Offer</t>
  </si>
  <si>
    <t>Dynamics 365 for Customer Service Professional Attach to Qualifying Dynamics 365 Base Offer</t>
  </si>
  <si>
    <t>16b71874-cc11-44db-91cf-56badc7b53cd</t>
  </si>
  <si>
    <t>41791076-9613-40e3-b1c4-7ba8c2c95e60</t>
  </si>
  <si>
    <t>Dynamics 365 for Field Service Attach to Qualifying Dynamics 365 Base Offer</t>
  </si>
  <si>
    <t>fa9d0a71-c3f1-4147-a45e-3f6577901cd6</t>
  </si>
  <si>
    <t>Dynamics 365 for Finance</t>
  </si>
  <si>
    <t>a43fadf6-c52c-469f-899b-4e7fb0f597d9</t>
  </si>
  <si>
    <t>Dynamics 365 for Finance Attach to Qualifying Dynamics 365 Base Offer</t>
  </si>
  <si>
    <t>68004972-e469-45e4-bc99-27f69afcbea1</t>
  </si>
  <si>
    <t>Dynamics 365 for Marketing Additional Non-Prod Application</t>
  </si>
  <si>
    <t>4b7c9f3d-a74f-4955-a8ea-fedf3e280403</t>
  </si>
  <si>
    <t>4c604d4b-7893-4c9d-9d5e-d018e1515bd4</t>
  </si>
  <si>
    <t>Dynamics 365 for Sales Enterprise Attach to Qualifying Dynamics 365 Base Offer</t>
  </si>
  <si>
    <t>50e9a47a-7b4d-4970-9d90-cae927f53753</t>
  </si>
  <si>
    <t>Dynamics 365 for Sales Professional Attach to Qualifying Dynamics 365 Base Offer</t>
  </si>
  <si>
    <t>62ba2336-d7be-4339-9a52-727e7cc7c0fe</t>
  </si>
  <si>
    <t>Dynamics 365 for Supply Chain Management</t>
  </si>
  <si>
    <t>2f3a9d62-81a9-4613-94f1-681951f40f25</t>
  </si>
  <si>
    <t>Dynamics 365 for Supply Chain Management Attach to Qualifying Dynamics 365 Base Offer</t>
  </si>
  <si>
    <t>8c4a874c-016a-48ca-9bc6-829b094aa5e2</t>
  </si>
  <si>
    <t>Dynamics 365 Fraud Protection</t>
  </si>
  <si>
    <t>Dynamics 365 Guides</t>
  </si>
  <si>
    <t>e4aaf3ff-eaeb-463f-9782-8484d0a3b3d5</t>
  </si>
  <si>
    <t>608fc9e1-b714-4add-9362-6cad036fbabf</t>
  </si>
  <si>
    <t>80dd3bcb-55da-4e4d-906c-9b11cd0a1ec1</t>
  </si>
  <si>
    <t>PowerApps and Flow capacity add-on</t>
  </si>
  <si>
    <t>e1791e24-a789-4e17-b7fa-4a627f8f9088</t>
  </si>
  <si>
    <t>PowerApps per app plan</t>
  </si>
  <si>
    <t>5e1087b6-246b-4503-b88a-b60bdf0b3840</t>
  </si>
  <si>
    <t>PowerApps per user plan</t>
  </si>
  <si>
    <t>c52cea5e-b1fd-4f8d-b3a1-8135fb144e78</t>
  </si>
  <si>
    <t>PowerApps Portals login capacity add-on</t>
  </si>
  <si>
    <t>09d13345-8342-4270-acbd-563c5fd619d9</t>
  </si>
  <si>
    <t>PowerApps Portals page view capacity add-on</t>
  </si>
  <si>
    <t>eb3da7ca-a676-415e-8064-039e49edefb9</t>
  </si>
  <si>
    <t>49d50c07-2e9c-44ba-8a8a-682667ff5c8b</t>
  </si>
  <si>
    <t>AI Builder Capacity add-on</t>
  </si>
  <si>
    <t>7779a4ba-bd21-457c-8b3f-b3baa74fc99c</t>
  </si>
  <si>
    <t>Dynamics 365 for Customer Service Enterprise Attach to Qualifying Dynamics 365 Base Offer for Faculty</t>
  </si>
  <si>
    <t>4bea8897-2b56-4614-a25f-675eb4d0d81e</t>
  </si>
  <si>
    <t>Dynamics 365 for Customer Service Enterprise Attach to Qualifying Dynamics 365 Base Offer for Students</t>
  </si>
  <si>
    <t>089b9307-fe82-47fa-9d73-a06ee42f531b</t>
  </si>
  <si>
    <t>Dynamics 365 for Customer Service Professional Attach to Qualifying Dynamics 365 Base Offer for Faculty</t>
  </si>
  <si>
    <t>4e01898f-8f8a-451a-be80-f2298cec5170</t>
  </si>
  <si>
    <t>Dynamics 365 for Customer Service Professional Attach to Qualifying Dynamics 365 Base Offer for Students</t>
  </si>
  <si>
    <t>9c5d580a-2e7e-4613-ab3a-b00b80697e6c</t>
  </si>
  <si>
    <t>Dynamics 365 for Field Service Attach to Qualifying Dynamics 365 Base Offer for Faculty</t>
  </si>
  <si>
    <t>2a8ce3ed-d2b3-4d9f-b620-375a9f475479</t>
  </si>
  <si>
    <t>Dynamics 365 for Field Service Attach to Qualifying Dynamics 365 Base Offer for Students</t>
  </si>
  <si>
    <t>21e8c37f-13e6-4e5a-a390-b492f788e196</t>
  </si>
  <si>
    <t>Dynamics 365 for Finance for Faculty</t>
  </si>
  <si>
    <t>46a4a2ef-7eb1-4e2a-8162-a31e0423c5fc</t>
  </si>
  <si>
    <t>Dynamics 365 for Finance for Students</t>
  </si>
  <si>
    <t>0a0e4df8-867f-4f1d-bcc8-7e83808570d7</t>
  </si>
  <si>
    <t>Dynamics 365 for Finance Attach to Qualifying Dynamics 365 Base Offer for Faculty</t>
  </si>
  <si>
    <t>8041e633-0119-4d77-9a50-47541a828d2f</t>
  </si>
  <si>
    <t>Dynamics 365 for Finance Attach to Qualifying Dynamics 365 Base Offer for Students</t>
  </si>
  <si>
    <t>88af9d14-3c1b-4434-9168-296eeaec202d</t>
  </si>
  <si>
    <t>Dynamics 365 for Retail Attach to Qualifying Dynamics 365 Base Offer for Faculty</t>
  </si>
  <si>
    <t>3e77a031-79a9-4cd7-a7e7-d7dc2987a5c4</t>
  </si>
  <si>
    <t>Dynamics 365 for Retail Attach to Qualifying Dynamics 365 Base Offer for Students</t>
  </si>
  <si>
    <t>c3909cda-035d-4c9f-909d-9a3fdde4e625</t>
  </si>
  <si>
    <t>Dynamics 365 for Sales Enterprise Attach to Qualifying Dynamics 365 Base Offer for Faculty</t>
  </si>
  <si>
    <t>6df75c54-9475-468e-b0b5-359519116126</t>
  </si>
  <si>
    <t>Dynamics 365 for Sales Enterprise Attach to Qualifying Dynamics 365 Base Offer for Students</t>
  </si>
  <si>
    <t>a8960b8b-3fe5-4349-8ffd-b119696c771f</t>
  </si>
  <si>
    <t>Dynamics 365 for Sales Professional Attach to Qualifying Dynamics 365 Base Offer for Faculty</t>
  </si>
  <si>
    <t>76e6cf04-8975-40eb-8ed6-37f5db93e9a4</t>
  </si>
  <si>
    <t>Dynamics 365 for Sales Professional Attach to Qualifying Dynamics 365 Base Offer for Students</t>
  </si>
  <si>
    <t>e51963b6-7926-455b-8fb0-c651251d7199</t>
  </si>
  <si>
    <t>Dynamics 365 for Supply Chain Management Attach to Qualifying Dynamics 365 Base Offer for Faculty</t>
  </si>
  <si>
    <t>30765aac-4582-4089-bffa-d8f43183f91f</t>
  </si>
  <si>
    <t>Dynamics 365 for Supply Chain Management Attach to Qualifying Dynamics 365 Base Offer for Students</t>
  </si>
  <si>
    <t>779dfffe-1a99-49b3-b2c0-2aee50492e59</t>
  </si>
  <si>
    <t>Dynamics 365 for Supply Chain Management for Faculty</t>
  </si>
  <si>
    <t>b63c9f45-fcce-41dc-ab62-519c2262efb7</t>
  </si>
  <si>
    <t>Dynamics 365 Guides for Faculty</t>
  </si>
  <si>
    <t>6f4f8817-ed64-48d8-ba76-68c57d7b3f10</t>
  </si>
  <si>
    <t>Dynamics 365 Guides for Students</t>
  </si>
  <si>
    <t>df8d55df-7dd7-49a5-9d6a-813b736fb228</t>
  </si>
  <si>
    <t>Flow per business process plan for Faculty</t>
  </si>
  <si>
    <t>62f8b708-d323-4108-aaeb-3ef5fbd4b14a</t>
  </si>
  <si>
    <t>Flow per user plan for Faculty</t>
  </si>
  <si>
    <t>4904821b-aa19-41c1-9674-1d20fe980eb9</t>
  </si>
  <si>
    <t>Flow per user plan for Students</t>
  </si>
  <si>
    <t>b5926275-371c-43b9-bac8-45a408a0f0dd</t>
  </si>
  <si>
    <t>PowerApps per user plan for Faculty</t>
  </si>
  <si>
    <t>bb94a81e-661e-430c-8a7e-41fe0df940ae</t>
  </si>
  <si>
    <t>PowerApps per user plan for Students</t>
  </si>
  <si>
    <t>ab638b5e-e058-4ce7-a174-5bbc76504512</t>
  </si>
  <si>
    <t>4afd07ff-7e40-46a0-90e7-1806d0ee8313</t>
  </si>
  <si>
    <t>632ed93a-9a93-4b43-9e63-f43497d7ad57</t>
  </si>
  <si>
    <t>Dynamics 365 for Customer Service Enterprise for Faculty</t>
  </si>
  <si>
    <t>Dynamics 365 for Customer Service Enterprise for Faculty Device</t>
  </si>
  <si>
    <t>Dynamics 365 for Field Service for Faculty</t>
  </si>
  <si>
    <t>Dynamics 365 for Field Service for Faculty Device</t>
  </si>
  <si>
    <t>Dynamics 365 for Sales Enterprise for Faculty</t>
  </si>
  <si>
    <t>Dynamics 365 for Sales Enterprise for Faculty   (Device)</t>
  </si>
  <si>
    <t>Dynamics 365 for Sales Enterprise for Students   (Device)</t>
  </si>
  <si>
    <t>Customer Service:</t>
  </si>
  <si>
    <t>Dynamics 365 for Customer Service Enterprise Attach to Qualifying Dynamics 365 Base Offer (Nonprofit Staff Pricing)</t>
  </si>
  <si>
    <t>f77403da-d1fa-4b3a-a081-b12b274e8942</t>
  </si>
  <si>
    <t>Dynamics 365 for Customer Service Professional Attach to Qualifying Dynamics 365 Base Offer (Nonprofit Staff Pricing)</t>
  </si>
  <si>
    <t>c3893c15-2c54-4e24-8cc7-de68b904e450</t>
  </si>
  <si>
    <t>Dynamics 365 for Field Service Attach to Qualifying Dynamics 365 Base Offer (Nonprofit Staff Pricing)</t>
  </si>
  <si>
    <t>9c238227-d7a8-43bf-b341-d690db24eb94</t>
  </si>
  <si>
    <t>Dynamics 365 for Sales Enterprise Attach to Qualifying Dynamics 365 Base Offer (Nonprofit Staff Pricing)</t>
  </si>
  <si>
    <t>b14a4d4f-eae7-4bb2-a748-cacab58f5c6d</t>
  </si>
  <si>
    <t>Dynamics 365 for Sales Professional Attach to Qualifying Dynamics 365 Base Offer (Nonprofit Staff Pricing)</t>
  </si>
  <si>
    <t>a66ba149-97b4-4cc8-8e39-a01e0478a7f3</t>
  </si>
  <si>
    <t>Flow per business process plan (Nonprofit Staff Pricing)</t>
  </si>
  <si>
    <t>51122815-8ddd-4cfb-b4a2-05e02b225651</t>
  </si>
  <si>
    <t>Flow per user plan (Nonprofit Staff Pricing)</t>
  </si>
  <si>
    <t>ee208072-fff2-4610-9796-92de118b379c</t>
  </si>
  <si>
    <t>PowerApps and Flow capacity add-on (Nonprofit Staff Pricing)</t>
  </si>
  <si>
    <t>bb293111-3a10-4cdf-ad80-3afc24f41524</t>
  </si>
  <si>
    <t>PowerApps per user plan (Nonprofit Staff Pricing)</t>
  </si>
  <si>
    <t>17a067a0-8ac7-4c70-8ea6-e69a16e5f463</t>
  </si>
  <si>
    <t>f18a0553-97a3-4456-9e27-cbf174fd8783</t>
  </si>
  <si>
    <t>Dynamics 365 for Customer Service Enterprise (Nonprofit Staff Pricing)</t>
  </si>
  <si>
    <t>Dynamics 365 for Field Service (Nonprofit Staff Pricing)</t>
  </si>
  <si>
    <t>https://dynamics.microsoft.com/en-us/finance/overview/</t>
  </si>
  <si>
    <t>https://dynamics.microsoft.com/en-us/supply-chain-management/overview/</t>
  </si>
  <si>
    <t>https://dynamics.microsoft.com/en-us/sales/professional/</t>
  </si>
  <si>
    <t>https://dynamics.microsoft.com/en-us/retail/overview/</t>
  </si>
  <si>
    <t>https://dynamics.microsoft.com/en-us/mixed-reality/guides/</t>
  </si>
  <si>
    <t>https://dynamics.microsoft.com/en-us/ai/customer-insights/</t>
  </si>
  <si>
    <t xml:space="preserve"> - Incentives shown on Reference Price Sheets are indicative based on Microsoft's published Incentives guides.  Dynamics Africa do not guarantee the accuracy of the SKU incentives</t>
  </si>
  <si>
    <t xml:space="preserve">   - Suspension Notice 3 FINAL:  16th of the Month:  All Services will be suspended</t>
  </si>
  <si>
    <t>Dynamics 365 and O365 Orders on CSP Platform:  Dynamics Africa facilitates and activates the order on the Dynamics Africa CSP portal.  Resellers can also process orders via Dynamics Africa DMS (Dealer Management System)</t>
  </si>
  <si>
    <t>Dynamics 365 Business Central Device</t>
  </si>
  <si>
    <t>5b04b78c-fd36-4cf3-a7a5-3457991c8b79</t>
  </si>
  <si>
    <t>Dynamics 365 for Customer Service Enterprise Device</t>
  </si>
  <si>
    <t xml:space="preserve">Dynamics 365 for Customer Service Enterprise </t>
  </si>
  <si>
    <t>Dynamics 365 Business Central External Accountant</t>
  </si>
  <si>
    <t>88f9eb8a-0636-45e8-a601-553e0a48aa9e</t>
  </si>
  <si>
    <t>Dynamics 365 for Marketing Additional Application</t>
  </si>
  <si>
    <t>Dynamics 365 Guides Trial</t>
  </si>
  <si>
    <t>0f1563d7-83f6-4990-a83b-d2a6113d2d75</t>
  </si>
  <si>
    <t>Dynamics 365 Sales Insights</t>
  </si>
  <si>
    <t>Dynamics 365 Unified Operations - Database Capacity</t>
  </si>
  <si>
    <t>Dynamics 365 Unified Operations - Database Capacity for Education</t>
  </si>
  <si>
    <t>Dynamics 365 Unified Operations - File Capacity</t>
  </si>
  <si>
    <t>Dynamics 365 Unified Operations – Order Lines</t>
  </si>
  <si>
    <t>Dynamics 365 Unified Operations – Order Lines for Education</t>
  </si>
  <si>
    <t>Dynamics 365 Unified Operations - Sandbox Tier 2:Standard Acceptance Testing</t>
  </si>
  <si>
    <t>Dynamics 365 Unified Operations - Sandbox Tier 3:Premier Acceptance Testing</t>
  </si>
  <si>
    <t>Dynamics 365 Unified Operations - Sandbox Tier 4:Standard Performance Testing</t>
  </si>
  <si>
    <t>Dynamics 365 Unified Operations - Sandbox Tier 5:Premier Performance Testing</t>
  </si>
  <si>
    <t>Microsoft 365 E5 Compliance</t>
  </si>
  <si>
    <t>Office 365 E5</t>
  </si>
  <si>
    <t>Office 365 E5 Trial</t>
  </si>
  <si>
    <t>Office 365 E5 without Audio Conferencing Trial</t>
  </si>
  <si>
    <t>b9a1d576-43fd-464b-8ad9-4b1eafc5db77</t>
  </si>
  <si>
    <t>Microsoft 365 E5 Security</t>
  </si>
  <si>
    <t>Dynamics 365 for Customer Service Enterprise for Students</t>
  </si>
  <si>
    <t>Dynamics 365 for Customer Service Enterprise for Students Device</t>
  </si>
  <si>
    <t>Dynamics 365 for Field Service for Students</t>
  </si>
  <si>
    <t>Dynamics 365 for Field Service for Students Device</t>
  </si>
  <si>
    <t>Dynamics 365 for Retail for Students</t>
  </si>
  <si>
    <t>Dynamics 365 for Sales Enterprise for Students</t>
  </si>
  <si>
    <t>Dynamics 365 Guides for Faculty Trial</t>
  </si>
  <si>
    <t>0808242e-ca6a-4d53-a763-81e3ef0a538d</t>
  </si>
  <si>
    <t>Dynamics 365 Guides for Students Trial</t>
  </si>
  <si>
    <t>9dc5fb11-41ed-4150-9329-6df2bb256b65</t>
  </si>
  <si>
    <t>Dynamics 365 Sales Insights for Faculty</t>
  </si>
  <si>
    <t>Dynamics 365 Sales Insights for Students</t>
  </si>
  <si>
    <t>Dynamics 365 Unified Operations – Activity for Students</t>
  </si>
  <si>
    <t>Dynamics 365 Unified Operations – Device for Students</t>
  </si>
  <si>
    <t>Dynamics 365 Unified Operations - Sandbox Tier 4:Standard Performance Testing for Faculty</t>
  </si>
  <si>
    <t>Dynamics 365 Unified Operations - Sandbox Tier 5:Premier Performance Testing for Faculty</t>
  </si>
  <si>
    <t>Microsoft 365 A5 Compliance for faculty</t>
  </si>
  <si>
    <t>Microsoft 365 A5 Compliance for students</t>
  </si>
  <si>
    <t>Microsoft 365 A5 Security for student use benefits</t>
  </si>
  <si>
    <t>Microsoft 365 A5 Security for faculty</t>
  </si>
  <si>
    <t>Microsoft 365 A5 Security for students</t>
  </si>
  <si>
    <t>Microsoft 365 A5 without Audio Conferencing for faculty</t>
  </si>
  <si>
    <t>Microsoft 365 A5 without Audio Conferencing for students</t>
  </si>
  <si>
    <t>Minecraft: Education Edition (per user)</t>
  </si>
  <si>
    <t>ee10cbd2-7a12-45de-be11-0c2c7c6eeeb1</t>
  </si>
  <si>
    <t>a9d8546b-4e19-4d08-b8e2-6814f2c2d8b1</t>
  </si>
  <si>
    <t>8723dbc7-4782-464f-95d8-7ffe5be9c752</t>
  </si>
  <si>
    <t>5c25bdb6-b261-4dc2-a60f-a062be73d031</t>
  </si>
  <si>
    <t>Windows 10 Enterprise A3 for faculty</t>
  </si>
  <si>
    <t>Windows 10 Enterprise A3 for students</t>
  </si>
  <si>
    <t>Windows 10 Enterprise A3 for students use benefit</t>
  </si>
  <si>
    <t>Windows 10 Enterprise A5 for faculty</t>
  </si>
  <si>
    <t>Windows 10 Enterprise A5 for students</t>
  </si>
  <si>
    <t>Windows 10 Enterprise A5 for student use benefits</t>
  </si>
  <si>
    <t>Common Data Service File Capacity (Nonprofit Staff Pricing)</t>
  </si>
  <si>
    <t>Common Data Service Database Capacity (Nonprofit Staff Pricing)</t>
  </si>
  <si>
    <t>Common Data Service Log Capacity (Nonprofit Staff Pricing)</t>
  </si>
  <si>
    <t>Dynamics 365 for Field Service - Resource Scheduling Optimization (Nonprofit Staff Pricing)</t>
  </si>
  <si>
    <t>Dynamics 365 for Sales Enterprise (Nonprofit Staff Pricing)</t>
  </si>
  <si>
    <t>Dynamics 365 for Sales Professional (Nonprofit Staff Pricing)</t>
  </si>
  <si>
    <t>a6b49b8a-38be-4341-b05f-fb54c89d7e21</t>
  </si>
  <si>
    <t>Dynamics 365 Sales Insights (Nonprofit Staff Pricing)</t>
  </si>
  <si>
    <t>Microsoft 365 E5 Compliance (Nonprofit Staff Pricing)</t>
  </si>
  <si>
    <t>Microsoft 365 E5 Security (Nonprofit Staff Pricing)</t>
  </si>
  <si>
    <t>Microsoft Intune (Nonprofit Staff Pricing)</t>
  </si>
  <si>
    <t>Dynamics 365 for Customer Service Digital Messaging add-on</t>
  </si>
  <si>
    <t>c20e5639-da58-4741-bbb2-fa6460ff067c</t>
  </si>
  <si>
    <t>Dynamics 365 Remote Assist Attach</t>
  </si>
  <si>
    <t>57e6e033-c16b-4f8a-9cb9-c76bb0c9ce2e</t>
  </si>
  <si>
    <t>533e0acf-0093-47da-bb03-920c64cf0e75</t>
  </si>
  <si>
    <t>5925a655-481c-4b16-82c5-588ddb68ba36</t>
  </si>
  <si>
    <t>Dynamics 365 Remote Assist Attach for Faculty</t>
  </si>
  <si>
    <t>deb36286-e996-4b13-9c73-6394989e502c</t>
  </si>
  <si>
    <t>Dynamics 365 Remote Assist Attach for Students</t>
  </si>
  <si>
    <t>811466cf-81e6-4d7b-9ff8-652819453fb6</t>
  </si>
  <si>
    <t>ef29b6b7-4c3c-4183-96ca-11bf85088882</t>
  </si>
  <si>
    <t>Dynamics 365 Remote Assist Attach Trial</t>
  </si>
  <si>
    <t>7ce81df9-f10c-49a3-843d-e9de6fdc779f</t>
  </si>
  <si>
    <t>Dynamics 365 Remote Assist Attach for Faculty Trial</t>
  </si>
  <si>
    <t>08b14d22-b25d-47d4-9747-62c61782b901</t>
  </si>
  <si>
    <t>Dynamics 365 Remote Assist Attach for Students Trial</t>
  </si>
  <si>
    <t>46e8cd70-287e-4e13-854b-a9258301b355</t>
  </si>
  <si>
    <t>Project Plan 5</t>
  </si>
  <si>
    <t>Project Plan 3</t>
  </si>
  <si>
    <t>Project Plan 5 for faculty</t>
  </si>
  <si>
    <t>Project Plan 5 for students</t>
  </si>
  <si>
    <t>Project Plan 3 for faculty</t>
  </si>
  <si>
    <t>Project Plan 3 for students</t>
  </si>
  <si>
    <t>Project Plan 5 (Nonprofit Staff Pricing)</t>
  </si>
  <si>
    <t>Project Plan 3 (Nonprofit Staff Pricing)</t>
  </si>
  <si>
    <t>Microsoft 365 Audio Conferencing</t>
  </si>
  <si>
    <t>Azure Information Protection Premium P1</t>
  </si>
  <si>
    <t>Common Data Service Database Capacity</t>
  </si>
  <si>
    <t>Common Data Service File Capacity</t>
  </si>
  <si>
    <t>Common Data Service Log Capacity</t>
  </si>
  <si>
    <t>Microsoft 365 Domestic and International Calling Plan</t>
  </si>
  <si>
    <t>Microsoft 365 Domestic Calling Plan</t>
  </si>
  <si>
    <t>Microsoft 365 Domestic Calling Plan (120 min)</t>
  </si>
  <si>
    <t>Dynamics 365 for Finance (36 mo)</t>
  </si>
  <si>
    <t>7b961339-cca6-42ae-a20f-874e85486d45</t>
  </si>
  <si>
    <t>Dynamics 365 for Finance Attach to Qualifying Dynamics 365 Base Offer (36 mo)</t>
  </si>
  <si>
    <t>d1f87b56-4aac-4cf4-a5a1-2aa106406f9c</t>
  </si>
  <si>
    <t>4006d678-9515-4cef-a1ed-aa0e41c22c55</t>
  </si>
  <si>
    <t>4bac7a4a-d416-43b2-bc0f-7a4c75b5554c</t>
  </si>
  <si>
    <t>Dynamics 365 for Supply Chain Management Attach to Qualifying Dynamics 365 Base Offer (36 mo)</t>
  </si>
  <si>
    <t>23d4b0ef-b359-4106-af25-522540f789a6</t>
  </si>
  <si>
    <t>Dynamics 365 Remote Assist Trial</t>
  </si>
  <si>
    <t>545484f9-1c3e-426d-a387-0aa029146443</t>
  </si>
  <si>
    <t>Dynamics 365 Unified Operations - Sandbox Tier 2:Standard Acceptance Testing (36 mo)</t>
  </si>
  <si>
    <t>4eb61d13-7291-4c8b-abb3-efd9e02ee594</t>
  </si>
  <si>
    <t>Dynamics 365 Unified Operations - Sandbox Tier 3:Premier Acceptance Testing (36 mo)</t>
  </si>
  <si>
    <t>b0ca8566-f67e-43f0-9c6b-88f0f890173c</t>
  </si>
  <si>
    <t>Dynamics 365 Unified Operations - Sandbox Tier 4:Standard Performance Testing (36 mo)</t>
  </si>
  <si>
    <t>10612508-9792-46d6-a13f-e117d365d30a</t>
  </si>
  <si>
    <t>Dynamics 365 Unified Operations - Sandbox Tier 5:Premier Performance Testing (36 mo)</t>
  </si>
  <si>
    <t>06e0315f-8649-4860-b5dd-e3719912e3b0</t>
  </si>
  <si>
    <t>Office 365 E3 Trial</t>
  </si>
  <si>
    <t>Microsoft 365 Phone System</t>
  </si>
  <si>
    <t>Microsoft 365 Phone System - Virtual User</t>
  </si>
  <si>
    <t>Microsoft 365 Phone System - Virtual User Trial</t>
  </si>
  <si>
    <t>Power Virtual Agent</t>
  </si>
  <si>
    <t>49e52fb1-a134-4f49-9346-fd59b53421bc</t>
  </si>
  <si>
    <t>Power Virtual Agent User License</t>
  </si>
  <si>
    <t>59e76752-1a2c-45fb-a6b2-0f2113e94ab7</t>
  </si>
  <si>
    <t>PowerApps Portals login capacity add-on Tier 2 (10 unit min)</t>
  </si>
  <si>
    <t>2f558d61-fe7e-4379-a6df-23a7dce95b00</t>
  </si>
  <si>
    <t>PowerApps Portals login capacity add-on Tier 3 (50 unit min)</t>
  </si>
  <si>
    <t>c192bc67-a299-4e47-bd28-9c0ec43bcfc6</t>
  </si>
  <si>
    <t>Microsoft 365 Audio Conferencing for faculty</t>
  </si>
  <si>
    <t>Microsoft 365 Audio Conferencing for students</t>
  </si>
  <si>
    <t>Microsoft 365 Domestic and International Calling Plan for faculty</t>
  </si>
  <si>
    <t>Microsoft 365 Domestic and International Calling Plan for students</t>
  </si>
  <si>
    <t>Microsoft 365 Domestic Calling Plan (120 min) for faculty</t>
  </si>
  <si>
    <t>Microsoft 365 Domestic Calling Plan (120 min) for students</t>
  </si>
  <si>
    <t>Microsoft 365 Domestic Calling Plan for faculty</t>
  </si>
  <si>
    <t>Microsoft 365 Domestic Calling Plan for students</t>
  </si>
  <si>
    <t>Dynamics 365 Business Central External Accountant for Faculty</t>
  </si>
  <si>
    <t>e9df434f-0be9-440b-a06b-0dc0ce93be93</t>
  </si>
  <si>
    <t>Dynamics 365 Business Central External Accountant for Students</t>
  </si>
  <si>
    <t>d884fc51-643d-4f12-bbf5-a13e9320a950</t>
  </si>
  <si>
    <t>6a05dcfd-27bb-4615-b2e2-3b99a02b93ce</t>
  </si>
  <si>
    <t>Dynamics 365 for Customer Service Professional Attach to Qualifying Dynamics 365 Base Offer for Faculty From SA From VL/DPL</t>
  </si>
  <si>
    <t>7e6f9e98-9071-42d0-b346-53134e3cb0b4</t>
  </si>
  <si>
    <t>Dynamics 365 for Customer Service Professional Attach to Qualifying Dynamics 365 Base Offer for Students From SA From VL/DPL</t>
  </si>
  <si>
    <t>Power Virtual Agent for Faculty</t>
  </si>
  <si>
    <t>f2769835-068a-44ba-b1d1-63752bf26a7b</t>
  </si>
  <si>
    <t>Microsoft 365 Phone System for students</t>
  </si>
  <si>
    <t>Microsoft 365 Phone System for faculty</t>
  </si>
  <si>
    <t>Microsoft 365 Phone System - Virtual User for faculty</t>
  </si>
  <si>
    <t>Dynamics 365 Unified Operations - File Capacity for Education</t>
  </si>
  <si>
    <t>Dynamics 365 Remote Assist for Students Trial</t>
  </si>
  <si>
    <t>055a91de-9f00-4691-b42e-929d8c5ae413</t>
  </si>
  <si>
    <t>Dynamics 365 Remote Assist for Faculty Trial</t>
  </si>
  <si>
    <t>2f6119d8-fb07-45ce-a94d-1f59c4899ee6</t>
  </si>
  <si>
    <t>Dynamics 365 for Sales Professional Attach to Qualifying Dynamics 365 Base Offer for Faculty From SA From VL/DPL</t>
  </si>
  <si>
    <t>c16ea121-f022-4aa8-aec6-323a4022d5bb</t>
  </si>
  <si>
    <t>Microsoft 365 Audio Conferencing (Nonprofit Staff Pricing)</t>
  </si>
  <si>
    <t>Microsoft Cloud App Security (Nonprofit Staff Pricing)</t>
  </si>
  <si>
    <t>e84ff11d-5865-4849-a72e-44f1d299950c</t>
  </si>
  <si>
    <t>Microsoft 365 Phone System (Nonprofit Staff Pricing)</t>
  </si>
  <si>
    <t>Power Virtual Agent (Nonprofit Staff Pricing)</t>
  </si>
  <si>
    <t>3c47b9e4-1562-4cd6-8675-ccb09a2a2464</t>
  </si>
  <si>
    <t>CLOUD RESELLER EDUCATION</t>
  </si>
  <si>
    <t>Virtual Agent</t>
  </si>
  <si>
    <t>Virtual Agent:</t>
  </si>
  <si>
    <t>Dynamics 365 Business Central Device (36 mo)</t>
  </si>
  <si>
    <t>37368025-c585-4597-a27a-f044fea667d6</t>
  </si>
  <si>
    <t>Dynamics 365 Business Central Essential (36 mo)</t>
  </si>
  <si>
    <t>2738e396-9f13-4a67-b0da-4cbbf082ac44</t>
  </si>
  <si>
    <t>Dynamics 365 Business Central Premium (36 mo)</t>
  </si>
  <si>
    <t>ee3b3efe-c74c-4b05-8f90-d95a60049655</t>
  </si>
  <si>
    <t>Dynamics 365 Business Central Team Member (36 mo)</t>
  </si>
  <si>
    <t>d2d4dffb-0eba-445f-b84e-40160fac540c</t>
  </si>
  <si>
    <t>Dynamics 365 Business Central External Accountant (36 mo)</t>
  </si>
  <si>
    <t>01eb6543-e1fe-40d0-abee-3fb77784434d</t>
  </si>
  <si>
    <t>Dynamics 365 for Supply Chain Management (36 mo)</t>
  </si>
  <si>
    <t>365b57b9-7acf-4d00-aa33-ee8894ccc3d2</t>
  </si>
  <si>
    <t>Dynamics 365 for Sales Enterprise (36 mo)</t>
  </si>
  <si>
    <t>13aedff3-04ca-43bd-a889-0ee152c47255</t>
  </si>
  <si>
    <t>Dynamics 365 for Sales Enterprise Device (36 mo)​</t>
  </si>
  <si>
    <t>12f76974-ab7d-4cc4-91ea-3a283ec2eccd</t>
  </si>
  <si>
    <t>Dynamics 365 for Sales Professional (36 mo)</t>
  </si>
  <si>
    <t>92281354-3fb1-4894-b040-3f7cfd5d60cc</t>
  </si>
  <si>
    <t>Dynamics 365 for Sales Enterprise Attach to Qualifying Dynamics 365 Base Offer (36 mo)</t>
  </si>
  <si>
    <t>3d727b27-6d45-4632-9dc4-8d673125abee</t>
  </si>
  <si>
    <t>Dynamics 365 for Sales Professional Attach to Qualifying Dynamics 365 Base Offer (36 mo)</t>
  </si>
  <si>
    <t>9e4bdc3f-c88f-4f52-8f3f-0ccb6e28ef93</t>
  </si>
  <si>
    <t>Dynamics 365 for Customer Service Enterprise (36 mo)</t>
  </si>
  <si>
    <t>8d4b0e68-9ef3-4b1a-b770-9f2d19469d6e</t>
  </si>
  <si>
    <t>Dynamics 365 for Customer Service Enterprise Device (36 mo)​</t>
  </si>
  <si>
    <t>8250fc9d-c72d-4e9c-8300-673cde603157</t>
  </si>
  <si>
    <t>Dynamics 365 for Customer Service Professional (36 mo)</t>
  </si>
  <si>
    <t>361cf98e-e39c-4e3f-93cc-76e34aefe2fb</t>
  </si>
  <si>
    <t>Dynamics 365 for Customer Service Enterprise Attach to Qualifying Dynamics 365 Base Offer (36 mo)</t>
  </si>
  <si>
    <t>10dd2d47-086c-45eb-ada3-41754e6983c6</t>
  </si>
  <si>
    <t>Dynamics 365 for Customer Service Professional Attach to Qualifying Dynamics 365 Base Offer (36 mo)</t>
  </si>
  <si>
    <t>b64cfd9a-3d88-4301-8491-5d71c74d9c54</t>
  </si>
  <si>
    <t>95440286-4455-411c-a3f6-2d75c6ccfea3</t>
  </si>
  <si>
    <t>Dynamics 365 for Field Service Attach to Qualifying Dynamics 365 Base Offer (36 mo)</t>
  </si>
  <si>
    <t>53fdd8cc-84d8-45fa-ac5f-1f782be617ad</t>
  </si>
  <si>
    <t>Project Plan 1</t>
  </si>
  <si>
    <t>d83bfd97-d3e5-41b6-866b-05fa30d2102a</t>
  </si>
  <si>
    <t>Project Plan 1 Trial</t>
  </si>
  <si>
    <t>2449d109-63a2-45d6-8223-c43547148343</t>
  </si>
  <si>
    <t>Office 365 E5 (Nonprofit Staff Pricing)</t>
  </si>
  <si>
    <t>Power Virtual Agent User License for Faculty</t>
  </si>
  <si>
    <t>157ce909-2b07-4c98-9d99-5e13b46c1ffd</t>
  </si>
  <si>
    <t>Power Virtual Agent User License (Nonprofit Staff Pricing)</t>
  </si>
  <si>
    <t>a26c1455-9923-47bb-888d-293418f3d3cd</t>
  </si>
  <si>
    <t>D365 Human Resources</t>
  </si>
  <si>
    <t>Dynamics 365 Human Resources</t>
  </si>
  <si>
    <t>ade453de-e60a-4ef6-b631-e225cd929e0a</t>
  </si>
  <si>
    <t>Dynamics 365 Human Resources (36 mo)</t>
  </si>
  <si>
    <t>0fd82dd2-f029-49e4-8542-2ec992629a06</t>
  </si>
  <si>
    <t>Dynamics 365 Human Resources Attach to Qualifying Dynamics 365 Base Offer</t>
  </si>
  <si>
    <t>ed152361-b673-461a-99bf-cbfd35034d1a</t>
  </si>
  <si>
    <t>Dynamics 365 Human Resources Attach to Qualifying Dynamics 365 Base Offer (36 mo)</t>
  </si>
  <si>
    <t>d3c006e3-32f2-4d46-9619-ef2417d2b195</t>
  </si>
  <si>
    <t>Dynamics 365 Human Resources Attach to Qualifying Dynamics 365 Base Offer (Qualified Offer)</t>
  </si>
  <si>
    <t>55f51906-876a-46c1-84e0-7fea4a8a1ff7</t>
  </si>
  <si>
    <t>Dynamics 365 Human Resources From SA From VL/DPL</t>
  </si>
  <si>
    <t>578b38e3-b80b-4a26-81e5-2e3d0ecdc49b</t>
  </si>
  <si>
    <t>Dynamics 365 Human Resources Sandbox</t>
  </si>
  <si>
    <t>be0e5fa6-9953-4116-b34e-67a1b0ef11ac</t>
  </si>
  <si>
    <t>Dynamics 365 Human Resources Sandbox (36 mo)</t>
  </si>
  <si>
    <t>f5695915-9536-40d3-912d-ee4330512bda</t>
  </si>
  <si>
    <t>Dynamics 365 Human Resources Self Serve</t>
  </si>
  <si>
    <t>341a4b82-558b-4641-a6ce-b2bcd07309bb</t>
  </si>
  <si>
    <t>Dynamics 365 Human Resources Self Serve (36 mo)</t>
  </si>
  <si>
    <t>91425cdb-6ed8-48da-8330-68727536f937</t>
  </si>
  <si>
    <t>Dynamics 365 Human Resources Attach to Qualifying Dynamics 365 Base Offer for Faculty</t>
  </si>
  <si>
    <t>7ab7bc0b-e137-4bfe-a7b6-26fec475e90c</t>
  </si>
  <si>
    <t>Dynamics 365 Human Resources Attach to Qualifying Dynamics 365 Base Offer for Students</t>
  </si>
  <si>
    <t>2b44162e-90b3-4c73-9f25-ba5c4b048c60</t>
  </si>
  <si>
    <t>Dynamics 365 Human Resources for Faculty</t>
  </si>
  <si>
    <t>daf910cc-20ec-4eb2-ab26-e6fb16ee0ced</t>
  </si>
  <si>
    <t>Dynamics 365 Human Resources for Students</t>
  </si>
  <si>
    <t>f3cf1f64-1a96-4a1d-a7cc-5645bb950fd8</t>
  </si>
  <si>
    <t>Dynamics 365 Human Resources Sandbox for Faculty</t>
  </si>
  <si>
    <t>69896d87-3d84-4b43-97ed-ea254b742add</t>
  </si>
  <si>
    <t>Dynamics 365 Human Resources Sandbox for Students</t>
  </si>
  <si>
    <t>302fb6be-dd9c-4d13-8eaf-3d6239ad2383</t>
  </si>
  <si>
    <t>Dynamics 365 Human Resources Self Serve for Faculty</t>
  </si>
  <si>
    <t>04ec80cc-ed3e-4887-8a01-d8d122134690</t>
  </si>
  <si>
    <t>Dynamics 365 Human Resources Self Serve for Students</t>
  </si>
  <si>
    <t>34a8866e-06dc-45fe-8c55-8e98b617d9b1</t>
  </si>
  <si>
    <t>Dynamics 365 Asset Management Addl Assets</t>
  </si>
  <si>
    <t>Dynamics 365 Operations Activity (36 mo)</t>
  </si>
  <si>
    <t>Dynamics 365 Operations Activity</t>
  </si>
  <si>
    <t>Dynamics 365 Commerce</t>
  </si>
  <si>
    <t>Dynamics 365 Commerce (36 mo)</t>
  </si>
  <si>
    <t>Dynamics 365 Commerce Attach to Qualifying Dynamics 365 Base Offer</t>
  </si>
  <si>
    <t>Dynamics 365 Commerce Attach to Qualifying Dynamics 365 Base Offer (36 mo)</t>
  </si>
  <si>
    <t>Dynamics 365 Field Service Enterprise Edition</t>
  </si>
  <si>
    <t>Dynamics 365 Field Service Enterprise Edition (36 mo)</t>
  </si>
  <si>
    <t>Dynamics 365 Asset Management Addl Assets for Faculty</t>
  </si>
  <si>
    <t>e2dcab13-1365-417a-b624-4901e2b252f5</t>
  </si>
  <si>
    <t>MDATP for Server</t>
  </si>
  <si>
    <t>350158a2-f253-4ea3-988e-eef9d1b828cf</t>
  </si>
  <si>
    <t>1a7a1bcc-c7bf-4c6b-b55d-d79a6e3bb3ee</t>
  </si>
  <si>
    <t>Dynamics 365 Business Central Database Capacity</t>
  </si>
  <si>
    <t>808e03a8-e655-4471-8384-a2d021f1ea0c</t>
  </si>
  <si>
    <t>IoT Intelligence</t>
  </si>
  <si>
    <t>IoT Intelligence Scenario</t>
  </si>
  <si>
    <t>72f7ac4e-8c8e-4d9a-8e16-d04156cd8c97</t>
  </si>
  <si>
    <t>IoT Intelligence Scenario (36 mo)</t>
  </si>
  <si>
    <t>d5a39592-5546-4627-b4f0-75301f70f4a4</t>
  </si>
  <si>
    <t>b8c46a9e-5585-4c81-bfd8-5e7480b27680</t>
  </si>
  <si>
    <t>Microsoft 365 E5 Information Protection and Governance</t>
  </si>
  <si>
    <t>98b687f9-7590-48e9-835a-596d9b666cfb</t>
  </si>
  <si>
    <t>Microsoft 365 E5 Insider Risk Management</t>
  </si>
  <si>
    <t>853e72bc-69f0-4e06-a7a8-22e477c41bf6</t>
  </si>
  <si>
    <t>Power Automate per user with attended RPA plan</t>
  </si>
  <si>
    <t>a6d4244b-a98b-4640-b691-a32b4d81b6a1</t>
  </si>
  <si>
    <t>Power Automate unattended RPA add-on</t>
  </si>
  <si>
    <t>d536d35a-dd81-4e5a-8f58-9bdd2d22a16b</t>
  </si>
  <si>
    <t>Dynamics 365 Business Central Database Capacity for Faculty</t>
  </si>
  <si>
    <t>2567ee5c-23ab-4488-9e7b-08b54521a6f4</t>
  </si>
  <si>
    <t>Dynamics 365 Business Central Database Capacity for Students</t>
  </si>
  <si>
    <t>91f39f68-ccc4-4c88-8cde-c4cfb54899b0</t>
  </si>
  <si>
    <t>5d7c0030-c2e9-4a8c-bed3-5a6dbf1e4449</t>
  </si>
  <si>
    <t>6c6e2e9c-2156-4f7c-9c78-f94393b750fe</t>
  </si>
  <si>
    <t>0514821c-f7d8-41fc-8c94-59e59d3d6034</t>
  </si>
  <si>
    <t>a91941ff-79a2-4476-a064-c5a6922e0bbd</t>
  </si>
  <si>
    <t>2ed867d7-fd08-474f-8353-502b500d1c9b</t>
  </si>
  <si>
    <t>2ba72571-c0f0-4373-b999-d08cc1bb5edd</t>
  </si>
  <si>
    <t>Dynamics 365 Business Central Database Capacity (Nonprofit Staff Pricing)</t>
  </si>
  <si>
    <t>7c19c0d2-6c3b-472e-9d40-6ddbe5636c2b</t>
  </si>
  <si>
    <t>cc4c4da8-f293-40de-a119-a7e07ddbc1b3</t>
  </si>
  <si>
    <t>Microsoft 365 E5 Information Protection and Governance (Nonprofit Staff Pricing)</t>
  </si>
  <si>
    <t>ca5708b6-97ba-40a0-b8db-4078634da622</t>
  </si>
  <si>
    <t>Microsoft 365 E5 Insider Risk Management (Nonprofit Staff Pricing)</t>
  </si>
  <si>
    <t>2666bd6a-3969-47c0-a784-62b1b3d3a2c1</t>
  </si>
  <si>
    <t>Microsoft 365 A5 eDiscovery and Audit for faculty</t>
  </si>
  <si>
    <t>Microsoft 365 A5 eDiscovery and Audit for students</t>
  </si>
  <si>
    <t>Microsoft 365 A5 Information Protection and Governance for faculty</t>
  </si>
  <si>
    <t>Microsoft 365 A5 Information Protection and Governance for students</t>
  </si>
  <si>
    <t>Microsoft 365 A5 Insider Risk Management for faculty</t>
  </si>
  <si>
    <t>Microsoft 365 A5 Insider Risk Management for students</t>
  </si>
  <si>
    <t>Microsoft 365 E5 eDiscovery and Audit</t>
  </si>
  <si>
    <t>Microsoft 365 F1 Trial</t>
  </si>
  <si>
    <t>Microsoft 365 E5 eDiscovery and Audit (Nonprofit Staff Pricing)</t>
  </si>
  <si>
    <t>e127fe33-1c13-43cd-9b34-b47a816b5dc7</t>
  </si>
  <si>
    <t>b5e34602-473b-4e11-9ce2-ee0728d3880e</t>
  </si>
  <si>
    <t>Power Automate unattended RPA add-on for Faculty</t>
  </si>
  <si>
    <t>2de2d245-c87f-4d5b-8a2b-cdb430ed42ba</t>
  </si>
  <si>
    <t>Power Automate unattended RPA add-on for Students</t>
  </si>
  <si>
    <t>9f2ada2f-6106-44c5-954f-40c429677b07</t>
  </si>
  <si>
    <t>Microsoft 365 E3 - Unattended License</t>
  </si>
  <si>
    <t>7671c37b-a812-4061-ac9d-51689d9fd2da</t>
  </si>
  <si>
    <t>Microsoft 365 Apps for business (Previously Office 365 Business)</t>
  </si>
  <si>
    <t>Microsoft 365 Business Basic (Previously Office 365 Business Essentials)</t>
  </si>
  <si>
    <t>Microsoft 365 Business Standard (Previously Office 365 Business Premium)</t>
  </si>
  <si>
    <t>Microsoft 365 Business Standard Trial (Previously Office 365 Business Premium Trial)</t>
  </si>
  <si>
    <t>Microsoft 365 Apps for enterprise (Previously Office365 ProPlus)</t>
  </si>
  <si>
    <t>Microsoft 365 Business Premium (Previously Microsoft 365 Business)</t>
  </si>
  <si>
    <t>Microsoft 365 Business Premium Trial (Previously Microsoft 365 Business Trial)</t>
  </si>
  <si>
    <t>Microsoft 365 Apps for Faculty (Previously Office 365 ProPlus for faculty)</t>
  </si>
  <si>
    <t>Microsoft 365 Apps for Students (Previously Office 365 ProPlus for students)</t>
  </si>
  <si>
    <t>Microsoft 365 Apps for Students use benefit (Office 365 ProPlus for students use benefit)</t>
  </si>
  <si>
    <t>Microsoft 365 Business Basic (Nonprofit Staff Pricing) [Previously Office 365 Business Essentials (Nonprofit Staff Pricing)]</t>
  </si>
  <si>
    <t>Microsoft 365 Business Standard (Nonprofit Staff Pricing) [Previously Office 365 Business Premium (Nonprofit Staff Pricing)]</t>
  </si>
  <si>
    <t>Microsoft 365 Business Standard (Nonprofit Staff Pricing) Trial [Previously Office 365 Business Premium (Nonprofit Staff Pricing) Trial]</t>
  </si>
  <si>
    <t>Microsoft 365 Business Standard (Nonprofit Staff Pricing) [Office 365 ProPlus (Nonprofit Staff Pricing)]</t>
  </si>
  <si>
    <t>Microsoft 365 Business Standard (Nonprofit Staff Pricing) Trial [Previously Office 365 ProPlus (Nonprofit Staff Pricing) Trial]</t>
  </si>
  <si>
    <t>Microsoft 365 Business Premium (Nonprofit Staff Pricing) [Previously Microsoft 365 Business (Nonprofit Staff Pricing)]</t>
  </si>
  <si>
    <t>Microsoft 365 Business Premium (Nonprofit Staff Pricing) Trial [Previously Microsoft 365 Business (NonProfit Staff Pricing) Trial]</t>
  </si>
  <si>
    <t>Microsoft 365 Business Premium (Nonprofit Staff Pricing) Donation [Previously Microsoft 365 Business (Nonprofit Staff Pricing) Donation]</t>
  </si>
  <si>
    <t>Microsoft 365 A3 - Unattended License for faculty</t>
  </si>
  <si>
    <t>0e9552f2-3ef7-4ed1-bac0-2cce1308b21b</t>
  </si>
  <si>
    <t>Microsoft 365 A3 - Unattended License for students</t>
  </si>
  <si>
    <t>72da854c-7a82-4462-9aff-8cc32763fa21</t>
  </si>
  <si>
    <t>40493da2-e17c-44dc-b902-19c69a3933bb</t>
  </si>
  <si>
    <t>Power Automate unattended RPA add-on (Nonprofit Staff Pricing)</t>
  </si>
  <si>
    <t>dd746630-de52-4e69-af11-33b4a1d14753</t>
  </si>
  <si>
    <t>Microsoft 365 F3</t>
  </si>
  <si>
    <t>Office 365 F3</t>
  </si>
  <si>
    <t>Dynamics 365:  Fraud Protection</t>
  </si>
  <si>
    <t>Dynamics 365 Fraud Protection Account Protection</t>
  </si>
  <si>
    <t>9c67d4f2-fbdb-48a0-8c6c-15d9a1eef7ee</t>
  </si>
  <si>
    <t>Dynamics 365 Fraud Protection Account Protection Addon Tier 1</t>
  </si>
  <si>
    <t>f4d6d6cc-b7e6-4e05-bb60-de52ab3d95d1</t>
  </si>
  <si>
    <t>Dynamics 365 Fraud Protection Loss Prevention</t>
  </si>
  <si>
    <t>b8ece6e3-dadd-4d4c-8c9f-e885a63003ed</t>
  </si>
  <si>
    <t>Dynamics 365 Fraud Protection Loss Prevention Addon</t>
  </si>
  <si>
    <t>626d21d7-1141-4567-bcb2-26afebbed4e3</t>
  </si>
  <si>
    <t>Dynamics 365 Fraud Protection Purchase Protection</t>
  </si>
  <si>
    <t>28acf312-45ee-4dd6-b545-10561dcb2359</t>
  </si>
  <si>
    <t>Dynamics 365 Fraud Protection Purchase Protection Addon</t>
  </si>
  <si>
    <t>ebd89328-123c-4afc-9431-d2f04a394ef6</t>
  </si>
  <si>
    <t>17b4a1d6-2c65-478e-a046-51cf40d25d76</t>
  </si>
  <si>
    <t>2e4e9424-06db-4d35-b2d8-3a1b0ef1dc63</t>
  </si>
  <si>
    <t>Dynamics 365 Fraud Protection Account Protection Addon for Faculty Tier 1</t>
  </si>
  <si>
    <t>beeafb06-d78c-45f4-9446-3fa6ebbc7803</t>
  </si>
  <si>
    <t>Dynamics 365 Fraud Protection Loss Prevention Addon for Faculty</t>
  </si>
  <si>
    <t>5d4547df-6872-4bbd-93b7-e63b1cb07792</t>
  </si>
  <si>
    <t>Dynamics 365 Fraud Protection Loss Prevention for Faculty</t>
  </si>
  <si>
    <t>1bc4f992-eda4-4a90-8628-ec35b5279e0e</t>
  </si>
  <si>
    <t>Dynamics 365 Fraud Protection Purchase Protection Addon for Faculty</t>
  </si>
  <si>
    <t>802036f3-f638-4959-b9cd-781910dba0d7</t>
  </si>
  <si>
    <t>Dynamics 365 Fraud Protection Purchase Protection for Faculty</t>
  </si>
  <si>
    <t>c630aa52-f084-42fb-b8b6-667e2f7e8030</t>
  </si>
  <si>
    <t>Global Accelerators</t>
  </si>
  <si>
    <t>MEA Strategic Incentive</t>
  </si>
  <si>
    <t>Global H1 Q1 Incentive</t>
  </si>
  <si>
    <t>`</t>
  </si>
  <si>
    <t>Global H1Q1 Incentive</t>
  </si>
  <si>
    <t>Advanced Communications</t>
  </si>
  <si>
    <t>efb0c254-e9c6-4e9b-be12-eb2b7849953f</t>
  </si>
  <si>
    <t>Dynamics 365 Sales Premium</t>
  </si>
  <si>
    <t>71429144-d618-4da6-8b9b-80d41938b5e9</t>
  </si>
  <si>
    <t>Microsoft 365 International Calling Plan</t>
  </si>
  <si>
    <t>8aedc5a1-02be-4c9f-8894-989a69aa9aad</t>
  </si>
  <si>
    <t>Visio Plan 1 Trial</t>
  </si>
  <si>
    <t>7b6bb5a6-15c9-4ede-8eba-e2dfe2118b69</t>
  </si>
  <si>
    <t>Visio Plan 2 Trial</t>
  </si>
  <si>
    <t>20f1b560-c19a-4fc7-abc0-d8a797c06338</t>
  </si>
  <si>
    <t>Dynamics 365 Fraud Protection Account Protection Addon Tier 2 (Minimum units required)</t>
  </si>
  <si>
    <t>6910823a-9494-4441-9fee-4539117611e2</t>
  </si>
  <si>
    <t>Advanced Communications for faculty</t>
  </si>
  <si>
    <t>13219baa-468f-4eeb-bfaa-243216dbddca</t>
  </si>
  <si>
    <t>Advanced Communications for students</t>
  </si>
  <si>
    <t>31a690b0-3945-4adf-98ab-644e0a879b3f</t>
  </si>
  <si>
    <t>Dynamics 365 Sales Premium for Faculty</t>
  </si>
  <si>
    <t>ec85264a-bee0-4390-90d1-5e6d2d5d0f75</t>
  </si>
  <si>
    <t>Dynamics 365 Sales Premium for Students</t>
  </si>
  <si>
    <t>e0fbdbc4-beb2-4245-9a33-779747ac88a3</t>
  </si>
  <si>
    <t>Dynamics 365 Fraud Protection Account Protection Addon for Faculty Tier 2 (Minimum units required)</t>
  </si>
  <si>
    <t>711e2441-673c-4322-947c-ce2eb8035605</t>
  </si>
  <si>
    <t>Dynamics 365 Fraud Protection Loss Prevention Addon for Faculty Tier 2 (Minimum units required)</t>
  </si>
  <si>
    <t>2d912aad-bd09-4b66-87dc-ca75f2a5ef48</t>
  </si>
  <si>
    <t>Dynamics 365 Fraud Protection Purchase Protection Addon for Faculty Tier 2 (Minimum units required)</t>
  </si>
  <si>
    <t>a7c8ecde-9e3d-412d-8657-45ab025e8260</t>
  </si>
  <si>
    <t>Advanced Communications (Nonprofit Staff Pricing)</t>
  </si>
  <si>
    <t>aeb9dca5-671d-42b2-91f9-b6f5915675a1</t>
  </si>
  <si>
    <t>Dynamics 365 Sales Premium (Nonprofit Staff Pricing)</t>
  </si>
  <si>
    <t>860ff2c2-fb92-4794-8945-710da7c2b090</t>
  </si>
  <si>
    <t>Microsoft 365 E5 with Calling Minutes (Nonprofit Staff Pricing)</t>
  </si>
  <si>
    <t>c2caa762-83f8-43c4-acec-ecad58b69d1b</t>
  </si>
  <si>
    <t>e009bed1-5108-4319-8d1e-56eb34342e19</t>
  </si>
  <si>
    <r>
      <rPr>
        <sz val="11"/>
        <color rgb="FFFF0000"/>
        <rFont val="Calibri"/>
        <family val="2"/>
        <scheme val="minor"/>
      </rPr>
      <t xml:space="preserve"> *</t>
    </r>
    <r>
      <rPr>
        <sz val="11"/>
        <color theme="1"/>
        <rFont val="Calibri"/>
        <family val="2"/>
        <scheme val="minor"/>
      </rPr>
      <t xml:space="preserve"> Please note:  Should a customer already have a onmicrosoft.com domain, we would need to facilitate a reseller association.  Please request that the customer's global administrator for their tenant except your unique customer association link in order to facilitate the process. Should you requie your unique customer association link to be send through to you, please reach out to Dynamics Africa directly.</t>
    </r>
  </si>
  <si>
    <r>
      <rPr>
        <sz val="11"/>
        <rFont val="Calibri"/>
        <family val="2"/>
        <scheme val="minor"/>
      </rPr>
      <t xml:space="preserve"> *</t>
    </r>
    <r>
      <rPr>
        <sz val="11"/>
        <color rgb="FFFF0000"/>
        <rFont val="Calibri"/>
        <family val="2"/>
        <scheme val="minor"/>
      </rPr>
      <t xml:space="preserve"> </t>
    </r>
    <r>
      <rPr>
        <sz val="11"/>
        <rFont val="Calibri"/>
        <family val="2"/>
        <scheme val="minor"/>
      </rPr>
      <t>Reference Price List is private and confidential and may not be distributed to other Microsoft Partners or Providers.  Any breach will result in Dynamics Africa CSP Indirect Reseller Agreement (CSPIRA) being terminated.</t>
    </r>
  </si>
  <si>
    <t xml:space="preserve"> - Please download the full incentives guide from:  https://assets.microsoft.com/en-us/csp-indirect-reseller-incentives-guide.pdf </t>
  </si>
  <si>
    <t>https://www.microsoft.com/en-us/microsoft-365/exchange/exchange-online?activetab=pivot:overviewtab</t>
  </si>
  <si>
    <t>https://www.microsoft.com/en-us/microsoft-365/exchange/compare-microsoft-exchange-online-plans</t>
  </si>
  <si>
    <t>https://www.microsoft.com/en-us/microsoft-365/exchange/microsoft-exchange-online-archiving-email?activetab=pivot%3aoverviewtab</t>
  </si>
  <si>
    <t>https://www.microsoft.com/en-us/microsoft-365/exchange/microsoft-exchange-licensing-faq-email-for-business</t>
  </si>
  <si>
    <t>https://docs.microsoft.com/en-us/microsoft-365/security/office-365-security/exchange-online-protection-overview?view=o365-worldwide</t>
  </si>
  <si>
    <t>https://www.microsoft.com/en-us/microsoft-365/business/microsoft-365-apps-for-business?activetab=pivot%3aoverviewtab</t>
  </si>
  <si>
    <t>https://www.microsoft.com/en-us/microsoft-365/business/microsoft-365-business-basic?activetab=pivot%3aoverviewtab</t>
  </si>
  <si>
    <t>https://www.microsoft.com/en-us/microsoft-365/business/microsoft-365-business-standard?activetab=pivot%3aoverviewtab</t>
  </si>
  <si>
    <t>https://www.microsoft.com/en-us/microsoft-365/enterprise/office-365-e1?activetab=pivot%3aoverviewtab</t>
  </si>
  <si>
    <t>https://www.microsoft.com/en-us/microsoft-365/enterprise/office-365-e3?activetab=pivot%3aoverviewtab</t>
  </si>
  <si>
    <t>https://www.microsoft.com/en-us/microsoft-365/enterprise/office-365-e5?activetab=pivot%3aoverviewtab</t>
  </si>
  <si>
    <t>https://docs.microsoft.com/en-us/skypeforbusiness/skype-for-business-and-microsoft-teams-add-on-licensing/license-options-based-on-your-plan/office-365-enterprise-e5-without-audio-conferencing</t>
  </si>
  <si>
    <t>https://docs.microsoft.com/en-us/microsoft-365/commerce/add-storage-space?view=o365-worldwide</t>
  </si>
  <si>
    <t>https://www.microsoft.com/en-us/microsoft-365/enterprise/office-365-f3?activetab=pivot%3aoverviewtab</t>
  </si>
  <si>
    <t>https://www.microsoft.com/en-za/microsoft-365/business/microsoft-365-apps-for-enterprise-product?activetab=pivot%3aoverviewtab</t>
  </si>
  <si>
    <t>https://docs.microsoft.com/en-us/microsoft-365/compliance/data-loss-prevention-policies?view=o365-worldwide</t>
  </si>
  <si>
    <t>https://www.microsoft.com/en-us/microsoft-365/business/e5-compliance?activetab=pivot%3aoverviewtab</t>
  </si>
  <si>
    <t>https://docs.microsoft.com/en-us/windows/security/threat-protection/microsoft-defender-atp/microsoft-defender-advanced-threat-protection</t>
  </si>
  <si>
    <t>https://docs.microsoft.com/en-us/windows/security/threat-protection/microsoft-defender-atp/configure-server-endpoints</t>
  </si>
  <si>
    <t>https://docs.microsoft.com/en-us/microsoft-365/compliance/get-started-with-advanced-ediscovery?view=o365-worldwide</t>
  </si>
  <si>
    <t>https://www.microsoft.com/en-us/microsoft-365/business/data-protection</t>
  </si>
  <si>
    <t>https://docs.microsoft.com/en-us/microsoft-365/compliance/insider-risk-management?view=o365-worldwide</t>
  </si>
  <si>
    <t>https://www.microsoft.com/en-us/microsoft-365/exchange/advance-threat-protection#office-ProductsCompare-785zwzq</t>
  </si>
  <si>
    <t>https://docs.microsoft.com/en-us/microsoft-365/compliance/overview-ediscovery-20?view=o365-worldwide</t>
  </si>
  <si>
    <t>https://docs.microsoft.com/en-us/power-platform/admin/capacity-storage</t>
  </si>
  <si>
    <t>https://docs.microsoft.com/en-us/azure/active-directory/fundamentals/active-directory-whatis</t>
  </si>
  <si>
    <t>https://docs.microsoft.com/en-us/azure-advanced-threat-protection/what-is-atp</t>
  </si>
  <si>
    <t>https://www.microsoft.com/en-us/microsoft-365/onedrive/compare-onedrive-plans?activetab=tab:primaryr2</t>
  </si>
  <si>
    <t>https://products.office.com/en-us/project/compare-microsoft-project-management-software?tab=1</t>
  </si>
  <si>
    <t>https://www.microsoft.com/en-us/microsoft-365/project/project-plan-5?activetab=pivot%3aoverviewtab</t>
  </si>
  <si>
    <t>https://www.microsoft.com/en-us/microsoft-365/project/project-plan-3?activetab=pivot%3aoverviewtab</t>
  </si>
  <si>
    <t>https://www.microsoft.com/en-us/microsoft-365/project/project-plan-1?activetab=pivot%3aoverviewtab</t>
  </si>
  <si>
    <t>https://products.office.com/en-us/sharepoint/compare-sharepoint-plans</t>
  </si>
  <si>
    <t>https://docs.microsoft.com/en-us/microsoftteams/teams-add-on-licensing/virtual-user</t>
  </si>
  <si>
    <t>https://docs.microsoft.com/en-us/microsoftteams/teams-add-on-licensing/virtual-user#:~:text=How%20to%20buy%20Microsoft%20365%20Phone%20System%20%E2%80%93,System%20%E2%80%93%20Virtual%20User%20license.%20Select%20Buy%20now.</t>
  </si>
  <si>
    <t>https://docs.microsoft.com/en-us/microsoftteams/teams-add-on-licensing/virtual-user#how-to-buy-microsoft-365-phone-system--virtual-user-licenses</t>
  </si>
  <si>
    <t>https://docs.microsoft.com/en-us/skypeforbusiness/what-is-phone-system-in-office-365/getting-phones-for-skype-for-business-online/setting-up-common-area-phones</t>
  </si>
  <si>
    <t>https://docs.microsoft.com/en-us/MicrosoftTeams/calling-plans-for-office-365</t>
  </si>
  <si>
    <t>https://www.microsoft.com/en-us/microsoft-365/microsoft-teams/online-meetings#pricingconferencing</t>
  </si>
  <si>
    <t>https://www.microsoft.com/en-us/microsoft-365/visio/microsoft-visio-plans-and-pricing-compare-visio-options</t>
  </si>
  <si>
    <t>https://docs.microsoft.com/en-us/windows/deployment/windows-10-enterprise-e3-overview#related-topics</t>
  </si>
  <si>
    <t>https://docs.microsoft.com/en-us/windows/deployment/windows-10-enterprise-e3-overview</t>
  </si>
  <si>
    <t>https://www.microsoft.com/en-ww/microsoft-365/business/microsoft-365-business-premium?market=af</t>
  </si>
  <si>
    <t>https://www.microsoft.com/en-us/microsoft-365/business</t>
  </si>
  <si>
    <t>https://www.microsoft.com/en-us/microsoft-365/compare-microsoft-365-enterprise-plans</t>
  </si>
  <si>
    <t>https://www.microsoft.com/en-us/microsoft-365/enterprise/firstline?rtc=1</t>
  </si>
  <si>
    <t>https://portal.office.com/signup/logout?OfferId=87dd2714-d452-48a0-a809-d2f58c4f68b7</t>
  </si>
  <si>
    <t>https://dynamics.microsoft.com/en-za/business-central/capabilities/</t>
  </si>
  <si>
    <t>https://docs.microsoft.com/en-us/dynamics365/business-central/ui-how-users-permissions#the-device-license</t>
  </si>
  <si>
    <t>https://docs.microsoft.com/en-us/dynamics365/business-central/finance-accounting</t>
  </si>
  <si>
    <t>https://docs.microsoft.com/en-us/dynamics365-release-plan/2020wave2/smb/dynamics365-business-central/improved-overview-management-database-file-capacity</t>
  </si>
  <si>
    <t>https://docs.microsoft.com/en-us/dynamics365/finance/</t>
  </si>
  <si>
    <t>https://dynamics.microsoft.com/en-us/pricing/#Finance</t>
  </si>
  <si>
    <t>https://docs.microsoft.com/en-us/dynamics365/supply-chain/asset-management/</t>
  </si>
  <si>
    <t>https://dynamics.microsoft.com/en-us/pricing/#Operations</t>
  </si>
  <si>
    <t>https://docs.microsoft.com/en-us/dynamics365/get-started/team-members-license</t>
  </si>
  <si>
    <t>https://dynamics.microsoft.com/en-za/mixed-reality/guides/</t>
  </si>
  <si>
    <t>https://docs.microsoft.com/en-us/dynamics365/commerce/</t>
  </si>
  <si>
    <t>https://dynamics.microsoft.com/en-us/pricing/sales/</t>
  </si>
  <si>
    <t>https://dynamics.microsoft.com/en-us/pricing/#Sales</t>
  </si>
  <si>
    <t>https://dynamics.microsoft.com/en-us/customer-service/overview/</t>
  </si>
  <si>
    <t>https://dynamics.microsoft.com/en-us/customer-service/professional/</t>
  </si>
  <si>
    <t>https://docs.microsoft.com/en-us/dynamics365/human-resources</t>
  </si>
  <si>
    <t>https://dynamics.microsoft.com/en-us/ai/fraud-protection/</t>
  </si>
  <si>
    <t>https://docs.microsoft.com/en-us/dynamics365/fraud-protection/loss-prevention-overview</t>
  </si>
  <si>
    <t>https://docs.microsoft.com/en-us/dynamics365/fraud-protection/purchase-protection</t>
  </si>
  <si>
    <t>https://powerapps.microsoft.com/en-us/pricing/</t>
  </si>
  <si>
    <t>https://dynamics.microsoft.com/en-us/ai/virtual-agent-for-customer-service/</t>
  </si>
  <si>
    <t>https://azure.microsoft.com/en-ca/pricing/details/iot-hub/</t>
  </si>
  <si>
    <t>https://www.microsoft.com/en-us/microsoft-365/academic/compare-office-365-education-plans?activetab=tab%3aprimaryr1</t>
  </si>
  <si>
    <t>https://docs.microsoft.com/en-us/learn/modules/get-started-with-powerapps-common-data-service/</t>
  </si>
  <si>
    <t>https://docs.microsoft.com/en-us/office365/servicedescriptions/office-365-platform-service-description/microsoft-365-education</t>
  </si>
  <si>
    <t>https://docs.microsoft.com/en-us/microsoftteams/set-up-common-area-phones</t>
  </si>
  <si>
    <t>https://docs.microsoft.com/en-us/microsoftteams/audio-conferencing-in-office-365</t>
  </si>
  <si>
    <t>https://www.microsoft.com/en-us/microsoft-365/microsoft-teams/voice-calling</t>
  </si>
  <si>
    <t>https://www.microsoft.com/en-us/education/buy-license/microsoft365/default.aspx</t>
  </si>
  <si>
    <t>https://docs.microsoft.com/en-us/workplace-analytics/myanalytics/mya-landing-page</t>
  </si>
  <si>
    <t>https://dynamics.microsoft.com/en-us/mixed-reality/remote-assist/</t>
  </si>
  <si>
    <t>https://docs.microsoft.com/en-us/dynamics365/mixed-reality/remote-assist/buy-remote-assist</t>
  </si>
  <si>
    <t>https://docs.microsoft.com/en-us/dynamics365/supply-chain/iot/iot-intelligence-home-page</t>
  </si>
  <si>
    <t>https://docs.microsoft.com/en-us/dynamics365/ai/sales/overview</t>
  </si>
  <si>
    <t>https://docs.microsoft.com/en-us/dynamics365/sales-enterprise/overview</t>
  </si>
  <si>
    <t>https://docs.microsoft.com/en-us/dynamics365/project-service/overview</t>
  </si>
  <si>
    <t>https://dynamics.microsoft.com/en-us/field-service/overview/</t>
  </si>
  <si>
    <t>https://docs.microsoft.com/en-us/dynamics365/human-resources/</t>
  </si>
  <si>
    <t>https://www.microsoft.com/en-us/microsoft-365/business/microsoft-powerapps</t>
  </si>
  <si>
    <t>https://www.microsoft.com/en-us/education/intune</t>
  </si>
  <si>
    <t>https://docs.microsoft.com/en-us/stream/license-overview</t>
  </si>
  <si>
    <t>https://docs.microsoft.com/en-us/dynamics365/ai/customer-insights/overview</t>
  </si>
  <si>
    <t>https://www.microsoft.com/en-us/microsoft-365/nonprofit/office-365-nonprofit-plans-and-pricing?activetab=tab%3aprimaryr1</t>
  </si>
  <si>
    <t>https://www.microsoft.com/en-us/microsoft-365/nonprofit/office-365-nonprofit-plans-and-pricing</t>
  </si>
  <si>
    <t>https://www.microsoft.com/en-us/microsoft-365/business/business-voice</t>
  </si>
  <si>
    <t>https://www.microsoft.com/en-us/nonprofits/microsoft-365</t>
  </si>
  <si>
    <t>https://www.microsoft.com/en-us/microsoft-365/nonprofit/office-365-nonprofit</t>
  </si>
  <si>
    <t>https://docs.microsoft.com/en-us/stream/storage-add-on#:~:text=In%20this%20article&amp;text=When%20your%20organization%20purchased%20Microsoft,500%20GB%20storage%20add%2Dons.</t>
  </si>
  <si>
    <t>https://docs.microsoft.com/en-us/dynamics365/field-service/rso-overview</t>
  </si>
  <si>
    <t>https://dynamics.microsoft.com/en-us/sales/capabilities/</t>
  </si>
  <si>
    <t>https://dynamics.microsoft.com/en-us/ai/sales-insights/</t>
  </si>
  <si>
    <t>https://docs.microsoft.com/en-us/dynamics365/business-central/</t>
  </si>
  <si>
    <t>https://powerbi.microsoft.com/en-us/power-bi-premium/</t>
  </si>
  <si>
    <t>Extended Dial-out Minutes to USA/CAN (Nonprofit Staff Pricing)</t>
  </si>
  <si>
    <t>1c73c404-05ae-4418-8c91-c18a9797c99b</t>
  </si>
  <si>
    <t>MDATP for Servers Edu</t>
  </si>
  <si>
    <t>c7b9ab7e-8f80-4b4b-8aed-dcad61f28995</t>
  </si>
  <si>
    <t>Extended Dial-out Minutes to USA/CAN for faculty</t>
  </si>
  <si>
    <t>78e5a66f-323d-4b0f-b9e5-5262d3231cea</t>
  </si>
  <si>
    <t>Extended Dial-out Minutes to USA/CAN for students</t>
  </si>
  <si>
    <t>eec685f4-5b3e-4a84-98aa-521559f890dc</t>
  </si>
  <si>
    <t>Extended Dial-out Minutes to USA/CAN</t>
  </si>
  <si>
    <t>be8d0407-ec35-4bbd-805b-dd17184c331d</t>
  </si>
  <si>
    <t>Project Plan 3 Trial</t>
  </si>
  <si>
    <t>6448ae60-0ea4-4164-8ea9-c2922c757f3d</t>
  </si>
  <si>
    <t>Dynamics 365 Business Central Additional Environment Addon</t>
  </si>
  <si>
    <t>642447e8-06fe-4176-b0e4-8745aa293722</t>
  </si>
  <si>
    <t>Dynamics 365 Project Operations</t>
  </si>
  <si>
    <t>55c26c57-80a9-4da3-a7c2-8ca28a8023ad</t>
  </si>
  <si>
    <t>Dynamics 365 Project Operations (Qualified Offer) (0-user minimum for Project Service Automation transitions)</t>
  </si>
  <si>
    <t>cf08ad6c-ba29-404a-be97-f61f35551ee7</t>
  </si>
  <si>
    <t>Dynamics 365 Project Operations Attach</t>
  </si>
  <si>
    <t>3d8d499f-38db-4587-b44d-271aaed80f0d</t>
  </si>
  <si>
    <t>Dynamics 365 Project Operations Attach (Qualified Offer) (0-user minimum for Project Service Automation transitions)</t>
  </si>
  <si>
    <t>741a5909-ece2-4420-8575-3cd2113c7531</t>
  </si>
  <si>
    <t>SharePoint Syntex</t>
  </si>
  <si>
    <t>2e969027-6eca-44a3-88fb-e7923e2c147f</t>
  </si>
  <si>
    <t>Extra Graph Connector Capacity</t>
  </si>
  <si>
    <t>9c8b008f-d84f-46cd-a588-fea84947161d</t>
  </si>
  <si>
    <t>Dynamics 365 Business Central Additional Environment Addon for Faculty</t>
  </si>
  <si>
    <t>14c02bb6-b226-4951-8c9a-f12bbfb0aaf3</t>
  </si>
  <si>
    <t>Dynamics 365 Project Operations Attach for Faculty</t>
  </si>
  <si>
    <t>3dad9f29-0543-42e4-9bff-21c8010f3a41</t>
  </si>
  <si>
    <t>Dynamics 365 Project Operations Attach for Faculty (Qualified Offer) (0-user minimum for Project Service Automation transitions)</t>
  </si>
  <si>
    <t>e21a7987-2d79-4ace-89eb-4d1f69d226fe</t>
  </si>
  <si>
    <t>Dynamics 365 Project Operations Attach for Students</t>
  </si>
  <si>
    <t>707902b1-54b5-4dd3-910c-0ca4376cba8a</t>
  </si>
  <si>
    <t>Dynamics 365 Project Operations Attach for Students (Qualified Offer) (0-user minimum for Project Service Automation transitions)</t>
  </si>
  <si>
    <t>a3b23d24-a1bc-4b9a-be03-3c71297d3738</t>
  </si>
  <si>
    <t>Dynamics 365 Project Operations for Faculty</t>
  </si>
  <si>
    <t>36f7ab3f-3165-472f-97f9-e7fd1649d92a</t>
  </si>
  <si>
    <t>Dynamics 365 Project Operations for Faculty (Qualified Offer) (0-user minimum for Project Service Automation transitions)</t>
  </si>
  <si>
    <t>ab2f1304-51e9-4066-b274-ac0cd33d24c2</t>
  </si>
  <si>
    <t>Dynamics 365 Project Operations for Students</t>
  </si>
  <si>
    <t>33076cdc-516d-48df-a23c-5954f7d924e7</t>
  </si>
  <si>
    <t>Dynamics 365 Project Operations for Students (Qualified Offer) (0-user minimum for Project Service Automation transitions)</t>
  </si>
  <si>
    <t>69907188-cc89-4dd8-807e-8f0695c7c594</t>
  </si>
  <si>
    <t>Extra Graph Connector Capacity for faculty</t>
  </si>
  <si>
    <t>0e0eb210-86e7-4038-9905-4fd5bf71c4bd</t>
  </si>
  <si>
    <t>Extra Graph Connector Capacity for students</t>
  </si>
  <si>
    <t>d606281d-739b-435f-8569-bdb47c1f5ce6</t>
  </si>
  <si>
    <t>Microsoft 365 Audio Conferencing for faculty Adoption Promo</t>
  </si>
  <si>
    <t>739b0a77-21a4-4b88-92db-abe532a6e451</t>
  </si>
  <si>
    <t>Microsoft 365 Audio Conferencing for students Adoption Promo</t>
  </si>
  <si>
    <t>bb6230b1-fb2d-411d-b5da-17fb66f7e6ff</t>
  </si>
  <si>
    <t>Dynamics 365 Business Central Additional Environment Addon (Nonprofit Staff Pricing)</t>
  </si>
  <si>
    <t>668ba8a2-7cf6-49c2-9fd4-035fdb63f3a0</t>
  </si>
  <si>
    <t>Global Strategic</t>
  </si>
  <si>
    <t>Power Automate per flow plan</t>
  </si>
  <si>
    <t>Power Automate per user plan</t>
  </si>
  <si>
    <t>Advanced Communications Promo</t>
  </si>
  <si>
    <t>0e89eea4-5cb1-4417-9f5d-886d1ff87940</t>
  </si>
  <si>
    <t>Dynamics 365 Customer Voice USL</t>
  </si>
  <si>
    <t>042c159a-2292-4f42-ad0b-06dc08f8f7a9</t>
  </si>
  <si>
    <t>Teams Rooms Premium</t>
  </si>
  <si>
    <t>5db9aa31-f039-4740-b122-a33514e4c492</t>
  </si>
  <si>
    <t>Teams Rooms Premium without Audio Conferencing</t>
  </si>
  <si>
    <t>9d94df17-601e-46af-81ca-ba2ba10eeb28</t>
  </si>
  <si>
    <t>Microsoft Defender for Office 365 (Plan 1) (Nonprofit Staff Pricing)</t>
  </si>
  <si>
    <t>Microsoft Defender for Office 365 (Plan 2) (Nonprofit Staff Pricing)</t>
  </si>
  <si>
    <t>Microsoft Defender For Endpoint EDU</t>
  </si>
  <si>
    <t>Microsoft Defender for Identity for Users for Faculty</t>
  </si>
  <si>
    <t>Microsoft Defender for Identity for Users for Students</t>
  </si>
  <si>
    <t>Microsoft Defender for Office 365 (Plan 1) Faculty</t>
  </si>
  <si>
    <t>Microsoft Defender for Office 365 (Plan 1) Student</t>
  </si>
  <si>
    <t>Microsoft Defender for Office 365 (Plan 1) Student use benefit</t>
  </si>
  <si>
    <t>Microsoft Defender for Office 365 (Plan 2) Faculty</t>
  </si>
  <si>
    <t>Microsoft Defender for Office 365 (Plan 2) Student</t>
  </si>
  <si>
    <t>Microsoft Defender For Endpoint</t>
  </si>
  <si>
    <t>Microsoft Defender for Identity for Users</t>
  </si>
  <si>
    <t>Microsoft Defender for Office 365 (Plan 1)</t>
  </si>
  <si>
    <t>Microsoft Defender for Office 365 (Plan 2)</t>
  </si>
  <si>
    <t>cd57079c-f1de-4647-a8e4-e1c6e22479d8</t>
  </si>
  <si>
    <t>b9556796-00f9-46d4-a1e0-a1c45ce6b4ec</t>
  </si>
  <si>
    <t>540e11e3-9298-46ab-a382-ec623aa99bf2</t>
  </si>
  <si>
    <t>Office 365 E1 for mid-market</t>
  </si>
  <si>
    <t>d20fdad5-f524-45e4-97b1-59a94c21778f</t>
  </si>
  <si>
    <t>ea7aa637-a20a-4431-b1d4-c7fdc13347c6</t>
  </si>
  <si>
    <t>a0c39332-cdc8-4d16-a52d-75a1cdfb93c1</t>
  </si>
  <si>
    <t>Dynamics 365 Sales Enterprise Edition (Nonprofit Staff Pricing) donation</t>
  </si>
  <si>
    <t>ProductId</t>
  </si>
  <si>
    <t>SkuId</t>
  </si>
  <si>
    <t>SkuTitle</t>
  </si>
  <si>
    <t>0003</t>
  </si>
  <si>
    <t>BizTalk Server 2020 Branch</t>
  </si>
  <si>
    <t>DG7GMGF0G49Z</t>
  </si>
  <si>
    <t>0002</t>
  </si>
  <si>
    <t>BizTalk Server 2020 Enterprise</t>
  </si>
  <si>
    <t>DG7GMGF0G49X</t>
  </si>
  <si>
    <t>0001</t>
  </si>
  <si>
    <t>BizTalk Server 2020 Standard</t>
  </si>
  <si>
    <t>DG7GMGF0G49W</t>
  </si>
  <si>
    <t>Project Server 2019</t>
  </si>
  <si>
    <t>DG7GMGF0F4MH</t>
  </si>
  <si>
    <t>DG7GMGF0F4LF</t>
  </si>
  <si>
    <t>Project Server 2019 User CAL</t>
  </si>
  <si>
    <t>Project Server 2019 Device CAL</t>
  </si>
  <si>
    <t>SharePoint Server 2019</t>
  </si>
  <si>
    <t>DG7GMGF0F4LT</t>
  </si>
  <si>
    <t>DG7GMGF0FKZW</t>
  </si>
  <si>
    <t>DG7GMGF0FKZV</t>
  </si>
  <si>
    <t>DG7GMGF0FLR2</t>
  </si>
  <si>
    <t>DG7GMGF0FKX9</t>
  </si>
  <si>
    <t>DG7GMGF0DMGQ</t>
  </si>
  <si>
    <t>0005</t>
  </si>
  <si>
    <t>DG7GMGF0DMGP</t>
  </si>
  <si>
    <t>0007</t>
  </si>
  <si>
    <t>DG7GMGF0DVSW</t>
  </si>
  <si>
    <t>0004</t>
  </si>
  <si>
    <t>000F</t>
  </si>
  <si>
    <t>DG7GMGF0DVSX</t>
  </si>
  <si>
    <t>DG7GMGF0DVT9</t>
  </si>
  <si>
    <t xml:space="preserve"> Reseller Price</t>
  </si>
  <si>
    <t>Segment</t>
  </si>
  <si>
    <t>Reseller $ Cost</t>
  </si>
  <si>
    <t>Suggested Retail $</t>
  </si>
  <si>
    <t>Reseller Margin $</t>
  </si>
  <si>
    <t>SQL Server Standard - 2 Core License Pack - 1 year</t>
  </si>
  <si>
    <t>SQL Server Standard - 2 Core License Pack - 3 year</t>
  </si>
  <si>
    <t>Product ID</t>
  </si>
  <si>
    <t>10-Year Audit Log Retention Add On</t>
  </si>
  <si>
    <t>e14ce8d1-09f4-42d2-9b5e-ee85f32e7be4</t>
  </si>
  <si>
    <t>Dynamics 365 Customer Voice</t>
  </si>
  <si>
    <t>Dynamics 365 Customer Voice Add-On</t>
  </si>
  <si>
    <t>51e31787-fe17-4fe9-a9ac-000dac25a19b</t>
  </si>
  <si>
    <t>4c3cb91a-d6b2-4560-a013-831d73308589</t>
  </si>
  <si>
    <t>Microsoft 365 F5 Compliance Add-on</t>
  </si>
  <si>
    <t>6dc6cb1d-7bcb-4234-80cc-9c7a9cded044</t>
  </si>
  <si>
    <t>Microsoft 365 F5 Security + Compliance Add-on</t>
  </si>
  <si>
    <t>Microsoft 365 F5 Security Add-on</t>
  </si>
  <si>
    <t>ad396924-ee4e-4059-b779-efe43dfa24d2</t>
  </si>
  <si>
    <t>a8fba59e-1fc2-4658-8684-5f3d0c71c490</t>
  </si>
  <si>
    <t>b9ef0c81-9ca6-45fd-a6c1-627745ba8b8a</t>
  </si>
  <si>
    <t>10-Year Audit Log Retention Add On EDU</t>
  </si>
  <si>
    <t>879b5e1a-eaa2-4ea9-a628-0b429b2e8732</t>
  </si>
  <si>
    <t>Topic Experiences for faculty</t>
  </si>
  <si>
    <t>Topic Experiences for students</t>
  </si>
  <si>
    <t>8c930d38-db61-4afa-83f9-77c595c5cdfc</t>
  </si>
  <si>
    <t>5de461d5-8ccc-4a8e-98ae-58a3ad400a57</t>
  </si>
  <si>
    <t>Dynamics 365 Customer Voice Add-On (Nonprofit Staff Pricing)</t>
  </si>
  <si>
    <t>0c2ece0d-39b7-40ec-8c08-87c2b6c75d62</t>
  </si>
  <si>
    <t>a858a684-db4b-49aa-a65d-e5c102d2983c</t>
  </si>
  <si>
    <t>DG7GMGF0F4MB</t>
  </si>
  <si>
    <t>Exchange Server Standard 2019 Device CAL</t>
  </si>
  <si>
    <t>Exchange Server Standard 2019 User CAL</t>
  </si>
  <si>
    <t>Exchange Server Standard 2019</t>
  </si>
  <si>
    <t>DG7GMGF0F4MC</t>
  </si>
  <si>
    <t>DG7GMGF0F4MD</t>
  </si>
  <si>
    <t>Exchange Server Enterprise 2019 Device CAL</t>
  </si>
  <si>
    <t>Exchange Server Enterprise 2019 User CAL</t>
  </si>
  <si>
    <t>Exchange Server Enterprise 2019</t>
  </si>
  <si>
    <t>DG7GMGF0F4MF</t>
  </si>
  <si>
    <t>Visio Plan 2</t>
  </si>
  <si>
    <t>Visio Plan 1</t>
  </si>
  <si>
    <t>Compliance</t>
  </si>
  <si>
    <t>Compliance Manager Premium Assessment Add-On</t>
  </si>
  <si>
    <t>76be61a7-2c03-4b3e-8330-63b11bd904ed</t>
  </si>
  <si>
    <t>Universal Print</t>
  </si>
  <si>
    <t>ef7de8e0-dc61-4c75-a418-f4337053bd36</t>
  </si>
  <si>
    <t>Compliance Manager Premium Assessment Add-On EDU</t>
  </si>
  <si>
    <t>fa7f5773-063a-48cf-b3e2-de509ea1262f</t>
  </si>
  <si>
    <t>Universal Print for faculty</t>
  </si>
  <si>
    <t>Universal Print for students</t>
  </si>
  <si>
    <t>ceaa6828-673d-457a-80ba-c32155800152</t>
  </si>
  <si>
    <t>e65f4feb-d336-45b8-8d77-d9709d41f2d5</t>
  </si>
  <si>
    <t>Microsoft 365 F3 (Nonprofit Staff Pricing)</t>
  </si>
  <si>
    <t>57b722c2-c435-4bfb-9bc8-80509213a13a</t>
  </si>
  <si>
    <t>DG7GMGF0GJC2</t>
  </si>
  <si>
    <t>Azure SQL Edge - 1 year</t>
  </si>
  <si>
    <t>Azure SQL Edge - 3 year</t>
  </si>
  <si>
    <t>Dynamics 365 Project Operations (Qualified Offer) (0-user minimum for Project Service Automation transitions) 36 months</t>
  </si>
  <si>
    <t>Basic Cloud Scale Unit add-in for Dynamics 365 Supply Chain Management</t>
  </si>
  <si>
    <t>Basic Cloud Scale Unit add-in for Dynamics 365 Supply Chain Management (36 mo)</t>
  </si>
  <si>
    <t>812be87f-f5d4-4092-a825-91fee6ab0764</t>
  </si>
  <si>
    <t>47478fa0-4242-4876-8ab0-e1408d711f27</t>
  </si>
  <si>
    <t>Dynamics 365 e-Commerce Tier 1 Band 1</t>
  </si>
  <si>
    <t>Dynamics 365 e-Commerce Tier 1 Band 1 Overage</t>
  </si>
  <si>
    <t>Dynamics 365 e-Commerce Tier 1 Band 2</t>
  </si>
  <si>
    <t>Dynamics 365 e-Commerce Tier 1 Band 2 Overage</t>
  </si>
  <si>
    <t>Dynamics 365 e-Commerce Tier 1 Band 3</t>
  </si>
  <si>
    <t>Dynamics 365 e-Commerce Tier 1 Band 3 Overage</t>
  </si>
  <si>
    <t>Dynamics 365 e-Commerce Tier 1 Band 4</t>
  </si>
  <si>
    <t>Dynamics 365 e-Commerce Tier 1 Band 4 Overage</t>
  </si>
  <si>
    <t>Dynamics 365 e-Commerce Tier 1 Band 5</t>
  </si>
  <si>
    <t>Dynamics 365 e-Commerce Tier 1 Band 5 Overage</t>
  </si>
  <si>
    <t>Dynamics 365 e-Commerce Tier 1 Band 6</t>
  </si>
  <si>
    <t>Dynamics 365 e-Commerce Tier 1 Band 6 Overage</t>
  </si>
  <si>
    <t>Dynamics 365 e-Commerce Tier 2 Band 1</t>
  </si>
  <si>
    <t>Dynamics 365 e-Commerce Tier 2 Band 1 Overage</t>
  </si>
  <si>
    <t>Dynamics 365 e-Commerce Tier 2 Band 2</t>
  </si>
  <si>
    <t>Dynamics 365 e-Commerce Tier 2 Band 2 Overage</t>
  </si>
  <si>
    <t>Dynamics 365 e-Commerce Tier 2 Band 3</t>
  </si>
  <si>
    <t>Dynamics 365 e-Commerce Tier 2 Band 3 Overage</t>
  </si>
  <si>
    <t>Dynamics 365 e-Commerce Tier 2 Band 4</t>
  </si>
  <si>
    <t>Dynamics 365 e-Commerce Tier 2 Band 4 Overage</t>
  </si>
  <si>
    <t>Dynamics 365 e-Commerce Tier 2 Band 5</t>
  </si>
  <si>
    <t>Dynamics 365 e-Commerce Tier 2 Band 5 Overage</t>
  </si>
  <si>
    <t>Dynamics 365 e-Commerce Tier 2 Band 6</t>
  </si>
  <si>
    <t>Dynamics 365 e-Commerce Tier 2 Band 6 Overage</t>
  </si>
  <si>
    <t>Dynamics 365 e-Commerce Tier 3 Band 1</t>
  </si>
  <si>
    <t>Dynamics 365 e-Commerce Tier 3 Band 1 Overage</t>
  </si>
  <si>
    <t>Dynamics 365 e-Commerce Tier 3 Band 2</t>
  </si>
  <si>
    <t>Dynamics 365 e-Commerce Tier 3 Band 2 Overage</t>
  </si>
  <si>
    <t>Dynamics 365 e-Commerce Tier 3 Band 3</t>
  </si>
  <si>
    <t>Dynamics 365 e-Commerce Tier 3 Band 3 Overage</t>
  </si>
  <si>
    <t>Dynamics 365 e-Commerce Tier 3 Band 4</t>
  </si>
  <si>
    <t>Dynamics 365 e-Commerce Tier 3 Band 4 Overage</t>
  </si>
  <si>
    <t>Dynamics 365 e-Commerce Tier 3 Band 5</t>
  </si>
  <si>
    <t>Dynamics 365 e-Commerce Tier 3 Band 5 Overage</t>
  </si>
  <si>
    <t>Dynamics 365 e-Commerce Tier 3 Band 6</t>
  </si>
  <si>
    <t>Dynamics 365 e-Commerce Tier 3 Band 6 Overage</t>
  </si>
  <si>
    <t>afd0022a-cad6-422d-a85c-42da047b2749</t>
  </si>
  <si>
    <t>30f8a177-889c-4eaa-9d90-389a162505ce</t>
  </si>
  <si>
    <t>6ec526ca-e2f7-4e83-b004-ebace69fe38b</t>
  </si>
  <si>
    <t>172fbf7a-e5bd-4f37-8eb9-c4867e49c9d6</t>
  </si>
  <si>
    <t>2a3a467d-3412-4cdf-8cf2-03613e9c5083</t>
  </si>
  <si>
    <t>e0c5b8b8-1249-4847-b9a6-a57f1d066d8d</t>
  </si>
  <si>
    <t>6693e3bf-80ee-4b26-92b1-45bd03faf546</t>
  </si>
  <si>
    <t>837754d0-51ea-4186-a048-99598e7494bf</t>
  </si>
  <si>
    <t>c8c1a99d-3b6a-455d-afc9-b9dc06fba49e</t>
  </si>
  <si>
    <t>7e2b8ee3-798c-4654-896c-8b2b70d408b6</t>
  </si>
  <si>
    <t>c4d47887-7a36-477c-8497-2d78fd9bc63a</t>
  </si>
  <si>
    <t>576a34f8-da5c-4159-97aa-a9cbcfed555d</t>
  </si>
  <si>
    <t>fead3624-6cf7-4fb0-b301-c2f6e5000bb7</t>
  </si>
  <si>
    <t>973a7fec-6fbb-4e87-bc89-2e68ab1f220a</t>
  </si>
  <si>
    <t>96bb5cb5-d482-4d7e-a4b8-19f42a03c9cc</t>
  </si>
  <si>
    <t>ae57f7ee-fcf6-43d3-8f21-3372ecb30dd3</t>
  </si>
  <si>
    <t>619c2bbc-630c-4775-8afc-df992773131b</t>
  </si>
  <si>
    <t>ebb480a5-89bd-4041-b4e1-31d3e79bc9a2</t>
  </si>
  <si>
    <t>a3c63f91-5e6d-428d-ad5a-3c26dd864879</t>
  </si>
  <si>
    <t>52bd22c2-1323-4aef-85fe-dcb96ba3c8c5</t>
  </si>
  <si>
    <t>8f8aafd1-669f-4d7f-8187-73f97ea869f9</t>
  </si>
  <si>
    <t>12263842-d850-4994-adad-d9e37643955d</t>
  </si>
  <si>
    <t>fcfe65a3-c6d4-4af1-bc12-08a37b56ebe3</t>
  </si>
  <si>
    <t>b5d97ea9-9954-4db6-9b75-c3c9eec93593</t>
  </si>
  <si>
    <t>8183120f-9d3c-41c9-94b5-38a4a1d77e15</t>
  </si>
  <si>
    <t>12817ddf-ef11-4733-b783-2d792ad0e6a7</t>
  </si>
  <si>
    <t>56076643-0c85-4af7-b866-eaf0f8f5edde</t>
  </si>
  <si>
    <t>b3177657-1bb3-489b-9e0b-7d02a858ec24</t>
  </si>
  <si>
    <t>f8202239-c9e3-4489-ad8d-e0aa4378bd20</t>
  </si>
  <si>
    <t>405eaa3e-2089-45a5-b824-a86f8f083a20</t>
  </si>
  <si>
    <t>3b8f534f-f8bb-409d-872f-3ff427f1f917</t>
  </si>
  <si>
    <t>c08beec9-616c-4afe-aeb5-4ce4280542ea</t>
  </si>
  <si>
    <t>68573bf8-da9a-46c7-a053-162a826b873a</t>
  </si>
  <si>
    <t>56c874c1-4437-4beb-95eb-e7e4f8a3584e</t>
  </si>
  <si>
    <t>56a93b96-64a7-4ad0-b8d2-bec47236f95b</t>
  </si>
  <si>
    <t>bda90272-77cb-419e-bee5-72a40d8acbc9</t>
  </si>
  <si>
    <t>Power BI Premium Per User</t>
  </si>
  <si>
    <t>9c810018-9356-4903-95ab-eeb956289290</t>
  </si>
  <si>
    <t>Power BI Premium Per User Add-On</t>
  </si>
  <si>
    <t>244ff87e-5925-44a0-bf31-cea189719b58</t>
  </si>
  <si>
    <t>Standard Cloud Scale Unit add-in for Dynamics 365 Supply Chain Management</t>
  </si>
  <si>
    <t>Standard Cloud Scale Unit add-in for Dynamics 365 Supply Chain Management (36 mo)</t>
  </si>
  <si>
    <t>e86f7334-b65f-4541-af95-5b8d285d0b30</t>
  </si>
  <si>
    <t>acc22292-bcc3-4d8f-8067-06259db01fb7</t>
  </si>
  <si>
    <t>Dynamics 365 Customer Voice USL for Faculty</t>
  </si>
  <si>
    <t>85162d70-9676-4cf6-a4bc-a0d6672f2657</t>
  </si>
  <si>
    <t>Dynamics 365 e-Commerce Tier 1 Band 1 for Faculty</t>
  </si>
  <si>
    <t xml:space="preserve">Dynamics 365 e-Commerce </t>
  </si>
  <si>
    <t>Dynamics 365 e-Commerce Tier 1 Band 1 for Students</t>
  </si>
  <si>
    <t>Dynamics 365 e-Commerce Tier 1 Band 1 Overage for Faculty</t>
  </si>
  <si>
    <t>Dynamics 365 e-Commerce Tier 1 Band 1 Overage for Students</t>
  </si>
  <si>
    <t>Dynamics 365 e-Commerce Tier 1 Band 2 for Faculty</t>
  </si>
  <si>
    <t>Dynamics 365 e-Commerce Tier 1 Band 2 for Students</t>
  </si>
  <si>
    <t>Dynamics 365 e-Commerce Tier 1 Band 2 Overage for Faculty</t>
  </si>
  <si>
    <t>Dynamics 365 e-Commerce Tier 1 Band 2 Overage for Students</t>
  </si>
  <si>
    <t>Dynamics 365 e-Commerce Tier 1 Band 3 for Faculty</t>
  </si>
  <si>
    <t>Dynamics 365 e-Commerce Tier 1 Band 3 for Students</t>
  </si>
  <si>
    <t>Dynamics 365 e-Commerce Tier 1 Band 3 Overage for Faculty</t>
  </si>
  <si>
    <t>Dynamics 365 e-Commerce Tier 1 Band 3 Overage for Students</t>
  </si>
  <si>
    <t>Dynamics 365 e-Commerce Tier 1 Band 4 for Faculty</t>
  </si>
  <si>
    <t>Dynamics 365 e-Commerce Tier 1 Band 4 for Students</t>
  </si>
  <si>
    <t>Dynamics 365 e-Commerce Tier 1 Band 4 Overage for Faculty</t>
  </si>
  <si>
    <t>Dynamics 365 e-Commerce Tier 1 Band 4 Overage for Students</t>
  </si>
  <si>
    <t>Dynamics 365 e-Commerce Tier 1 Band 5 for Faculty</t>
  </si>
  <si>
    <t>Dynamics 365 e-Commerce Tier 1 Band 5 for Students</t>
  </si>
  <si>
    <t>Dynamics 365 e-Commerce Tier 1 Band 5 Overage for Faculty</t>
  </si>
  <si>
    <t>Dynamics 365 e-Commerce Tier 1 Band 5 Overage for Students</t>
  </si>
  <si>
    <t>Dynamics 365 e-Commerce Tier 1 Band 6 for Faculty</t>
  </si>
  <si>
    <t>Dynamics 365 e-Commerce Tier 1 Band 6 for Students</t>
  </si>
  <si>
    <t>Dynamics 365 e-Commerce Tier 1 Band 6 Overage for Faculty</t>
  </si>
  <si>
    <t>Dynamics 365 e-Commerce Tier 1 Band 6 Overage for Students</t>
  </si>
  <si>
    <t>Dynamics 365 e-Commerce Tier 2 Band 1 for Faculty</t>
  </si>
  <si>
    <t>Dynamics 365 e-Commerce Tier 2 Band 1 for Students</t>
  </si>
  <si>
    <t>Dynamics 365 e-Commerce Tier 2 Band 1 Overage for Faculty</t>
  </si>
  <si>
    <t>Dynamics 365 e-Commerce Tier 2 Band 1 Overage for Students</t>
  </si>
  <si>
    <t>Dynamics 365 e-Commerce Tier 2 Band 2 for Faculty</t>
  </si>
  <si>
    <t>Dynamics 365 e-Commerce Tier 2 Band 2 for Students</t>
  </si>
  <si>
    <t>Dynamics 365 e-Commerce Tier 2 Band 2 Overage for Faculty</t>
  </si>
  <si>
    <t>Dynamics 365 e-Commerce Tier 2 Band 2 Overage for Students</t>
  </si>
  <si>
    <t>Dynamics 365 e-Commerce Tier 2 Band 3 for Faculty</t>
  </si>
  <si>
    <t>Dynamics 365 e-Commerce Tier 2 Band 3 for Students</t>
  </si>
  <si>
    <t>Dynamics 365 e-Commerce Tier 2 Band 3 Overage for Faculty</t>
  </si>
  <si>
    <t>Dynamics 365 e-Commerce Tier 2 Band 3 Overage for Students</t>
  </si>
  <si>
    <t>Dynamics 365 e-Commerce Tier 2 Band 4 for Faculty</t>
  </si>
  <si>
    <t>Dynamics 365 e-Commerce Tier 2 Band 4 for Students</t>
  </si>
  <si>
    <t>Dynamics 365 e-Commerce Tier 2 Band 4 Overage for Faculty</t>
  </si>
  <si>
    <t>Dynamics 365 e-Commerce Tier 2 Band 4 Overage for Students</t>
  </si>
  <si>
    <t>Dynamics 365 e-Commerce Tier 2 Band 5 for Faculty</t>
  </si>
  <si>
    <t>Dynamics 365 e-Commerce Tier 2 Band 5 for Students</t>
  </si>
  <si>
    <t>Dynamics 365 e-Commerce Tier 2 Band 5 Overage for Faculty</t>
  </si>
  <si>
    <t>Dynamics 365 e-Commerce Tier 2 Band 5 Overage for Students</t>
  </si>
  <si>
    <t>Dynamics 365 e-Commerce Tier 2 Band 6 for Faculty</t>
  </si>
  <si>
    <t>Dynamics 365 e-Commerce Tier 2 Band 6 for Students</t>
  </si>
  <si>
    <t>Dynamics 365 e-Commerce Tier 2 Band 6 Overage for Faculty</t>
  </si>
  <si>
    <t>Dynamics 365 e-Commerce Tier 2 Band 6 Overage for Students</t>
  </si>
  <si>
    <t>Dynamics 365 e-Commerce Tier 3 Band 1 for Faculty</t>
  </si>
  <si>
    <t>Dynamics 365 e-Commerce Tier 3 Band 1 for Students</t>
  </si>
  <si>
    <t>Dynamics 365 e-Commerce Tier 3 Band 1 Overage for Faculty</t>
  </si>
  <si>
    <t>Dynamics 365 e-Commerce Tier 3 Band 1 Overage for Students</t>
  </si>
  <si>
    <t>Dynamics 365 e-Commerce Tier 3 Band 2 for Faculty</t>
  </si>
  <si>
    <t>Dynamics 365 e-Commerce Tier 3 Band 2 for Students</t>
  </si>
  <si>
    <t>Dynamics 365 e-Commerce Tier 3 Band 2 Overage for Faculty</t>
  </si>
  <si>
    <t>Dynamics 365 e-Commerce Tier 3 Band 2 Overage for Students</t>
  </si>
  <si>
    <t>Dynamics 365 e-Commerce Tier 3 Band 3 for Faculty</t>
  </si>
  <si>
    <t>Dynamics 365 e-Commerce Tier 3 Band 3 for Students</t>
  </si>
  <si>
    <t>Dynamics 365 e-Commerce Tier 3 Band 3 Overage for Faculty</t>
  </si>
  <si>
    <t>Dynamics 365 e-Commerce Tier 3 Band 3 Overage for Students</t>
  </si>
  <si>
    <t>Dynamics 365 e-Commerce Tier 3 Band 4 for Faculty</t>
  </si>
  <si>
    <t>Dynamics 365 e-Commerce Tier 3 Band 4 for Students</t>
  </si>
  <si>
    <t>Dynamics 365 e-Commerce Tier 3 Band 4 Overage for Faculty</t>
  </si>
  <si>
    <t>Dynamics 365 e-Commerce Tier 3 Band 4 Overage for Students</t>
  </si>
  <si>
    <t>Dynamics 365 e-Commerce Tier 3 Band 5 for Faculty</t>
  </si>
  <si>
    <t>Dynamics 365 e-Commerce Tier 3 Band 5 for Students</t>
  </si>
  <si>
    <t>Dynamics 365 e-Commerce Tier 3 Band 5 Overage for Faculty</t>
  </si>
  <si>
    <t>Dynamics 365 e-Commerce Tier 3 Band 5 Overage for Students</t>
  </si>
  <si>
    <t>Dynamics 365 e-Commerce Tier 3 Band 6 for Faculty</t>
  </si>
  <si>
    <t>Dynamics 365 e-Commerce Tier 3 Band 6 for Students</t>
  </si>
  <si>
    <t>Dynamics 365 e-Commerce Tier 3 Band 6 Overage for Faculty</t>
  </si>
  <si>
    <t>Dynamics 365 e-Commerce Tier 3 Band 6 Overage for Students</t>
  </si>
  <si>
    <t>8fcafc7a-9da1-4ee8-a569-35eb635a16ee</t>
  </si>
  <si>
    <t>116a3979-6a20-443e-a31a-2db013ab1788</t>
  </si>
  <si>
    <t>eac345ef-b7a6-469b-b8ff-343a4e77ec97</t>
  </si>
  <si>
    <t>909d4556-6437-447e-9f94-d496f8d8ca25</t>
  </si>
  <si>
    <t>8eda517e-ad24-4da6-a03c-ae37f07da117</t>
  </si>
  <si>
    <t>5231f964-0e4d-4032-a8c3-96475e3415ca</t>
  </si>
  <si>
    <t>014111a2-5d31-4cd3-ae1b-b1d574af22f4</t>
  </si>
  <si>
    <t>da564dee-4de1-4ee2-b189-727566a39511</t>
  </si>
  <si>
    <t>eb3e7855-136e-4b80-9519-eaa0662d8ccd</t>
  </si>
  <si>
    <t>3b66b0bf-561c-41c6-ad94-ca54d487ccdc</t>
  </si>
  <si>
    <t>e35b9ea4-333a-4a7e-977f-06942110b04e</t>
  </si>
  <si>
    <t>51cda191-f06e-4288-9102-24346cd45c24</t>
  </si>
  <si>
    <t>3092641e-6a77-4c34-adb4-221286db520b</t>
  </si>
  <si>
    <t>aa6046de-5b7a-48f3-a31d-67ace40a934f</t>
  </si>
  <si>
    <t>d418c726-de81-48f2-a99d-6ca05abaafac</t>
  </si>
  <si>
    <t>aa573972-3e4b-46b7-bef4-78c883c094be</t>
  </si>
  <si>
    <t>b22558f8-99d2-4b21-82f9-251f7777f85d</t>
  </si>
  <si>
    <t>c6196550-1197-4baf-948e-4681a53b91dc</t>
  </si>
  <si>
    <t>2b0c1f09-2e2e-40e1-8dca-dc384dd57455</t>
  </si>
  <si>
    <t>b0ca6c5a-f9f2-4eac-8388-bfe535a37882</t>
  </si>
  <si>
    <t>f37dcbdf-794b-4b2b-930a-bcdb9f94f1f0</t>
  </si>
  <si>
    <t>593e7928-4837-4f46-bccd-5666ac9a7cbc</t>
  </si>
  <si>
    <t>7aadea71-8fea-4600-8725-1d6b7de42220</t>
  </si>
  <si>
    <t>a2c50591-e8ec-48cb-8812-e0b59b1e8d18</t>
  </si>
  <si>
    <t>b0390587-39e4-4bdd-9d47-2da24fef0566</t>
  </si>
  <si>
    <t>d0509c8c-9228-45e9-b13e-6656dc89f707</t>
  </si>
  <si>
    <t>9b4930df-c95e-4c48-a52c-a5561071620e</t>
  </si>
  <si>
    <t>ccf4480d-1bc9-4bf5-8335-e9ffea38cf79</t>
  </si>
  <si>
    <t>d96593d0-2cd0-49a2-9a54-64bb55b59973</t>
  </si>
  <si>
    <t>bdde57cf-83ec-4d9e-b874-d87b348ca261</t>
  </si>
  <si>
    <t>3d27f8e0-e8e7-4db4-ac2d-972d44a07154</t>
  </si>
  <si>
    <t>0b0e1691-cfdd-4c83-bfd1-0c994b221519</t>
  </si>
  <si>
    <t>e4a71a3f-b3b3-43ff-a47e-6dd954d5b104</t>
  </si>
  <si>
    <t>1e3399fe-e147-49c0-b4e5-17025bff95e2</t>
  </si>
  <si>
    <t>1c0bf11c-a09e-4af6-97bd-1073ec50e48e</t>
  </si>
  <si>
    <t>433f52e5-7d38-42bc-82c8-0a3543786b42</t>
  </si>
  <si>
    <t>9c090ccc-01d4-40e6-92a8-578b637dc8e4</t>
  </si>
  <si>
    <t>08096717-b97a-449a-ab76-74d8bf274537</t>
  </si>
  <si>
    <t>b6fae2b1-20f3-4e40-b2ff-bc4a991de030</t>
  </si>
  <si>
    <t>0600471f-04b4-4e7c-9c10-61891855f144</t>
  </si>
  <si>
    <t>67669b6d-425c-422c-a1dc-476ac86b69a6</t>
  </si>
  <si>
    <t>68e830f3-19ac-4bb2-8f59-bcf3f8b2e447</t>
  </si>
  <si>
    <t>d8c1d8ca-1094-4cd7-858b-0dfd76f3f5d9</t>
  </si>
  <si>
    <t>0fc9c779-7ef2-4002-983f-6ad73fa2256e</t>
  </si>
  <si>
    <t>0fba8bcb-12e9-4183-bd1c-0a9ee2d36fe7</t>
  </si>
  <si>
    <t>cdf3af14-4abd-42d3-a8e2-55231e625d15</t>
  </si>
  <si>
    <t>f66b5392-8011-47cd-85f9-03a8d04db406</t>
  </si>
  <si>
    <t>b3d10cb4-aed7-4271-86c7-56d1bd38e0d2</t>
  </si>
  <si>
    <t>876cb4d8-c569-45cb-9a46-280ed96ff5bb</t>
  </si>
  <si>
    <t>917690e9-8da0-4e56-ae90-a0d12e61d2c0</t>
  </si>
  <si>
    <t>85824b01-981d-4cf0-ba9a-f73496e42944</t>
  </si>
  <si>
    <t>95593072-f031-4807-a8a0-1fbe2f4b68d5</t>
  </si>
  <si>
    <t>29a9ce3f-1385-41c1-9781-e4348cadd705</t>
  </si>
  <si>
    <t>f7b6556b-098b-4959-9293-8112c79da55b</t>
  </si>
  <si>
    <t>b73e35b2-5893-43ad-9a69-cf25c9934db7</t>
  </si>
  <si>
    <t>8284398d-c7dc-4c89-a30e-6553b3dcb7e9</t>
  </si>
  <si>
    <t>12e72239-0985-476c-a147-79fcd40f08d1</t>
  </si>
  <si>
    <t>0c35a2de-66e8-4ed9-8837-15c71738446f</t>
  </si>
  <si>
    <t>183596f4-356c-4808-a3c9-2b3dc75039f7</t>
  </si>
  <si>
    <t>243427c8-e222-4651-bbe4-9d046152651c</t>
  </si>
  <si>
    <t>2d813d2c-50e9-4764-8360-d6186b736f05</t>
  </si>
  <si>
    <t>3d858e87-832e-4967-8a2b-80ee024ea50a</t>
  </si>
  <si>
    <t>ce08b892-2b21-4526-90b2-f8fbba601d24</t>
  </si>
  <si>
    <t>9b4be7cd-7a0a-411d-bbf2-04790afdaa39</t>
  </si>
  <si>
    <t>59db7cec-c6d5-4982-8497-fb244098035b</t>
  </si>
  <si>
    <t>372fae08-ce02-43ce-b74b-302add6bfce1</t>
  </si>
  <si>
    <t>36532926-4470-4d39-abfa-b91a479dd816</t>
  </si>
  <si>
    <t>5f309d1d-f73b-48a5-a519-abd42afb32a9</t>
  </si>
  <si>
    <t>88dd0c48-bf99-4bdb-bea2-0a483aa1b021</t>
  </si>
  <si>
    <t>860fcbe1-efeb-4997-aa27-5415ac985674</t>
  </si>
  <si>
    <t>aec046d0-07b3-409a-a7c3-cf16091f1326</t>
  </si>
  <si>
    <t>f3694443-384d-4417-97f5-b7ce2568d246</t>
  </si>
  <si>
    <t>Power BI Premium Per User Add-On for Faculty</t>
  </si>
  <si>
    <t>Power BI Premium Per User Add-On for Students</t>
  </si>
  <si>
    <t>Power BI Premium Per User for Faculty</t>
  </si>
  <si>
    <t>Power BI Premium Per User for Students</t>
  </si>
  <si>
    <t>5da849bd-b8f7-4340-b4f4-3a9eaeb8987e</t>
  </si>
  <si>
    <t>cf62d70d-5af5-422a-bda8-97936402ac8e</t>
  </si>
  <si>
    <t>3affc44f-f372-4ad5-8657-aadd9574fce0</t>
  </si>
  <si>
    <t>657eea87-d0b0-4c89-8c8e-9b04395bd940</t>
  </si>
  <si>
    <t>Pro Direct Support for Dynamics 365 Operations for Faculty</t>
  </si>
  <si>
    <t>Pro Direct Support for Dynamics 365 Operations for Students</t>
  </si>
  <si>
    <t>Power BI Premium Per User (Nonprofit Staff Pricing)</t>
  </si>
  <si>
    <t>Power BI Premium Per User Add-On (Nonprofit Staff Pricing)</t>
  </si>
  <si>
    <t>Power BI Premium Per User Add-On (Nonprofit Staff Pricing) (Office)</t>
  </si>
  <si>
    <t>7a0a856c-059f-45dd-9d26-ae27992e706a</t>
  </si>
  <si>
    <t>ef0b895b-681b-4026-a5b1-dda182a57d40</t>
  </si>
  <si>
    <t>31c03289-47ab-4ab0-8df1-03742c127ac6</t>
  </si>
  <si>
    <t>Chat session for Virtual Agent</t>
  </si>
  <si>
    <t>ea1bd0f8-d05a-4e61-8b0e-aebf37af4cb5</t>
  </si>
  <si>
    <t>Dynamics 365 Customer Service unified routing add-on</t>
  </si>
  <si>
    <t>6c4c3246-3326-485a-9813-bca2b8a75580</t>
  </si>
  <si>
    <t>Electronic Invoicing Add-on for Dynamics 365</t>
  </si>
  <si>
    <t>Electronic Invoicing Add-on for Dynamics 365 (36 mo)</t>
  </si>
  <si>
    <t>6d1f2d7e-d5ae-44e3-91be-235067d4e990</t>
  </si>
  <si>
    <t>9ca66ebf-6201-4240-ab51-4fe6ba3151ca</t>
  </si>
  <si>
    <t>Chat session for Virtual Agent for Faculty</t>
  </si>
  <si>
    <t>319142c5-ccd7-4c9c-aec0-d60f25330f8e</t>
  </si>
  <si>
    <t>Dynamics 365 Customer Service unified routing add-on for Faculty</t>
  </si>
  <si>
    <t>c8384540-1c21-4540-a865-9995fa509b62</t>
  </si>
  <si>
    <t>Dynamics 365 Customer Service unified routing add-on for Students</t>
  </si>
  <si>
    <t>9d1cf2dd-3aca-4311-844f-0fcdfa6ae2fd</t>
  </si>
  <si>
    <t>Electronic Invoicing Add-on for Dynamics 365 for Faculty</t>
  </si>
  <si>
    <t>Electronic Invoicing Add-on for Dynamics 365 for Students</t>
  </si>
  <si>
    <t>fb8671da-bd27-4fb6-915c-6f6465abc22c</t>
  </si>
  <si>
    <t>cc3373b0-a6a1-4cd4-9687-4031bb32fcee</t>
  </si>
  <si>
    <t>Chat session for Virtual Agent (Nonprofit Staff Pricing)</t>
  </si>
  <si>
    <t>98fefc3f-8815-479a-9d0b-f6a95f20cff2</t>
  </si>
  <si>
    <t>Dynamics 365 Customer Service unified routing add-on (Nonprofit Staff Pricing)</t>
  </si>
  <si>
    <t>ba627fdd-5c4b-4339-9e55-3399d982b9c8</t>
  </si>
  <si>
    <t>91fd106f-4b2c-4938-95ac-f54f74e9a239</t>
  </si>
  <si>
    <t>Power Apps Portals login capacity add-on Tier 4 (250 unit min)</t>
  </si>
  <si>
    <t>c3ed204a-f0fe-44ed-aa02-38604e3f3476</t>
  </si>
  <si>
    <t>Power Apps Portals login capacity add-on Tier 5 (1000 unit min)</t>
  </si>
  <si>
    <t>982555ae-b98d-49f7-8e93-c6f81a8e4ff9</t>
  </si>
  <si>
    <t>Scheduler</t>
  </si>
  <si>
    <t>a72f86e6-06a8-4239-b792-815f06bfeaf2</t>
  </si>
  <si>
    <t>Scheduler (Nonprofit Staff Pricing)</t>
  </si>
  <si>
    <t>cc978c71-b9a8-4a4a-8314-cc089eafca36</t>
  </si>
  <si>
    <t>99fb1b32-3333-4c42-9c5c-040e4548c096</t>
  </si>
  <si>
    <t>Dynamics 365 Business Central Database Capacity 100GB</t>
  </si>
  <si>
    <t>cdde473a-37be-4447-8042-adbfba8fd0d2</t>
  </si>
  <si>
    <t>Dynamics 365 Business Central Database Capacity Overage</t>
  </si>
  <si>
    <t>ac89e3d4-d998-49f7-b8c9-aa3b41767cb1</t>
  </si>
  <si>
    <t>Dynamics 365 Business Central Database Capacity 100GB for Faculty</t>
  </si>
  <si>
    <t>c0f3ab66-5e0b-40a7-a725-78e8265e763a</t>
  </si>
  <si>
    <t>Dynamics 365 Business Central Database Capacity 100GB for Students</t>
  </si>
  <si>
    <t>3181e3ee-ecc7-496b-809f-9c319c28d682</t>
  </si>
  <si>
    <t>Dynamics 365 Business Central Database Capacity Overage for Faculty</t>
  </si>
  <si>
    <t>b50ee3c3-2be5-46cb-a027-3a1b4fb100ee</t>
  </si>
  <si>
    <t>Dynamics 365 Business Central Database Capacity Overage for Students</t>
  </si>
  <si>
    <t>cdb79149-d09a-46b6-8289-4009cca8f2ff</t>
  </si>
  <si>
    <t>Dynamics 365 Business Central Database Capacity 100GB (Nonprofit Staff Pricing)</t>
  </si>
  <si>
    <t>4afe629b-bff0-43be-994a-c638c4d9225d</t>
  </si>
  <si>
    <t>Dynamics 365 Business Central Database Capacity Overage (Nonprofit Staff Pricing)</t>
  </si>
  <si>
    <t>6130626e-bee0-4e76-8abb-e919b0ec9483</t>
  </si>
  <si>
    <t>Dynamics 365: Intelligent</t>
  </si>
  <si>
    <t>Dynamics 365 Intelligent Order Management USL</t>
  </si>
  <si>
    <t>Dynamics 365 Intelligent Order Management Public Preview for Students</t>
  </si>
  <si>
    <t>Dynamics 365 Intelligent Order Management Public Preview for Faculty</t>
  </si>
  <si>
    <t>Dynamics 365 Intelligent Order Management Public Preview</t>
  </si>
  <si>
    <t>493630d6-ed64-43bc-b1cb-cfe2295f1cbb</t>
  </si>
  <si>
    <t>563952e4-2f28-4b6a-81ac-e9b820104d40</t>
  </si>
  <si>
    <t>Dynamics 365 Marketing Interactions Add on pack: Tier 1</t>
  </si>
  <si>
    <t>1b1e4e75-4638-41df-af47-2d0770eba5b7</t>
  </si>
  <si>
    <t>Windows 365 Business 1 vCPU, 2 GB, 64 GB</t>
  </si>
  <si>
    <t>Windows 365 Business 1 vCPU, 2 GB, 64 GB (with Windows Hybrid Benefit)</t>
  </si>
  <si>
    <t>Windows 365 Business 2 vCPU, 4 GB, 128 GB</t>
  </si>
  <si>
    <t>Windows 365 Business 2 vCPU, 4 GB, 128 GB (with Windows Hybrid Benefit)</t>
  </si>
  <si>
    <t>Windows 365 Business 2 vCPU, 4 GB, 256 GB</t>
  </si>
  <si>
    <t>Windows 365 Business 2 vCPU, 4 GB, 256 GB (with Windows Hybrid Benefit)</t>
  </si>
  <si>
    <t>Windows 365 Business 2 vCPU, 4 GB, 64 GB</t>
  </si>
  <si>
    <t>Windows 365 Business 2 vCPU, 4 GB, 64 GB (with Windows Hybrid Benefit)</t>
  </si>
  <si>
    <t>Windows 365 Business 2 vCPU, 8 GB, 128 GB</t>
  </si>
  <si>
    <t>Windows 365 Business 2 vCPU, 8 GB, 128 GB (with Windows Hybrid Benefit)</t>
  </si>
  <si>
    <t>Windows 365 Business 2 vCPU, 8 GB, 256 GB</t>
  </si>
  <si>
    <t>Windows 365 Business 2 vCPU, 8 GB, 256 GB (with Windows Hybrid Benefit)</t>
  </si>
  <si>
    <t>Windows 365 Business 4 vCPU, 16 GB, 128 GB</t>
  </si>
  <si>
    <t>Windows 365 Business 4 vCPU, 16 GB, 128 GB (with Windows Hybrid Benefit)</t>
  </si>
  <si>
    <t>Windows 365 Business 4 vCPU, 16 GB, 256 GB</t>
  </si>
  <si>
    <t>Windows 365 Business 4 vCPU, 16 GB, 256 GB (with Windows Hybrid Benefit)</t>
  </si>
  <si>
    <t>Windows 365 Business 4 vCPU, 16 GB, 512 GB</t>
  </si>
  <si>
    <t>Windows 365 Business 4 vCPU, 16 GB, 512 GB (with Windows Hybrid Benefit)</t>
  </si>
  <si>
    <t>Windows 365 Business 8 vCPU, 32 GB, 128 GB</t>
  </si>
  <si>
    <t>Windows 365 Business 8 vCPU, 32 GB, 128 GB (with Windows Hybrid Benefit)</t>
  </si>
  <si>
    <t>Windows 365 Business 8 vCPU, 32 GB, 256 GB</t>
  </si>
  <si>
    <t>Windows 365 Business 8 vCPU, 32 GB, 256 GB (with Windows Hybrid Benefit)</t>
  </si>
  <si>
    <t>Windows 365 Business 8 vCPU, 32 GB, 512 GB</t>
  </si>
  <si>
    <t>Windows 365 Business 8 vCPU, 32 GB, 512 GB (with Windows Hybrid Benefit)</t>
  </si>
  <si>
    <t>Windows 365 Enterprise 1 vCPU, 2 GB, 64 GB</t>
  </si>
  <si>
    <t>Windows 365 Enterprise 2 vCPU, 4 GB, 128 GB</t>
  </si>
  <si>
    <t>Windows 365 Enterprise 2 vCPU, 4 GB, 256 GB</t>
  </si>
  <si>
    <t>Windows 365 Enterprise 2 vCPU, 4 GB, 64 GB</t>
  </si>
  <si>
    <t>Windows 365 Enterprise 2 vCPU, 8 GB, 128 GB</t>
  </si>
  <si>
    <t>Windows 365 Enterprise 2 vCPU, 8 GB, 256 GB</t>
  </si>
  <si>
    <t>Windows 365 Enterprise 4 vCPU, 16 GB, 128 GB</t>
  </si>
  <si>
    <t>Windows 365 Enterprise 4 vCPU, 16 GB, 256 GB</t>
  </si>
  <si>
    <t>Windows 365 Enterprise 4 vCPU, 16 GB, 512 GB</t>
  </si>
  <si>
    <t>Windows 365 Enterprise 8 vCPU, 32 GB, 128 GB</t>
  </si>
  <si>
    <t>Windows 365 Enterprise 8 vCPU, 32 GB, 256 GB</t>
  </si>
  <si>
    <t>Windows 365 Enterprise 8 vCPU, 32 GB, 512 GB</t>
  </si>
  <si>
    <t>a335767a-5c59-4064-a139-34105c2e6440</t>
  </si>
  <si>
    <t>5f3a7cd2-c76f-4b21-9ddc-f48f09869cf6</t>
  </si>
  <si>
    <t>7200e05a-fae4-46be-89c4-1cdd6433d4da</t>
  </si>
  <si>
    <t>7612386a-d98d-4110-94b8-554bd612a5ab</t>
  </si>
  <si>
    <t>7c6f44af-d284-4e49-9e09-20cf80bac1b4</t>
  </si>
  <si>
    <t>cc624387-162c-4f31-9d6e-252d39d5324b</t>
  </si>
  <si>
    <t>47f761d8-7484-4914-b070-4dda542fb484</t>
  </si>
  <si>
    <t>f9777f60-19ae-4bd2-b881-6dc674564a2e</t>
  </si>
  <si>
    <t>224504a6-510a-4a73-9da2-4a8a19af8dcf</t>
  </si>
  <si>
    <t>39daa752-18b7-4918-b4eb-cf27cf617ee2</t>
  </si>
  <si>
    <t>c3b683e7-db11-418f-b3c9-d184e14fd8ad</t>
  </si>
  <si>
    <t>8fe4271f-c761-45f8-8261-5ab575195152</t>
  </si>
  <si>
    <t>1ca54fff-7cf8-4658-9b10-19421113ce8f</t>
  </si>
  <si>
    <t>037cff0f-c231-4cce-a7ef-5324c755ba9a</t>
  </si>
  <si>
    <t>0fa97e63-5e70-489d-bead-9c4a91d8698f</t>
  </si>
  <si>
    <t>977318cf-57a5-4c3f-a8b6-aa58853dd2e9</t>
  </si>
  <si>
    <t>9c8e50fe-2745-47d9-be7b-040213d0f9eb</t>
  </si>
  <si>
    <t>1a3bdfb8-fb09-4331-8303-2c07e895c6d9</t>
  </si>
  <si>
    <t>ea5adb10-37b1-49af-b757-9ce5d996e79e</t>
  </si>
  <si>
    <t>1b96db48-9c02-4c95-8c0b-98e4e6aa187c</t>
  </si>
  <si>
    <t>2404d56b-ab8b-4cbb-8518-d459b3077ef1</t>
  </si>
  <si>
    <t>3ff72e53-c37f-41d5-b932-793cb39c837b</t>
  </si>
  <si>
    <t>7d6a5150-5fe0-416e-8a32-5c0238b075fd</t>
  </si>
  <si>
    <t>aca639ae-ae81-4298-a76a-094b6880913b</t>
  </si>
  <si>
    <t>56780bf2-5917-41bf-8226-981142ba4621</t>
  </si>
  <si>
    <t>3c70626b-570b-4e80-a5a1-b021680b812f</t>
  </si>
  <si>
    <t>cf177b7e-c4b3-4cd7-8ab8-f3ef62246aa9</t>
  </si>
  <si>
    <t>e31f608c-0016-469e-a134-2fea7bb38736</t>
  </si>
  <si>
    <t>3efb5870-575a-49c7-b0ea-156243e74d19</t>
  </si>
  <si>
    <t>3f17f702-909f-4cf4-a16c-7662e944d86a</t>
  </si>
  <si>
    <t>d2b96ed6-37fe-47df-a166-0b5baece5ddb</t>
  </si>
  <si>
    <t>835f94f2-5776-446c-a793-1fdb7c599ce3</t>
  </si>
  <si>
    <t>05732938-de21-4119-9608-6b4f2f79a00a</t>
  </si>
  <si>
    <t>e09d83c5-5ffe-4d89-9282-5519dc651097</t>
  </si>
  <si>
    <t>ba021aa9-fde3-4652-8bdc-a30ccf8cfec1</t>
  </si>
  <si>
    <t>Dynamics 365 Intelligent Order Management USL for Faculty</t>
  </si>
  <si>
    <t>Dynamics 365 Intelligent Order Management USL for Students</t>
  </si>
  <si>
    <t>4a802dae-80e9-4ff1-92ee-980b2992eaa7</t>
  </si>
  <si>
    <t>9b03b750-63fe-4f96-be8f-23c34624149f</t>
  </si>
  <si>
    <t>3c2e878c-ef23-4b52-89dd-034d3dc4e88c</t>
  </si>
  <si>
    <t>8e279253-ae03-4d9f-8368-f7de1dcab777</t>
  </si>
  <si>
    <t>Commercial</t>
  </si>
  <si>
    <t>Educational - Commercial</t>
  </si>
  <si>
    <t>DG7GMGF0F6Q1</t>
  </si>
  <si>
    <t>Intune per-device for Enterprise</t>
  </si>
  <si>
    <t>60 Month(s)</t>
  </si>
  <si>
    <t>Viva Topics</t>
  </si>
  <si>
    <t>Microsoft 365 A1</t>
  </si>
  <si>
    <t>778a4dce-0014-4d53-8647-314ef2b091d2</t>
  </si>
  <si>
    <t>72 Month(s)</t>
  </si>
  <si>
    <t>Viva Topics (Nonprofit Staff Pricing)</t>
  </si>
  <si>
    <t>871e82d5-a046-4803-9825-69ba2f640c16</t>
  </si>
  <si>
    <t>Microsoft Viva Insights Capacity</t>
  </si>
  <si>
    <t>f6b8e73a-a2c5-497f-91df-73078e9cbfda</t>
  </si>
  <si>
    <t>Microsoft Workplace Analytics</t>
  </si>
  <si>
    <t>f8c3e9a6-07fb-4bd6-8a97-3566f792b4a7</t>
  </si>
  <si>
    <t>Power Apps per app plan (1 app or portal) Power Apps per app plan (1 app or portal)</t>
  </si>
  <si>
    <t>b5423d58-f509-4c57-a873-7f50095eb518</t>
  </si>
  <si>
    <t>Microsoft Workplace Analytics for faculty</t>
  </si>
  <si>
    <t>65984b52-1df0-4a12-a78a-f1cb3dd4a76d</t>
  </si>
  <si>
    <t>Power Apps per app plan (1 app or portal) for Faculty Power Apps per app plan (1 app or portal)</t>
  </si>
  <si>
    <t>b8e6f347-5725-4d6e-9cda-7921d76e568a</t>
  </si>
  <si>
    <t>Power Apps per app plan (1 app or portal) for Students Power Apps per app plan (1 app or portal)</t>
  </si>
  <si>
    <t>596bac61-1e20-45b1-8cb4-1dffbfac52af</t>
  </si>
  <si>
    <t>Microsoft Viva Insights Capacity (Nonprofit Staff Pricing)</t>
  </si>
  <si>
    <t>4476cba5-8475-4179-aadb-d4f49845f288</t>
  </si>
  <si>
    <t>af69dcde-cce3-4f1e-8f79-adcba4ce543f</t>
  </si>
  <si>
    <t>Microsoft Workplace Analytics (Nonprofit Staff Pricing)</t>
  </si>
  <si>
    <t>Power Apps per app plan (1 app or portal) (Nonprofit Staff Pricing) Power Apps per app plan (1 app or portal)</t>
  </si>
  <si>
    <t>2b772470-2234-413d-a7aa-70810a5f4a96</t>
  </si>
  <si>
    <t>Access LTSC 2021</t>
  </si>
  <si>
    <t>Excel LTSC 2021</t>
  </si>
  <si>
    <t>Excel LTSC for Mac 2021</t>
  </si>
  <si>
    <t>Office LTSC Professional Plus 2021</t>
  </si>
  <si>
    <t>Office LTSC Standard 2021</t>
  </si>
  <si>
    <t>Office LTSC Standard for Mac 2021</t>
  </si>
  <si>
    <t>Outlook LTSC 2021</t>
  </si>
  <si>
    <t>Outlook LTSC for Mac 2021</t>
  </si>
  <si>
    <t>PowerPoint LTSC 2021</t>
  </si>
  <si>
    <t>PowerPoint LTSC for Mac 2021</t>
  </si>
  <si>
    <t>Project Professional 2021</t>
  </si>
  <si>
    <t>Project Standard 2021</t>
  </si>
  <si>
    <t>Visio LTSC Professional 2021</t>
  </si>
  <si>
    <t>Visio LTSC Standard 2021</t>
  </si>
  <si>
    <t>Word LTSC 2021</t>
  </si>
  <si>
    <t>Word LTSC for Mac 2021</t>
  </si>
  <si>
    <t>DG7GMGF0D7FX</t>
  </si>
  <si>
    <t>DG7GMGF0D7FZ</t>
  </si>
  <si>
    <t>DG7GMGF0D7D1</t>
  </si>
  <si>
    <t>DG7GMGF0D7FV</t>
  </si>
  <si>
    <t>DG7GMGF0D7FT</t>
  </si>
  <si>
    <t>DG7GMGF0D7CZ</t>
  </si>
  <si>
    <t>DG7GMGF0D7FS</t>
  </si>
  <si>
    <t>DG7GMGF0D7CX</t>
  </si>
  <si>
    <t>DG7GMGF0D7FR</t>
  </si>
  <si>
    <t>DG7GMGF0D7CV</t>
  </si>
  <si>
    <t>DG7GMGF0D7D7</t>
  </si>
  <si>
    <t>DG7GMGF0D7D8</t>
  </si>
  <si>
    <t>DG7GMGF0D7D9</t>
  </si>
  <si>
    <t>DG7GMGF0D7DB</t>
  </si>
  <si>
    <t>DG7GMGF0D7D3</t>
  </si>
  <si>
    <t>DG7GMGF0D7DC</t>
  </si>
  <si>
    <t>Basic Edge Scale Unit add-in for Dynamics 365 Supply Chain Management</t>
  </si>
  <si>
    <t>Basic Edge Scale Unit add-in for Dynamics 365 Supply Chain Management (36 mo)</t>
  </si>
  <si>
    <t>4e498e9e-7753-495e-ab49-e92906e1bbb3</t>
  </si>
  <si>
    <t>6bed31d6-2b09-4006-a234-19f099991123</t>
  </si>
  <si>
    <t>Dynamics 365 Customer Insights B2B Accounts Add-on</t>
  </si>
  <si>
    <t>0724d4fa-19ab-4d06-bef3-42aa3628f72b</t>
  </si>
  <si>
    <t>Dynamics 365 Customer Service Call Intelligence Minutes Add-on</t>
  </si>
  <si>
    <t>247237fa-d129-42ef-b7be-7b27846a0047</t>
  </si>
  <si>
    <t>Dynamics 365 Customer Service Digital Messaging and Voice Add-in</t>
  </si>
  <si>
    <t>Dynamics 365 Customer Service Intelligent Voicebot Minutes Add-on</t>
  </si>
  <si>
    <t>Dynamics 365 Customer Service Voice Channel Add-in</t>
  </si>
  <si>
    <t>84375913-fc91-4934-8c62-01f8fc4bc858</t>
  </si>
  <si>
    <t>b8759a4d-93f0-4a81-a991-c61c925df811</t>
  </si>
  <si>
    <t>f0c54f1b-98b9-459b-ae83-99d636db4927</t>
  </si>
  <si>
    <t>Microsoft Defender for Endpoint P1</t>
  </si>
  <si>
    <t>83fde749-6ea3-4b7f-adc0-9537c49ce2f0</t>
  </si>
  <si>
    <t>Microsoft Viva</t>
  </si>
  <si>
    <t>Microsoft Viva Learning</t>
  </si>
  <si>
    <t>Microsoft Viva Learning Trial</t>
  </si>
  <si>
    <t>2d09b4fb-00dc-4b29-a12f-776991d54ea3</t>
  </si>
  <si>
    <t>bb77eff9-67b5-4272-977b-3db18aaa76bf</t>
  </si>
  <si>
    <t>a132cc63-7f19-4026-bdba-19627a28364b</t>
  </si>
  <si>
    <t>Privacy Management - risk</t>
  </si>
  <si>
    <t>Privacy Management - subject rights request (1)</t>
  </si>
  <si>
    <t>Privacy Management - subject rights request (10)</t>
  </si>
  <si>
    <t>Privacy Management - subject rights request (100)</t>
  </si>
  <si>
    <t>a263eccc-1661-404a-bfbf-b0460d8fb1e1</t>
  </si>
  <si>
    <t>1dcee6f6-67cb-4821-8207-ff5bd06a46cc</t>
  </si>
  <si>
    <t>4f2ef0bd-835c-4d6d-b933-ab21ada4344d</t>
  </si>
  <si>
    <t>4e1bfc4d-3880-4ef9-a228-d1899c69075b</t>
  </si>
  <si>
    <t>Standard Edge Scale Unit add-in for Dynamics 365 Supply Chain Management</t>
  </si>
  <si>
    <t>Standard Edge Scale Unit add-in for Dynamics 365 Supply Chain Management (36 mo)</t>
  </si>
  <si>
    <t>Standard Edge Scale Unit Overage (36 mo)</t>
  </si>
  <si>
    <t>8d05a48a-70a8-4dd0-af62-10786814dea0</t>
  </si>
  <si>
    <t>150523a0-a02b-4c12-88cb-2a44afe9ba73</t>
  </si>
  <si>
    <t>d9b96ef0-8a05-4dca-a6b5-9b12d0846a59</t>
  </si>
  <si>
    <t>Basic Edge Scale Unit Overage for Students</t>
  </si>
  <si>
    <t>68fbb174-57a0-46a7-936a-3ca435f57ab8</t>
  </si>
  <si>
    <t>Dynamics 365 Customer Insights Attach for Faculty</t>
  </si>
  <si>
    <t>Dynamics 365 Customer Insights for Faculty</t>
  </si>
  <si>
    <t>Dynamics 365 Customer Service Call Intelligence Minutes Add-on for Faculty</t>
  </si>
  <si>
    <t>Dynamics 365 Customer Service Call Intelligence Minutes Add-on for Students</t>
  </si>
  <si>
    <t>Dynamics 365 Customer Service Digital Messaging and Voice Add-in for Faculty</t>
  </si>
  <si>
    <t>Dynamics 365 Customer Service Digital Messaging and Voice Add-in for Students</t>
  </si>
  <si>
    <t>Dynamics 365 Customer Service Intelligent Voicebot Minutes Add-on for Faculty</t>
  </si>
  <si>
    <t>Dynamics 365 Customer Service Intelligent Voicebot Minutes Add-on for Students</t>
  </si>
  <si>
    <t>Dynamics 365 Customer Service Voice Channel Add-in for Faculty</t>
  </si>
  <si>
    <t>Dynamics 365 Customer Service Voice Channel Add-in for Students</t>
  </si>
  <si>
    <t>051934f3-5341-48fe-90ac-59a0ae9960d4</t>
  </si>
  <si>
    <t>06e54a59-a321-44e7-adc4-808a926537f9</t>
  </si>
  <si>
    <t>1514cecb-2ad3-4dc8-80d1-42395817777a</t>
  </si>
  <si>
    <t>38d26b78-5f0a-4b9e-b6dd-ab50815c9247</t>
  </si>
  <si>
    <t>53c6f1b3-ee06-4d64-aab4-a9d1afe9a915</t>
  </si>
  <si>
    <t>6d7e7e0d-fa06-44da-8770-89c092ef7a6e</t>
  </si>
  <si>
    <t>18884f43-dc34-40f8-a5d4-042b50d6896d</t>
  </si>
  <si>
    <t>5e10c10d-ff1b-4d11-b546-5e7c4488cde2</t>
  </si>
  <si>
    <t>Microsoft 365 A1 for devices for faculty</t>
  </si>
  <si>
    <t>Microsoft 365 A1 for devices for students</t>
  </si>
  <si>
    <t>ef114774-85e7-492c-bcfb-8f53a68a7801</t>
  </si>
  <si>
    <t>19ae5985-7e59-4639-b0e2-80ff72677bec</t>
  </si>
  <si>
    <t>Microsoft Cloud App Security - App Governance Add-On for EDU</t>
  </si>
  <si>
    <t>1f61964f-86e0-4821-81ed-eebe194de173</t>
  </si>
  <si>
    <t>eb072a24-ecc1-4ac0-b4c0-7c1646a05789</t>
  </si>
  <si>
    <t>Microsoft Defender for Endpoint P1 for EDU</t>
  </si>
  <si>
    <t>c918ecbb-f748-478d-85e5-db1d70659c24</t>
  </si>
  <si>
    <t>Microsoft Viva for Faculty</t>
  </si>
  <si>
    <t>Microsoft Viva Learning for faculty</t>
  </si>
  <si>
    <t>0638ef49-32fe-4115-a87f-559506a04934</t>
  </si>
  <si>
    <t>3ae3c976-ef90-41d1-a96b-2fdff13007b7</t>
  </si>
  <si>
    <t>Privacy Management - subject rights request (1) for EDU</t>
  </si>
  <si>
    <t>Privacy Management - subject rights request (10) for EDU</t>
  </si>
  <si>
    <t>Privacy Management - subject rights request (100) for EDU</t>
  </si>
  <si>
    <t>9d015e78-15bc-430e-a104-73b85e9f64d6</t>
  </si>
  <si>
    <t>8950c820-b205-43d2-aff1-b6abf0f37675</t>
  </si>
  <si>
    <t>2ed7d9c7-6838-4741-baf3-476e54142271</t>
  </si>
  <si>
    <t>8d7cf5b6-1c83-48f2-bf94-fe5ffb58a1d4</t>
  </si>
  <si>
    <t>Dynamics 365 Customer Service Call Intelligence Minutes Add-on (Nonprofit Staff Pricing)</t>
  </si>
  <si>
    <t>Dynamics 365 Customer Service Digital Messaging and Voice Add-in (Nonprofit Staff Pricing)</t>
  </si>
  <si>
    <t>Dynamics 365 Customer Service Intelligent Voicebot Minutes Add-on (Nonprofit Staff Pricing)</t>
  </si>
  <si>
    <t>Dynamics 365 Customer Service Voice Channel Add-in (Nonprofit Staff Pricing)</t>
  </si>
  <si>
    <t>7e2db2d7-d6a6-4c7c-bbb7-d935279b3d4d</t>
  </si>
  <si>
    <t>0d5cf35b-ce1e-4e38-8a81-67706060e8b5</t>
  </si>
  <si>
    <t>801fcc68-131b-41ea-9282-0a8ea6e9181a</t>
  </si>
  <si>
    <t>03ea565f-9066-402c-8269-c633afe2eec6</t>
  </si>
  <si>
    <t>Microsoft Cloud for Nonprofit Basic (Nonprofit Staff Pricing)</t>
  </si>
  <si>
    <t>Microsoft Cloud for Nonprofit Standard P1 (Nonprofit Staff Pricing)</t>
  </si>
  <si>
    <t>Microsoft Cloud for Nonprofit Standard P2 (Nonprofit Staff Pricing)</t>
  </si>
  <si>
    <t>7659fb41-78bd-4a0d-92fd-5562eac8992c</t>
  </si>
  <si>
    <t>8fe6f4cb-d62b-4a65-bb90-b6a3279f1e4b</t>
  </si>
  <si>
    <t>748a7f8b-d8ca-4b42-99be-d04f1a24d2ec</t>
  </si>
  <si>
    <t>Microsoft Viva (Nonprofit Staff Pricing)</t>
  </si>
  <si>
    <t>Microsoft Viva Learning (Nonprofit Staff Pricing)</t>
  </si>
  <si>
    <t>e41749fb-b584-45d4-9f5b-7947f00098ed</t>
  </si>
  <si>
    <t>fc3771b6-7919-440f-879b-745880c64159</t>
  </si>
  <si>
    <t>Teams Rooms Premium without Audio Conferencing (Nonprofit Staff Pricing)</t>
  </si>
  <si>
    <t>c14d1871-d17f-4853-aa85-5cb4c59a0656</t>
  </si>
  <si>
    <t>Windows 11 Home to Pro Upgrade for Microsoft 365 Business</t>
  </si>
  <si>
    <t>Windows 11 Home N to Pro N Upgrade for Microsoft 365 Business</t>
  </si>
  <si>
    <t>DG7GMGF0D8H4</t>
  </si>
  <si>
    <t>DG7GMGF0D8H3</t>
  </si>
  <si>
    <t>Windows Server 2022 Remote Desktop Services External Connector</t>
  </si>
  <si>
    <t>DG7GMGF0D609</t>
  </si>
  <si>
    <t>DG7GMGF0D5RK</t>
  </si>
  <si>
    <t>Windows Server 2022 Standard - 16 Core License Pack</t>
  </si>
  <si>
    <t>Windows Server 2022 - 1 User CAL</t>
  </si>
  <si>
    <t>DG7GMGF0D5VX</t>
  </si>
  <si>
    <t>Windows Server 2022 - 1 Device CAL</t>
  </si>
  <si>
    <t>Windows Server 2022 Datacenter - 2 Core</t>
  </si>
  <si>
    <t>DG7GMGF0D65N</t>
  </si>
  <si>
    <t>Windows Server 2022 Datacenter - 16 Core</t>
  </si>
  <si>
    <t>Windows Server 2022 Standard - 2 Core License Pack</t>
  </si>
  <si>
    <t>DG7GMGF0FKZX</t>
  </si>
  <si>
    <t>SQL Server Big Data Node Cores - 1 Year Subscription</t>
  </si>
  <si>
    <t>Windows Server 2022 RMS CAL - 1 Device CAL - 1 year</t>
  </si>
  <si>
    <t>Windows Server 2022 RMS CAL - 1 Device CAL - 3 year</t>
  </si>
  <si>
    <t>Windows Server 2022 RMS CAL - 1 User CAL - 1 year</t>
  </si>
  <si>
    <t>Windows Server 2022 RMS CAL - 1 User CAL - 3 year</t>
  </si>
  <si>
    <t>Windows Server 2022 CAL - 1 Device CAL - 1 year</t>
  </si>
  <si>
    <t>Windows Server 2022 CAL - 1 Device CAL - 3 year</t>
  </si>
  <si>
    <t>Windows Server 2022 CAL - 1 User CAL - 1 year</t>
  </si>
  <si>
    <t>Windows Server 2022 CAL - 1 User CAL - 3 year</t>
  </si>
  <si>
    <t>Windows Server 2022 Standard - 8 Core License Pack 1 Year</t>
  </si>
  <si>
    <t>Windows Server 2022 Standard - 8 Core License Pack 3 Year</t>
  </si>
  <si>
    <t>Microsoft Teams Essentials (AAD Identity)</t>
  </si>
  <si>
    <t>Microsoft Teams Essentials (AAD Identity) Trial</t>
  </si>
  <si>
    <t>dddc119c-1585-4345-b229-f025dc97c3cb</t>
  </si>
  <si>
    <t>b1c9c4ac-8145-4a0d-902f-00181740e73b</t>
  </si>
  <si>
    <t>Operator Connect Conferencing</t>
  </si>
  <si>
    <t>596e8ebe-ea5e-4716-9eef-d8ce89e7360f</t>
  </si>
  <si>
    <t>Operator Connect Conferencing for Faculty</t>
  </si>
  <si>
    <t>Operator Connect Conferencing for Student</t>
  </si>
  <si>
    <t>e6fc53c2-a03c-4fe9-b426-8da2979a5388</t>
  </si>
  <si>
    <t>52a73e33-3cca-48e8-8e22-fb5d8e6994d0</t>
  </si>
  <si>
    <t>Publisher LTSC 2021</t>
  </si>
  <si>
    <t>DG7GMGF0D7FQ</t>
  </si>
  <si>
    <t>Skype for Business Server 2019</t>
  </si>
  <si>
    <t>Skype for Business Server Enterprise 2019 Device CAL</t>
  </si>
  <si>
    <t>Skype for Business Server Enterprise 2019 User CAL</t>
  </si>
  <si>
    <t>Skype for Business Server Plus 2019 Device CAL</t>
  </si>
  <si>
    <t>Skype for Business Server Plus 2019 User CAL</t>
  </si>
  <si>
    <t>Skype for Business Server Standard 2019 Device CAL</t>
  </si>
  <si>
    <t>Skype for Business Server Standard 2019 User CAL</t>
  </si>
  <si>
    <t>DG7GMGF0F4LQ</t>
  </si>
  <si>
    <t>DG7GMGF0F4LP</t>
  </si>
  <si>
    <t>DG7GMGF0F4LN</t>
  </si>
  <si>
    <t>DG7GMGF0F4K1</t>
  </si>
  <si>
    <t>Visual Studio Professional 2022</t>
  </si>
  <si>
    <t>Windows Server 2022 External Connector</t>
  </si>
  <si>
    <t>Windows Server 2022 Rights Management External Connector</t>
  </si>
  <si>
    <t>Dynamics 365 Business Central Device for Faculty (36mo)</t>
  </si>
  <si>
    <t>Dynamics 365 Business Central Device for Faculty</t>
  </si>
  <si>
    <t>Dynamics 365 Business Central Device for Students</t>
  </si>
  <si>
    <t>Dynamics 365 Business Central Device for Students (36mo)</t>
  </si>
  <si>
    <t>162b1355-500d-437d-897e-aa9e97bc5eb4</t>
  </si>
  <si>
    <t>6e93ecad-e7dd-4158-b038-65f3d160b736</t>
  </si>
  <si>
    <t>a66cb0f3-567d-416e-b4f7-164a2738a57f</t>
  </si>
  <si>
    <t>ad3cfffa-3206-4445-8942-3bf87b32217f</t>
  </si>
  <si>
    <t>Dynamics 365 Business Central External Accountant (Nonprofit Staff Pricing) (36mo)</t>
  </si>
  <si>
    <t>Dynamics 365 Business Central Device (Nonprofit Staff Pricing) (36mo)</t>
  </si>
  <si>
    <t>Dynamics 365 Business Central External Accountant (Nonprofit Staff Pricing)</t>
  </si>
  <si>
    <t>Dynamics 365 Business Central Device (Nonprofit Staff Pricing)</t>
  </si>
  <si>
    <t>1b72db87-a611-42e8-bcfe-bcd789d80038</t>
  </si>
  <si>
    <t>28fca98d-20bd-4412-87c8-54c6eb726fc8</t>
  </si>
  <si>
    <t>371d3c23-df4f-4b16-ab6d-33ce02bc47ab</t>
  </si>
  <si>
    <t>428be102-54e5-4c50-8a31-b3d3b719dc0a</t>
  </si>
  <si>
    <t>SharePoint Enterprise 2019 Device CAL</t>
  </si>
  <si>
    <t>SharePoint Enterprise 2019 User CAL</t>
  </si>
  <si>
    <t>DG7GMGF0F4LV</t>
  </si>
  <si>
    <t>DG7GMGF0F4LS</t>
  </si>
  <si>
    <t>SharePoint Standard 2019 Device CAL</t>
  </si>
  <si>
    <t>SharePoint Standard 2019 User CAL</t>
  </si>
  <si>
    <t>Rights Management Services (RMS) 2022 CAL- 1 User</t>
  </si>
  <si>
    <t>Rights Management Services (RMS) 2022 CAL-1 Device</t>
  </si>
  <si>
    <t>DG7GMGF0D5SL</t>
  </si>
  <si>
    <t>Dynamics 365 Guides Device</t>
  </si>
  <si>
    <t>Dynamics 365 Guides Device 36 mo</t>
  </si>
  <si>
    <t>347141a3-93a6-4905-bf9f-b93185587ff2</t>
  </si>
  <si>
    <t>e0c46d67-69b8-4359-80fb-dfc457435e2a</t>
  </si>
  <si>
    <t>ed82acdf-9b22-4f5f-94f1-b0878c62af88</t>
  </si>
  <si>
    <t>29bb419a-4a8f-47b8-b63d-000b75455e76</t>
  </si>
  <si>
    <t>Dynamics 365 Remote Assist Device</t>
  </si>
  <si>
    <t>Dynamics 365 Remote Assist Device 36 mo</t>
  </si>
  <si>
    <t>Privacy Management - risk (Nonprofit Staff Pricing)</t>
  </si>
  <si>
    <t>7e307cfa-4d43-44c6-a8c5-5879824f87e8</t>
  </si>
  <si>
    <t>Dynamics 365 Asset Management Addl Assets (36 mo)</t>
  </si>
  <si>
    <t>95e616b5-4f00-4590-91ce-92ab7b474765</t>
  </si>
  <si>
    <t>Microsoft Teams Audio Conferencing select dial-out</t>
  </si>
  <si>
    <t>6d8988d8-a017-4fc1-ba06-8007c8d34a3b</t>
  </si>
  <si>
    <t>d</t>
  </si>
  <si>
    <t>Microsoft Teams Audio Conferencing select dial-out (Nonprofit Staff Pricing)</t>
  </si>
  <si>
    <t>df95c8c8-0871-4c27-b571-88628adc5897</t>
  </si>
  <si>
    <t>Chat session for Virtual Agent for Faculty Limited time offer</t>
  </si>
  <si>
    <t>e5d9f299-a1dc-40d5-9d17-b5321796ba7a</t>
  </si>
  <si>
    <t>Power Virtual Agent for Faculty Limited time offer</t>
  </si>
  <si>
    <t>c7aba61d-2b2a-4daa-9bc8-7c92b02e2d45</t>
  </si>
  <si>
    <t>Chat session for Virtual Agent (Nonprofit Staff Pricing) Limited time offer</t>
  </si>
  <si>
    <t>c89763a0-9af5-4079-96a7-27160eafec6f</t>
  </si>
  <si>
    <t>Microsoft 365 F5 Compliance Add-on (Nonprofit Staff Pricing) (Nonprofit Staff Pricing)</t>
  </si>
  <si>
    <t>Microsoft 365 F5 Security + Compliance Add-on (Nonprofit Staff Pricing) (Nonprofit Staff Pricing)</t>
  </si>
  <si>
    <t>Microsoft 365 F5 Security Add-on (Nonprofit Staff Pricing) (Nonprofit Staff Pricing)</t>
  </si>
  <si>
    <t>05880f7b-352d-4df4-8068-87864bd16949</t>
  </si>
  <si>
    <t>daefc425-de36-42cc-aeda-086b85fd9084</t>
  </si>
  <si>
    <t>c6cb2bce-78b4-4577-b839-b13d908de04b</t>
  </si>
  <si>
    <t>Power Virtual Agent (Nonprofit Staff Pricing) Limited time offer</t>
  </si>
  <si>
    <t>40684584-8907-4cb6-9445-8b669e1ff582</t>
  </si>
  <si>
    <t>Term</t>
  </si>
  <si>
    <t>Billing Frequency</t>
  </si>
  <si>
    <t>P3Y</t>
  </si>
  <si>
    <t>Triennial</t>
  </si>
  <si>
    <t>Annual</t>
  </si>
  <si>
    <t>P1Y</t>
  </si>
  <si>
    <t>OneTime</t>
  </si>
  <si>
    <t>DG7GMGF0D7HX</t>
  </si>
  <si>
    <t>Windows Server 2022 Remote Desktop Services - 1 User CAL 1 Year</t>
  </si>
  <si>
    <t>Windows Server 2022 Remote Desktop Services - 1 User CAL 3 Year</t>
  </si>
  <si>
    <t>Monthly</t>
  </si>
  <si>
    <t>Windows 11 Pro Upgrade</t>
  </si>
  <si>
    <t>Windows 11 Pro</t>
  </si>
  <si>
    <t>Windows 11 Pro N Upgrade</t>
  </si>
  <si>
    <t>Windows 11 Pro N</t>
  </si>
  <si>
    <t>Education</t>
  </si>
  <si>
    <t>Dynamics 365 Customer Service Digital Messaging add-on for Faculty</t>
  </si>
  <si>
    <t>Dynamics 365 Customer Service Digital Messaging add-on for Students</t>
  </si>
  <si>
    <t>Priva Privacy Risk Management for EDU</t>
  </si>
  <si>
    <t>Common Area Phone (Nonprofit Staff Pricing)</t>
  </si>
  <si>
    <t>f3e76ed2-b930-477f-9784-1721e2ef22e9</t>
  </si>
  <si>
    <t>Microsoft Defender for Business (Nonprofit Staff Pricing)</t>
  </si>
  <si>
    <t>Microsoft Defender for Endpoint P1 (Nonprofit Staff Pricing) Nonprofit Staff Pricing</t>
  </si>
  <si>
    <t>Microsoft Defender for Endpoint P2 (Nonprofit Staff Pricing)</t>
  </si>
  <si>
    <t>Microsoft Defender for Endpoint Server (Nonprofit Staff Pricing)</t>
  </si>
  <si>
    <t>Office 365 Data Loss Prevention (Nonprofit Staff Pricing) Nonprofit Staff Pricing</t>
  </si>
  <si>
    <t>66d83578-ddd9-4847-aae8-b00a73fe00d6</t>
  </si>
  <si>
    <t>e2d999d0-5066-4033-b1f3-acb43df08a8a</t>
  </si>
  <si>
    <t>491de0f7-5599-4392-be63-55487dba4d71</t>
  </si>
  <si>
    <t>16b63bd2-537a-4915-8e7e-b4b61247082e</t>
  </si>
  <si>
    <t>627ea15e-ced2-4f9d-b553-6c6afdeaabd0</t>
  </si>
  <si>
    <t>Dynamics 365 Customer Service Digital Messaging add-on (Nonprofit Staff Pricing)</t>
  </si>
  <si>
    <t>Microsoft Cloud for Nonprofit - Standard P1 AddOn for Education</t>
  </si>
  <si>
    <t>Microsoft Cloud for Nonprofit - Standard P2 AddOn for Education</t>
  </si>
  <si>
    <t>278d852a-3522-472b-8c4c-223028b82b04</t>
  </si>
  <si>
    <t>ec8016ea-ef1a-4ce2-a573-e53fd6967e41</t>
  </si>
  <si>
    <t>Advanced eDiscovery Storage (Nonprofit Staff Pricing)</t>
  </si>
  <si>
    <t>e6a6dfdb-238b-440a-9879-377e7d03bba0</t>
  </si>
  <si>
    <t>Dynamics 365  Operations – Order Lines (Nonprofits Pricing)</t>
  </si>
  <si>
    <t>75be6e02-1ead-4c11-9ade-5e1c234d64e5</t>
  </si>
  <si>
    <t>ERP Retail</t>
  </si>
  <si>
    <t>Dynamics 365 Commerce (Nonprofits Pricing) (36 mo)</t>
  </si>
  <si>
    <t>Dynamics 365 Commerce Attach to Qualifying Dynamics 365 Base Offer (Nonprofits Pricing)</t>
  </si>
  <si>
    <t>Dynamics 365 Commerce Attach to Qualifying Dynamics 365 Base Offer (Nonprofits Pricing) (36 mo)</t>
  </si>
  <si>
    <t>Dynamics 365 Commerce Ratings and Reviews (Nonprofits Pricing)</t>
  </si>
  <si>
    <t>Dynamics 365 Commerce Ratings and Reviews (Nonprofits Pricing) (36 mo)</t>
  </si>
  <si>
    <t>Dynamics 365 Commerce Recommendations (Nonprofits Pricing)</t>
  </si>
  <si>
    <t>Dynamics 365 Commerce Recommendations (Nonprofits Pricing) (36 mo)</t>
  </si>
  <si>
    <t>Dynamics 365 Commerce Scale Unit Basic - Cloud (Nonprofits Pricing)</t>
  </si>
  <si>
    <t>Dynamics 365 Commerce Scale Unit Basic - Cloud (Nonprofits Pricing) (36 mo)</t>
  </si>
  <si>
    <t>Dynamics 365 Commerce Scale Unit Premium - Cloud (Nonprofits Pricing)</t>
  </si>
  <si>
    <t>Dynamics 365 Commerce Scale Unit Premium - Cloud (Nonprofits Pricing) (36 mo)</t>
  </si>
  <si>
    <t>Dynamics 365 Commerce Scale Unit Standard - Cloud (Nonprofits Pricing)</t>
  </si>
  <si>
    <t>Dynamics 365 Commerce Scale Unit Standard - Cloud (Nonprofits Pricing) (36 mo)</t>
  </si>
  <si>
    <t>Dynamics 365 e-Commerce Tier 1 Band 1 (Nonprofits Pricing)</t>
  </si>
  <si>
    <t>Dynamics 365 e-Commerce Tier 1 Band 1 Overage (Nonprofits Pricing)</t>
  </si>
  <si>
    <t>Dynamics 365 e-Commerce Tier 1 Band 2 (Nonprofits Pricing)</t>
  </si>
  <si>
    <t>Dynamics 365 e-Commerce Tier 1 Band 2 Overage (Nonprofits Pricing)</t>
  </si>
  <si>
    <t>Dynamics 365 e-Commerce Tier 1 Band 3 (Nonprofits Pricing)</t>
  </si>
  <si>
    <t>Dynamics 365 e-Commerce Tier 1 Band 3 Overage (Nonprofits Pricing)</t>
  </si>
  <si>
    <t>Dynamics 365 e-Commerce Tier 1 Band 4 (Nonprofits Pricing)</t>
  </si>
  <si>
    <t>Dynamics 365 e-Commerce Tier 1 Band 4 Overage (Nonprofits Pricing)</t>
  </si>
  <si>
    <t>Dynamics 365 e-Commerce Tier 1 Band 5 (Nonprofits Pricing)</t>
  </si>
  <si>
    <t>Dynamics 365 e-Commerce Tier 1 Band 5 Overage (Nonprofits Pricing)</t>
  </si>
  <si>
    <t>Dynamics 365 e-Commerce Tier 1 Band 6 (Nonprofits Pricing)</t>
  </si>
  <si>
    <t>Dynamics 365 e-Commerce Tier 1 Band 6 Overage (Nonprofits Pricing)</t>
  </si>
  <si>
    <t>Dynamics 365 e-Commerce Tier 2 Band 1 (Nonprofits Pricing)</t>
  </si>
  <si>
    <t>Dynamics 365 e-Commerce Tier 2 Band 1 Overage (Nonprofits Pricing)</t>
  </si>
  <si>
    <t>Dynamics 365 e-Commerce Tier 2 Band 2 (Nonprofits Pricing)</t>
  </si>
  <si>
    <t>Dynamics 365 e-Commerce Tier 2 Band 2 Overage (Nonprofits Pricing) (Nonprofit Staff Pricing)</t>
  </si>
  <si>
    <t>Dynamics 365 e-Commerce Tier 2 Band 3 (Nonprofits Pricing) (Nonprofit Staff Pricing)</t>
  </si>
  <si>
    <t>Dynamics 365 e-Commerce Tier 2 Band 3 Overage (Nonprofits Pricing)</t>
  </si>
  <si>
    <t>Dynamics 365 e-Commerce Tier 2 Band 4 (Nonprofits Pricing)</t>
  </si>
  <si>
    <t>Dynamics 365 e-Commerce Tier 2 Band 4 Overage (Nonprofits Pricing) (Nonprofit Staff Pricing)</t>
  </si>
  <si>
    <t>Dynamics 365 e-Commerce Tier 2 Band 5 (Nonprofits Pricing) (Nonprofit Staff Pricing)</t>
  </si>
  <si>
    <t>Dynamics 365 e-Commerce Tier 2 Band 5 Overage (Nonprofits Pricing)</t>
  </si>
  <si>
    <t>Dynamics 365 e-Commerce Tier 2 Band 6 (Nonprofits Pricing)</t>
  </si>
  <si>
    <t>Dynamics 365 e-Commerce Tier 2 Band 6 Overage (Nonprofits Pricing) (Nonprofit Staff Pricing)</t>
  </si>
  <si>
    <t>Dynamics 365 e-Commerce Tier 3 Band 1 (Nonprofits Pricing)</t>
  </si>
  <si>
    <t>Dynamics 365 e-Commerce Tier 3 Band 1 Overage (Nonprofits Pricing) (Nonprofit Staff Pricing)</t>
  </si>
  <si>
    <t>Dynamics 365 e-Commerce Tier 3 Band 2 (Nonprofits Pricing) (Nonprofit Staff Pricing)</t>
  </si>
  <si>
    <t>Dynamics 365 e-Commerce Tier 3 Band 2 Overage (Nonprofits Pricing)</t>
  </si>
  <si>
    <t>Dynamics 365 e-Commerce Tier 3 Band 3 (Nonprofits Pricing)</t>
  </si>
  <si>
    <t>Dynamics 365 e-Commerce Tier 3 Band 3 Overage (Nonprofits Pricing)</t>
  </si>
  <si>
    <t>Dynamics 365 e-Commerce Tier 3 Band 4 (Nonprofits Pricing)</t>
  </si>
  <si>
    <t>Dynamics 365 e-Commerce Tier 3 Band 4 Overage (Nonprofits Pricing)</t>
  </si>
  <si>
    <t>Dynamics 365 e-Commerce Tier 3 Band 5 (Nonprofits Pricing)</t>
  </si>
  <si>
    <t>Dynamics 365 e-Commerce Tier 3 Band 5 Overage (Nonprofits Pricing) (Nonprofit Staff Pricing)</t>
  </si>
  <si>
    <t>Dynamics 365 e-Commerce Tier 3 Band 6 (Nonprofits Pricing)</t>
  </si>
  <si>
    <t>Dynamics 365 e-Commerce Tier 3 Band 6 Overage (Nonprofits Pricing)</t>
  </si>
  <si>
    <t>0bed36a6-1c0c-411f-ab5a-17462eff741f</t>
  </si>
  <si>
    <t>c9a61e23-9b1a-4d3e-a0c2-13057862115e</t>
  </si>
  <si>
    <t>b5b8419a-9b45-4c90-bc1f-371e440d49df</t>
  </si>
  <si>
    <t>6e0fcdf2-e39d-4707-b842-0678e480c055</t>
  </si>
  <si>
    <t>4d949392-8d96-4e67-97f2-dd88be37ded3</t>
  </si>
  <si>
    <t>86c19c3a-274c-4e93-a13d-fdb7b8fae940</t>
  </si>
  <si>
    <t>2829106f-96d8-44a2-8cb1-9527111a9612</t>
  </si>
  <si>
    <t>00f5479a-f70b-4e4e-842c-4ac260ec298d</t>
  </si>
  <si>
    <t>ec936aa9-26c9-42b6-864d-0c0febe89e39</t>
  </si>
  <si>
    <t>77816d14-76e9-496c-9f87-c6de72d6d8af</t>
  </si>
  <si>
    <t>f4902bb7-b110-4b21-a1ed-75ae723ea410</t>
  </si>
  <si>
    <t>18721d83-bdc8-43a2-bace-de9401c76cdd</t>
  </si>
  <si>
    <t>84945f50-4b4e-4a75-85b8-c930fd775254</t>
  </si>
  <si>
    <t>f190037c-47b1-44c6-92c2-84ad95e3c886</t>
  </si>
  <si>
    <t>cfe8a7bc-bfbe-45da-b34c-3326debb0b77</t>
  </si>
  <si>
    <t>34661851-3c3c-4c26-864e-bb6ff0874a42</t>
  </si>
  <si>
    <t>017289d1-0bb4-40ba-a95c-0bec593e6e6c</t>
  </si>
  <si>
    <t>49af2781-ee24-43fa-8724-349249d1b0b1</t>
  </si>
  <si>
    <t>81e43bba-e021-4d4b-b84a-bcc77f220397</t>
  </si>
  <si>
    <t>2322a7a3-29d7-440f-ab0d-ae6ae8d54cff</t>
  </si>
  <si>
    <t>81174b7d-ddf6-426a-81a5-b5164c66c03c</t>
  </si>
  <si>
    <t>77029343-ee5b-4a54-9a2b-a0f9f3c1d2ed</t>
  </si>
  <si>
    <t>d0016f02-702b-4b65-bb41-4e586ef69641</t>
  </si>
  <si>
    <t>f273bf5d-3f87-4060-872b-dc45c8bf1416</t>
  </si>
  <si>
    <t>20ca6bd8-ab9f-4bb3-bc19-634decff2f74</t>
  </si>
  <si>
    <t>51b7b27d-6f1c-4472-8e67-9ba33ae45a1b</t>
  </si>
  <si>
    <t>26a272e7-6dce-40c0-8d89-88ae7e846e51</t>
  </si>
  <si>
    <t>b179484d-133f-44ac-8d6f-dc5bf762f70a</t>
  </si>
  <si>
    <t>526e1447-45dc-4a9d-8c2d-9e76e597ed14</t>
  </si>
  <si>
    <t>65f30515-09df-40c4-b775-20d2c0ef7ff2</t>
  </si>
  <si>
    <t>0a6115b9-e964-45bf-88a8-89220c4d8d0d</t>
  </si>
  <si>
    <t>0680a38f-e934-4e3d-bf55-e8b0dc4706f2</t>
  </si>
  <si>
    <t>3d58bd32-2044-47d9-aa43-64d040d1c18d</t>
  </si>
  <si>
    <t>94fd53b0-cfd2-47a9-a0c4-4a6754d9c23c</t>
  </si>
  <si>
    <t>975c93d1-7fe0-4b84-98c3-aa82aac61577</t>
  </si>
  <si>
    <t>70d3f30d-5980-4627-8878-20ac73239d12</t>
  </si>
  <si>
    <t>26213b09-bec7-40be-88d5-b66fd5f4f94b</t>
  </si>
  <si>
    <t>22ec4dc0-d300-4440-8c49-733d85f4d645</t>
  </si>
  <si>
    <t>e5745de2-d995-4c96-a583-9e64745304bb</t>
  </si>
  <si>
    <t>c54b1ab7-42ac-41a6-b475-e38ebf913789</t>
  </si>
  <si>
    <t>3774263d-d6da-422c-9c59-98302060c92c</t>
  </si>
  <si>
    <t>deaf039e-d2b8-4f14-b0bb-73aa27ed35a8</t>
  </si>
  <si>
    <t>6244ed65-a478-458f-b5e5-e165a8b502de</t>
  </si>
  <si>
    <t>99f5c6fa-6ebb-46d2-b215-c5f4a7adae4f</t>
  </si>
  <si>
    <t>5b1d71ea-c652-4a84-a606-b894226e0984</t>
  </si>
  <si>
    <t>059a6048-d640-4f74-a4cb-7e8e0f0e5877</t>
  </si>
  <si>
    <t>6d33c250-ac53-45dc-a23f-085974b51c90</t>
  </si>
  <si>
    <t>9a793cd4-8581-457b-8498-d4749ac56b22</t>
  </si>
  <si>
    <t>7b7d5c16-ef92-4135-92b8-b4bf541ecbf7</t>
  </si>
  <si>
    <t>D365 Finance &amp; Operations</t>
  </si>
  <si>
    <t>Dynamics 365 Finance Attach to Qualifying Dynamics 365 Base Offer (Nonprofits Pricing) (36 mo)</t>
  </si>
  <si>
    <t>Dynamics 365 Finance Attach to Qualifying Dynamics 365 Base Offer (Nonprofits Pricing)</t>
  </si>
  <si>
    <t>Dynamics 365 Finance (Nonprofits Pricing)</t>
  </si>
  <si>
    <t>038bc7c8-d7e2-40a8-bcc8-8ac216d53a6b</t>
  </si>
  <si>
    <t>4aa72de6-cc28-4934-a60a-1e1940dd4a45</t>
  </si>
  <si>
    <t>2f6d5b0a-ed16-437a-b7d1-b992e56e37e9</t>
  </si>
  <si>
    <t>Dynamics 365 Fraud Protection Account Protection (Nonprofits Pricing)</t>
  </si>
  <si>
    <t>Dynamics 365 Fraud Protection Account Protection Addon (Nonprofits Pricing)</t>
  </si>
  <si>
    <t>Dynamics 365 Fraud Protection Loss Prevention (Nonprofits Pricing)</t>
  </si>
  <si>
    <t>Dynamics 365 Fraud Protection Loss Prevention Addon (Nonprofits Pricing)</t>
  </si>
  <si>
    <t>Dynamics 365 Fraud Protection Purchase Protection (Nonprofits Pricing)</t>
  </si>
  <si>
    <t>Dynamics 365 Fraud Protection Purchase Protection Addon (Nonprofits Pricing)</t>
  </si>
  <si>
    <t>94e6b8a6-b150-4da9-ab55-066244409ffd</t>
  </si>
  <si>
    <t>875181fc-6fe6-4ef6-9804-6903cc9b00a1</t>
  </si>
  <si>
    <t>145e22dd-1f2b-4772-8f06-8411606d3ef7</t>
  </si>
  <si>
    <t>2794aa4d-c44f-4158-b8a2-5ded9403212d</t>
  </si>
  <si>
    <t>e32ea453-f371-4322-8415-8894421b010e</t>
  </si>
  <si>
    <t>5bad990c-4e0c-4d11-ae2f-6b518b40ab11</t>
  </si>
  <si>
    <t>d6cd715b-701f-4fed-a414-8540c2d08797</t>
  </si>
  <si>
    <t>81f90909-6de6-48cc-a20a-dd5c2ce69c1c</t>
  </si>
  <si>
    <t>a81b618a-fe0c-4634-a300-c3ff31f248d5</t>
  </si>
  <si>
    <t>Dynamics 365 Guides (Nonprofits Pricing)</t>
  </si>
  <si>
    <t>a77add8a-2046-4001-ba3f-bd6ad819dd54</t>
  </si>
  <si>
    <t>Dynamics 365 Human Resources (Nonprofits Pricing)</t>
  </si>
  <si>
    <t>Dynamics 365 Human Resources (Nonprofits Pricing) (36 mo)</t>
  </si>
  <si>
    <t>Dynamics 365 Human Resources Attach to Qualifying Dynamics 365 Base Offer (Nonprofits Pricing)</t>
  </si>
  <si>
    <t>Dynamics 365 Human Resources Attach to Qualifying Dynamics 365 Base Offer (Nonprofits Pricing) (36 mo)</t>
  </si>
  <si>
    <t>Dynamics 365 Human Resources Sandbox (Nonprofits Pricing)</t>
  </si>
  <si>
    <t>Dynamics 365 Human Resources Sandbox (Nonprofits Pricing) (36 mo)</t>
  </si>
  <si>
    <t>Dynamics 365 Human Resources Self Service (Nonprofits Pricing)</t>
  </si>
  <si>
    <t>Dynamics 365 Human Resources Self Service (Nonprofits Pricing) (36 mo)</t>
  </si>
  <si>
    <t>Dynamics 365 Intelligent Order Management (Nonprofits Pricing)</t>
  </si>
  <si>
    <t>Dynamics 365 Intelligent Order Management USL (Nonprofits Pricing)</t>
  </si>
  <si>
    <t>001cb010-9a33-4719-a9c0-62c53e1beb09</t>
  </si>
  <si>
    <t>4ef6c2bf-dcd6-4912-a43a-61848ee1e04a</t>
  </si>
  <si>
    <t>0eeee500-84ee-49bc-a954-07656adbf16f</t>
  </si>
  <si>
    <t>2e507d5f-18f1-41db-b74c-5f0e2e993716</t>
  </si>
  <si>
    <t>3170ce7e-4ede-4b49-88b2-37b69a08c417</t>
  </si>
  <si>
    <t>21bf0869-a48e-4afd-9d8e-64238f0928c8</t>
  </si>
  <si>
    <t>fa9b0cd8-1899-4116-8ca6-97e2efd0dec4</t>
  </si>
  <si>
    <t>18c9eb95-19ee-4504-93c3-2c18f77d57f5</t>
  </si>
  <si>
    <t>da5f6f6f-a05b-44c6-9475-506f36dfe092</t>
  </si>
  <si>
    <t>dd2c1d48-1b73-45f7-890f-84f5ac596279</t>
  </si>
  <si>
    <t>Dynamics 365 Operations – Activity (Nonprofits Pricing) (36 mo)</t>
  </si>
  <si>
    <t>Dynamics 365 Operations – Device (Nonprofits Pricing) (36 mo)</t>
  </si>
  <si>
    <t>Dynamics 365 Operations - Sandbox Tier 2:Standard Acceptance Testing (Nonprofits Pricing)</t>
  </si>
  <si>
    <t>Dynamics 365 Operations - Sandbox Tier 2:Standard Acceptance Testing (Nonprofits Pricing) (36 mo)</t>
  </si>
  <si>
    <t>Dynamics 365 Operations - Sandbox Tier 3:Premier Acceptance Testing (Nonprofits Pricing)</t>
  </si>
  <si>
    <t>Dynamics 365 Operations - Sandbox Tier 3:Premier Acceptance Testing (Nonprofits Pricing) (36 mo)</t>
  </si>
  <si>
    <t>Dynamics 365 Operations - Sandbox Tier 4:Standard Performance Testing (Nonprofits Pricing)</t>
  </si>
  <si>
    <t>Dynamics 365 Operations - Sandbox Tier 4:Standard Performance Testing (Nonprofits Pricing) (36 mo)</t>
  </si>
  <si>
    <t>Dynamics 365 Operations - Sandbox Tier 5:Premier Performance Testing (Nonprofits Pricing)</t>
  </si>
  <si>
    <t>Dynamics 365 Operations - Sandbox Tier 5:Premier Performance Testing (Nonprofits Pricing) (36 mo)</t>
  </si>
  <si>
    <t>b758c447-8826-4ce2-a77e-e033b5aa6ecf</t>
  </si>
  <si>
    <t>0ac18c67-c009-41b1-b77b-d5f79460932e</t>
  </si>
  <si>
    <t>651f4e9b-16d1-402e-918a-d1cb52efbc1f</t>
  </si>
  <si>
    <t>95b7eaa1-8a0d-4d9d-8592-e7dec4581616</t>
  </si>
  <si>
    <t>aa804035-3b7f-44f7-b5eb-34012f0f58c9</t>
  </si>
  <si>
    <t>74a625da-f29b-4035-8c64-6a3b73d9fda2</t>
  </si>
  <si>
    <t>ec708320-1a9a-4c9c-9cb6-6e65a680d400</t>
  </si>
  <si>
    <t>d5a7e27b-2c5c-4c6e-9049-2c1a5a4cbe08</t>
  </si>
  <si>
    <t>c59b39a7-2d02-4555-844b-75395fe19061</t>
  </si>
  <si>
    <t>f9716f29-f1a2-43c1-989a-f193c4718943</t>
  </si>
  <si>
    <t>Dynamics 365 Project Operations (Nonprofits Pricing)</t>
  </si>
  <si>
    <t>Dynamics 365 Project Operations (Nonprofits Pricing) (36 mo)</t>
  </si>
  <si>
    <t>Dynamics 365 Project Operations Attach (Nonprofits Pricing)</t>
  </si>
  <si>
    <t>Dynamics 365 Project Operations Attach (Nonprofits Pricing) (36 mo)</t>
  </si>
  <si>
    <t>4919c93e-462e-407f-aaa3-17f5c2567a8b</t>
  </si>
  <si>
    <t>89d5cac1-ada9-4ff7-bc04-656a6676145a</t>
  </si>
  <si>
    <t>f35e3390-80ba-423c-bdc2-56e68d96baef</t>
  </si>
  <si>
    <t>5a7d8e83-7d81-4a03-b4d7-c8e74588393b</t>
  </si>
  <si>
    <t>Dynamics 365 Supply Chain Management (Nonprofits Pricing) (36 mo)</t>
  </si>
  <si>
    <t>Dynamics 365 Supply Chain Management Attach to Qualifying Dynamics 365 Base Offer (Nonprofits Pricing) (36 mo)</t>
  </si>
  <si>
    <t>e68e8084-09f5-4a54-ab24-b69b6e76822a</t>
  </si>
  <si>
    <t>3ecefab9-ee68-43a0-a9c3-27d7f06cfc1f</t>
  </si>
  <si>
    <t>Microsoft Defender for Cloud Apps - App Governance Add-On (Nonprofit Staff Pricing)</t>
  </si>
  <si>
    <t>f83e1bab-6d05-4a0e-968a-f346b594001d</t>
  </si>
  <si>
    <t>Microsoft Defender for Identity (Nonprofit Staff Pricing)</t>
  </si>
  <si>
    <t>Microsoft Viva Goals (Nonprofit Staff Pricing)</t>
  </si>
  <si>
    <t>b7cbeab2-7afe-4190-bba3-2da771dfc937</t>
  </si>
  <si>
    <t>Universal Print (Nonprofit Staff Pricing)</t>
  </si>
  <si>
    <t>0f3c1dc9-1ac4-405f-986d-06aaeece602e</t>
  </si>
  <si>
    <t>05288977-21a4-4de4-8e49-b0d1723cb7c1</t>
  </si>
  <si>
    <t>Universal Print Additional Capacity (10k) - Windows (Nonprofit Staff Pricing)</t>
  </si>
  <si>
    <t>Universal Print Additional Capacity 10K (Nonprofit Staff Pricing)</t>
  </si>
  <si>
    <t>Universal Print volume add-on (500 jobs) - Microsoft 365 (Nonprofit Staff Pricing)</t>
  </si>
  <si>
    <t>Universal Print volume add-on (500 jobs) - Windows (Nonprofit Staff Pricing)</t>
  </si>
  <si>
    <t>1c5061b8-b6db-4bb1-b681-aed1a5f4b969</t>
  </si>
  <si>
    <t>9fa89249-66c4-4f4a-97b8-7b379cbb5fc5</t>
  </si>
  <si>
    <t>60ae6dec-25b7-4d72-9517-c5a82b56a511</t>
  </si>
  <si>
    <t>8c283f4e-7cfe-4db5-88fc-fb86713a64a9</t>
  </si>
  <si>
    <t>Microsoft Teams Rooms Pro for faculty</t>
  </si>
  <si>
    <t>Microsoft Teams Rooms Pro for faculty Trial</t>
  </si>
  <si>
    <t>Microsoft Teams Rooms Pro without Audio Conferencing for faculty</t>
  </si>
  <si>
    <t>Microsoft Teams Rooms Pro without Audio Conferencing for faculty Trial</t>
  </si>
  <si>
    <t>8614f148-7cf8-4752-8a8d-7c0a611e7dfc</t>
  </si>
  <si>
    <t>87e022c9-b05a-42fd-b86c-378cb0cbef24</t>
  </si>
  <si>
    <t>395e11f7-c24a-4e1d-9335-973484cb5abc</t>
  </si>
  <si>
    <t>d995943a-2eb7-4de1-b8c6-e66aed272fae</t>
  </si>
  <si>
    <t>Microsoft Teams Rooms Pro (Nonprofit Staff Pricing)</t>
  </si>
  <si>
    <t>Microsoft Teams Rooms Pro (Nonprofit Staff Pricing) Trial</t>
  </si>
  <si>
    <t>Microsoft Teams Rooms Pro without Audio Conferencing (Nonprofit Staff Pricing)</t>
  </si>
  <si>
    <t>Microsoft Teams Rooms Pro without Audio Conferencing (Nonprofit Staff Pricing) Trial</t>
  </si>
  <si>
    <t>74b43934-3a96-41c4-8ee2-e7118a04c5f3</t>
  </si>
  <si>
    <t>db91c69d-7501-4522-99a4-07df9c16e6d2</t>
  </si>
  <si>
    <t>7b7fccbe-6160-411e-927d-a8bf6906f4c1</t>
  </si>
  <si>
    <t>1db8bbb8-1a80-4bd4-8761-1e40296dc155</t>
  </si>
  <si>
    <t xml:space="preserve">Office 365 E1 (Nonprofit Staff Pricing) </t>
  </si>
  <si>
    <t>Microsoft Teams Phone with Calling Plan (country zone 2) Facutly</t>
  </si>
  <si>
    <t>Microsoft Teams Phone with Calling Plan (country zone 2) Facutly Trial</t>
  </si>
  <si>
    <t>Microsoft Teams Phone with Calling Plan (country zone 2) Student</t>
  </si>
  <si>
    <t>Microsoft Teams Phone with Calling Plan (country zone 2) Student Trial</t>
  </si>
  <si>
    <t>ca39b267-340d-43c6-b10f-e77bab2828c3</t>
  </si>
  <si>
    <t>e3ee3e85-7643-44fe-bf39-1f9b1c1cde02</t>
  </si>
  <si>
    <t>ff55641a-7a07-4958-9913-5ed0928369dc</t>
  </si>
  <si>
    <t>4f8cb793-b36c-4902-907b-f97bc0c87f1a</t>
  </si>
  <si>
    <t>Microsoft Viva Sales (Nonprofit Staff Pricing)</t>
  </si>
  <si>
    <t>Microsoft Viva Sales (Nonprofit Staff Pricing) Trial</t>
  </si>
  <si>
    <t>f7a17943-29a2-4900-8bce-1b4790ca4675</t>
  </si>
  <si>
    <t>ea410c43-4108-4caa-8300-c5aac09ba322</t>
  </si>
  <si>
    <t>Billing Plan</t>
  </si>
  <si>
    <t>Power Pages anonymous users T1 500 users/per site/month capacity pack for Faculty</t>
  </si>
  <si>
    <t>Power Pages anonymous users T1 500 users/per site/month capacity pack for Students</t>
  </si>
  <si>
    <t>Power Pages anonymous users T2 min 20 units - 500 users/per site/month capacity pack for Faculty</t>
  </si>
  <si>
    <t>Power Pages anonymous users T2 min 20 units - 500 users/per site/month capacity pack for Students</t>
  </si>
  <si>
    <t>Power Pages anonymous users T3 min 200 units - 500 users/per site/month capacity pack for Faculty</t>
  </si>
  <si>
    <t>Power Pages anonymous users T3 min 200 units - 500 users/per site/month capacity pack for Students</t>
  </si>
  <si>
    <t>Power Pages authenticated users T1 100 users/per site/month capacity pack for Faculty</t>
  </si>
  <si>
    <t>Power Pages authenticated users T1 100 users/per site/month capacity pack for Students</t>
  </si>
  <si>
    <t>Power Pages authenticated users T2 min 100 units - 100 users/per site/month capacity pack for Faculty</t>
  </si>
  <si>
    <t>Power Pages authenticated users T2 min 100 units - 100 users/per site/month capacity pack for Students</t>
  </si>
  <si>
    <t>5ea26c59-765b-4859-9361-bbe7fc6716d6</t>
  </si>
  <si>
    <t>cab48f3e-7e86-4905-893c-ca903915805d</t>
  </si>
  <si>
    <t>9683ba56-af43-4e04-bd3d-bae2a6897926</t>
  </si>
  <si>
    <t>a219ac89-48c4-4a73-a9b6-f0535b7c0918</t>
  </si>
  <si>
    <t>dde6c93b-f511-4332-a6dc-e5545a729ba2</t>
  </si>
  <si>
    <t>35b42de2-6478-4f4e-9d6d-cafd9fb9b3b7</t>
  </si>
  <si>
    <t>c0c9cdac-915d-4772-9be7-27ee338fe0a9</t>
  </si>
  <si>
    <t>c875b083-9bb4-49e9-935f-ddd039c21d98</t>
  </si>
  <si>
    <t>1308e0dd-c250-4c88-ace1-a465bbb4a37c</t>
  </si>
  <si>
    <t>ff202d17-e635-41b5-a570-2e7415b39666</t>
  </si>
  <si>
    <t>Microsoft Defender for Business servers (Nonprofit Staff Pricing)</t>
  </si>
  <si>
    <t>Power Pages anonymous users T1 500 users/per site/month capacity pack (Nonprofit Staff Pricing)</t>
  </si>
  <si>
    <t>Power Pages anonymous users T2 min 20 units - 500 users/per site/month capacity pack (Nonprofit Staff Pricing)</t>
  </si>
  <si>
    <t>Power Pages anonymous users T3 min 200 units - 500 users/per site/month capacity pack (Nonprofit Staff Pricing)</t>
  </si>
  <si>
    <t>Power Pages authenticated users T1 100 users/per site/month capacity pack (Nonprofit Staff Pricing)</t>
  </si>
  <si>
    <t>Power Pages authenticated users T2 min 100 units - 100 users/per site/month capacity pack (Nonprofit Staff Pricing)</t>
  </si>
  <si>
    <t>8d325106-e583-4660-9cc1-dbc0f4215cc9</t>
  </si>
  <si>
    <t>d45fa3ce-a85b-4c59-a6c6-6893937d7fd3</t>
  </si>
  <si>
    <t>7ba9a12f-0da6-4281-aae3-f140e1f17689</t>
  </si>
  <si>
    <t>477a4f63-c631-497b-8711-f7e1ee2dd745</t>
  </si>
  <si>
    <t>85855dd0-e05e-408d-ad46-2411fadf4f8d</t>
  </si>
  <si>
    <t>1ee9a866-ce6f-4c28-9604-cc26d1a9032e</t>
  </si>
  <si>
    <t>Teams Phone Mobile for EDU</t>
  </si>
  <si>
    <t>93825efb-c865-4b9c-806f-4cd7c3bee034</t>
  </si>
  <si>
    <t>Windows Server 2022 Remote Desktop Services - 1 User CAL</t>
  </si>
  <si>
    <t>Windows Server 2022 Remote Desktop Services - 1 Device CAL</t>
  </si>
  <si>
    <t>SQL Server 2022 Standard Edition</t>
  </si>
  <si>
    <t>DG7GMGF0M7XW</t>
  </si>
  <si>
    <t>Windows Server 2022 Datacenter - 8 Core License Pack 1 Year</t>
  </si>
  <si>
    <t>Windows Server 2022 Datacenter - 8 Core License Pack 3 Year</t>
  </si>
  <si>
    <t>Universal Print volume add-on (10k jobs)</t>
  </si>
  <si>
    <t>Universal Print volume add-on (500 jobs)</t>
  </si>
  <si>
    <t>336288b4-a180-4290-8563-7a633300e276</t>
  </si>
  <si>
    <t>7f0aef59-ccb1-43f4-a761-ae871ae22ba7</t>
  </si>
  <si>
    <t>Universal Print volume add-on (10k jobs) (Nonprofit Staff Pricing)</t>
  </si>
  <si>
    <t>Universal Print volume add-on (500 jobs) (Nonprofit Staff Pricing)</t>
  </si>
  <si>
    <t>0f1179a0-1625-49bb-a2e0-d1d9c47d6aaf</t>
  </si>
  <si>
    <t>11c1d6ee-a071-4b34-afe9-7ab7e72f39ee</t>
  </si>
  <si>
    <t>SQL Server 2022 - 1 Device CAL</t>
  </si>
  <si>
    <t>SQL Server 2022 - 1 User CAL</t>
  </si>
  <si>
    <t>SQL Server 2022 Enterprise Core - 2 Core License Pack</t>
  </si>
  <si>
    <t>SQL Server 2022 Standard Core - 2 Core License Pack</t>
  </si>
  <si>
    <t>Windows GGWA - Windows 11 Pro N - Legalization Get Genuine</t>
  </si>
  <si>
    <t>Windows GGWA - Windows 11 Pro - Legalization Get Genuine</t>
  </si>
  <si>
    <t>Windows GGWA - Windows 11 Home (Edu) - Legalization Get Genuine</t>
  </si>
  <si>
    <t>SQL Server 2022 Enterprise - 2 Core License Pack - 1 year</t>
  </si>
  <si>
    <t>SQL Server 2022 Enterprise - 2 Core License Pack - 3 year</t>
  </si>
  <si>
    <t>DG7GMGF0M7XV</t>
  </si>
  <si>
    <t>Microsoft Defender Vulnerability Management Add-on Edu</t>
  </si>
  <si>
    <t>Microsoft Defender Vulnerability Management Add-on for Student</t>
  </si>
  <si>
    <t>ae326f5a-5340-47e6-bffc-bc66117d68cf</t>
  </si>
  <si>
    <t>61211bf1-58d9-4e2b-b463-5003be1ad2d1</t>
  </si>
  <si>
    <t>Microsoft Intune Plan 2 for Faculty</t>
  </si>
  <si>
    <t>Microsoft Intune Plan 2 for Students</t>
  </si>
  <si>
    <t>Microsoft Intune Suite for Faculty</t>
  </si>
  <si>
    <t>Microsoft Intune Suite for Students</t>
  </si>
  <si>
    <t>85610de9-533b-4c38-b1a0-4924ff8b856a</t>
  </si>
  <si>
    <t>a41550c0-e3fa-4c4a-a8e9-588779418f2d</t>
  </si>
  <si>
    <t>64a2802b-20c0-40f6-aa5a-6942649fe4fa</t>
  </si>
  <si>
    <t>65f60603-982a-4beb-8fa4-7dbd8119d106</t>
  </si>
  <si>
    <t>SharePoint advanced management plan 1</t>
  </si>
  <si>
    <t>4efd74d8-60f2-48a2-9dcf-8e60423ccae3</t>
  </si>
  <si>
    <t>f45a7f3e-aff1-4f95-b393-c99660cb40b8</t>
  </si>
  <si>
    <t>Microsoft Intune Plan 2 (Nonprofit Staff Pricing)</t>
  </si>
  <si>
    <t>Microsoft Intune Suite (Nonprofit Staff Pricing)</t>
  </si>
  <si>
    <t>8f14f0f7-3d3c-402a-a57a-91c92017e7c1</t>
  </si>
  <si>
    <t>777262fc-402e-46aa-9cce-49c36b61d511</t>
  </si>
  <si>
    <t>SharePoint advanced management plan 1 (Nonprofit Staff Pricing)</t>
  </si>
  <si>
    <t>SharePoint advanced management plan 1 (Nonprofit Staff Pricing) Trial</t>
  </si>
  <si>
    <t>fb5e970b-eba3-4a48-bea8-d464ef9c29b6</t>
  </si>
  <si>
    <t>a9acaedc-97b8-49ee-91ca-48a14ce30df3</t>
  </si>
  <si>
    <t>Windows 10 Enterprise LTSC 2021 Upgrade</t>
  </si>
  <si>
    <t>Windows 10 Enterprise N LTSC 2021 Upgrade</t>
  </si>
  <si>
    <t>DG7GMGF0D19L</t>
  </si>
  <si>
    <t>DG7GMGF0D19M</t>
  </si>
  <si>
    <t>Microsoft Intune Endpoint Privilege Management for Faculty</t>
  </si>
  <si>
    <t>Microsoft Intune Endpoint Privilege Management for Students</t>
  </si>
  <si>
    <t>0cda2c59-679b-41b8-ada1-1bd32bcff33a</t>
  </si>
  <si>
    <t>8747421a-825c-4df4-9e29-163478882348</t>
  </si>
  <si>
    <t>Microsoft Sustainability Manager USL for Faculty</t>
  </si>
  <si>
    <t>Microsoft Sustainability Manager USL for Students</t>
  </si>
  <si>
    <t>28edee39-78e1-4442-849f-30cbeb7da081</t>
  </si>
  <si>
    <t>346d28ae-5a3f-4f59-b8df-fed235ccb50e</t>
  </si>
  <si>
    <t>63a431a9-a638-4b3a-aef9-700f216b0b14</t>
  </si>
  <si>
    <t>7e6e7cee-ae1b-4ecb-9ba0-60ae35e710f4</t>
  </si>
  <si>
    <t>7cc2e2d2-5851-4b08-a773-3aa529379e9f</t>
  </si>
  <si>
    <t>36f4045b-3802-453a-bb8c-79ee95986d35</t>
  </si>
  <si>
    <t>89c4379a-ed9d-4c9b-8869-de0e4802c18c</t>
  </si>
  <si>
    <t>ad9ac96e-92be-4fd9-82b9-358c7e33c95f</t>
  </si>
  <si>
    <t>Microsoft Intune Endpoint Privilege Management (Nonprofit Staff Pricing)</t>
  </si>
  <si>
    <t>5df4995a-531a-42bd-89a9-a8f650f103ee</t>
  </si>
  <si>
    <t>Microsoft Teams Premium Introductory Pricing (Nonprofit Staff Pricing)</t>
  </si>
  <si>
    <t>61ae3a4e-9360-4e9e-b544-5e7e8dc3aaef</t>
  </si>
  <si>
    <t>Windows Server 2022 Datacenter - 2 Core License Pack 3 Year</t>
  </si>
  <si>
    <t>Windows Server 2022 Datacenter - 2 Core License Pack 1 Year</t>
  </si>
  <si>
    <t>Windows Server 2022 Standard - 2 Core License Pack 1 Year</t>
  </si>
  <si>
    <t>Windows Server 2022 Standard - 2 Core License Pack 3 Year</t>
  </si>
  <si>
    <t>Defender Threat Intelligence for Faculty</t>
  </si>
  <si>
    <t>Defender Threat Intelligence for Students</t>
  </si>
  <si>
    <t>2dac2cd8-8f96-4527-8979-3d39bfb1f18b</t>
  </si>
  <si>
    <t>08880ddd-85aa-4ab9-8e27-8701ec0dae12</t>
  </si>
  <si>
    <t>Teams Premium for Faculty</t>
  </si>
  <si>
    <t>Teams Premium for Students</t>
  </si>
  <si>
    <t>104fba21-26a3-4c3e-9f39-07559fdf3da8</t>
  </si>
  <si>
    <t>94f04562-cd6b-4d45-aaf7-dce3d9090953</t>
  </si>
  <si>
    <t>Microsoft Defender for Endpoint Server Edu</t>
  </si>
  <si>
    <t>Microsoft Entra ID Governance for Faculty</t>
  </si>
  <si>
    <t>Microsoft Entra ID Governance for Students</t>
  </si>
  <si>
    <t>Microsoft Entra ID Governance Step-Up for Microsoft Entra ID P2 for Faculty</t>
  </si>
  <si>
    <t>Microsoft Entra ID Governance Step-Up for Microsoft Entra ID P2 for Students</t>
  </si>
  <si>
    <t>faac70d2-a730-40ae-acca-786b659d1322</t>
  </si>
  <si>
    <t>888e7190-d73a-413a-86c9-ab778abc8fd8</t>
  </si>
  <si>
    <t>210831d1-58e6-42df-a788-cc9ff998806e</t>
  </si>
  <si>
    <t>9c44812d-1f5d-4b2a-b255-0bc356b18597</t>
  </si>
  <si>
    <t>Microsoft Defender Vulnerability Management Add-On Server</t>
  </si>
  <si>
    <t>Microsoft Defender Vulnerability Management Edu</t>
  </si>
  <si>
    <t>Microsoft Defender Vulnerability Management for Student</t>
  </si>
  <si>
    <t>b6f95916-48ff-452a-9d41-971251144388</t>
  </si>
  <si>
    <t>487e1aa4-0924-45c9-a386-251e40e7600f</t>
  </si>
  <si>
    <t>92f7cbf2-d507-4708-85f0-d4c818ab99d3</t>
  </si>
  <si>
    <t>Power Automate per process for Faculty</t>
  </si>
  <si>
    <t>Power Automate per process for Students</t>
  </si>
  <si>
    <t>Power Automate Process Mining add-on for Faculty</t>
  </si>
  <si>
    <t>Power Automate Process Mining add-on for Students</t>
  </si>
  <si>
    <t>55b52fe9-b834-4899-9e41-d506e451a33a</t>
  </si>
  <si>
    <t>2d536c7d-ff6d-49d5-be3a-92ec82eadc8f</t>
  </si>
  <si>
    <t>b43caec6-1fc1-4d37-93fd-eae5b2c85664</t>
  </si>
  <si>
    <t>f5a4f797-1ae3-409d-9982-4b73c11e59b9</t>
  </si>
  <si>
    <t>Power Automate Premium for Faculty</t>
  </si>
  <si>
    <t>Power Automate Premium for Students</t>
  </si>
  <si>
    <t>Power Automate per process (Nonprofit Staff Pricing)</t>
  </si>
  <si>
    <t>Power Automate Process Mining add-on (Nonprofit Staff Pricing)</t>
  </si>
  <si>
    <t>cae7a3a6-92db-488d-a40c-55855ad1ef97</t>
  </si>
  <si>
    <t>1284e364-225a-45bd-b235-b7bac459742a</t>
  </si>
  <si>
    <t>Power Automate Premium (Nonprofit Staff Pricing)</t>
  </si>
  <si>
    <t>Windows 10 IoT Enterprise LTSC 2021</t>
  </si>
  <si>
    <t>DG7GMGF0H3RD</t>
  </si>
  <si>
    <t>Dynamics 365 Business Central Essentials Attach for Faculty</t>
  </si>
  <si>
    <t>Dynamics 365 Business Central Essentials Attach for Students</t>
  </si>
  <si>
    <t>725ed3a3-7123-4574-bda7-df5e3f77a78b</t>
  </si>
  <si>
    <t>e8016eda-05b9-4513-b1d8-89c1efc429ca</t>
  </si>
  <si>
    <t>Dynamics 365 Customer Insights Attach for Students</t>
  </si>
  <si>
    <t>64a2dfa4-92e6-4d98-a3a6-fb91300cb094</t>
  </si>
  <si>
    <t>b402a7fe-5c98-47b9-a844-3e154bce6587</t>
  </si>
  <si>
    <t>Dynamics 365 Customer Insights Data T1 Unified People for Faculty</t>
  </si>
  <si>
    <t>Dynamics 365 Customer Insights Data T1 Unified People for Students</t>
  </si>
  <si>
    <t>Dynamics 365 Customer Insights Data T2 Unified People for Faculty</t>
  </si>
  <si>
    <t>Dynamics 365 Customer Insights Data T2 Unified People for Students</t>
  </si>
  <si>
    <t>Dynamics 365 Customer Insights Data T3 Unified People for Faculty</t>
  </si>
  <si>
    <t>Dynamics 365 Customer Insights Data T3 Unified People for Students</t>
  </si>
  <si>
    <t>Dynamics 365 Customer Insights for Students</t>
  </si>
  <si>
    <t>Dynamics 365 Customer Insights Journeys T1 Interacted People for Faculty</t>
  </si>
  <si>
    <t>Dynamics 365 Customer Insights Journeys T1 Interacted People for Students</t>
  </si>
  <si>
    <t>Dynamics 365 Customer Insights Journeys T2 Interacted People for Faculty</t>
  </si>
  <si>
    <t>Dynamics 365 Customer Insights Journeys T2 Interacted People for Students</t>
  </si>
  <si>
    <t>Dynamics 365 Customer Insights Journeys T3 Interacted People for Faculty</t>
  </si>
  <si>
    <t>Dynamics 365 Customer Insights Journeys T3 Interacted People for Students</t>
  </si>
  <si>
    <t>Dynamics 365 Customer Insights User License for Faculty</t>
  </si>
  <si>
    <t>Dynamics 365 Customer Insights User License for Students</t>
  </si>
  <si>
    <t>755617c1-e66a-4312-bcf7-c4306fb50519</t>
  </si>
  <si>
    <t>7e236ce7-efc1-41e2-9cdd-afef393d2e25</t>
  </si>
  <si>
    <t>9b9c861c-4dfd-4406-aace-1df321b61a96</t>
  </si>
  <si>
    <t>74240e01-bbb7-4bfe-bbc6-42868c799886</t>
  </si>
  <si>
    <t>5f6622a8-2343-479e-88a6-4293eb356009</t>
  </si>
  <si>
    <t>ae546a4b-7838-4881-8403-68a043f7ad10</t>
  </si>
  <si>
    <t>7654c062-600a-4b6a-941e-dbae467bd0cc</t>
  </si>
  <si>
    <t>d948e7a7-f945-4d9d-9d34-faa6267745e5</t>
  </si>
  <si>
    <t>78a8dbdc-53f9-4684-9a7e-574a1b5d8cfc</t>
  </si>
  <si>
    <t>87334a44-dbb4-4ff2-a49f-b7396d897ee4</t>
  </si>
  <si>
    <t>a56bdac4-942b-4865-b03b-4c1545150c1e</t>
  </si>
  <si>
    <t>ded629a0-beb4-47f5-8010-cdeb1c329924</t>
  </si>
  <si>
    <t>e2659811-0685-4268-bcc4-060b0e6fee8b</t>
  </si>
  <si>
    <t>5a8a6f07-abe5-4c95-b0a6-025205208be3</t>
  </si>
  <si>
    <t>f6cfa1f2-b707-47a9-ac69-34031aaf1693</t>
  </si>
  <si>
    <t>717cef77-f6b0-4154-944b-d4eae2918af9</t>
  </si>
  <si>
    <t>9f70f281-0f9b-497d-9407-ba1189ee250c</t>
  </si>
  <si>
    <t>Dynamics 365 Business Central Essentials Attach (Nonprofit Staff Pricing)</t>
  </si>
  <si>
    <t>Dynamics 365 Customer Insights Data T1 Unified People (Nonprofit Staff Pricing)</t>
  </si>
  <si>
    <t>Dynamics 365 Customer Insights Data T2 Unified People (Nonprofit Staff Pricing)</t>
  </si>
  <si>
    <t>Dynamics 365 Customer Insights Data T3 Unified People (Nonprofit Staff Pricing)</t>
  </si>
  <si>
    <t>Dynamics 365 Customer Insights Journeys T1 Interacted People (Nonprofit Staff Pricing)</t>
  </si>
  <si>
    <t>Dynamics 365 Customer Insights Journeys T2 Interacted People (Nonprofit Staff Pricing)</t>
  </si>
  <si>
    <t>Dynamics 365 Customer Insights Journeys T3 Interacted People (Nonprofit Staff Pricing)</t>
  </si>
  <si>
    <t>Dynamics 365 Customer Insights User License (Nonprofit Staff Pricing)</t>
  </si>
  <si>
    <t>3e61ce1e-55d4-4880-9d34-9c4a93cfd810</t>
  </si>
  <si>
    <t>bb495aeb-b567-4eee-baf6-de05638e3a00</t>
  </si>
  <si>
    <t>fcc6167d-2807-4555-bca3-a48fd00c3760</t>
  </si>
  <si>
    <t>920a01b4-f7d0-40bf-87eb-c4bd87bc040b</t>
  </si>
  <si>
    <t>ab265424-6f09-4a32-a84e-aa0325596391</t>
  </si>
  <si>
    <t>22084263-1b2e-4d51-854f-ed9e3f3f117c</t>
  </si>
  <si>
    <t>5102cade-b7a2-4751-8f3c-c7e2c3ffc2c4</t>
  </si>
  <si>
    <t>a68359c0-02b4-459b-9d2e-180bfd22149d</t>
  </si>
  <si>
    <t>254f3de3-7b8d-44f2-986a-fd1bf077322b</t>
  </si>
  <si>
    <t>DG7GMGF0HX95</t>
  </si>
  <si>
    <t>ESU for SQL 2012 EE 2 Core pack for 1st year EOS (July 2022-July 2023)</t>
  </si>
  <si>
    <t>ESU for SQL 2012 Std 2 Core pack for 1st year EOS (July 2022-July 2023)</t>
  </si>
  <si>
    <t>ESU for SQL 2012 Std 2 Core pack for 2nd year EOS (July 2023-July 2024)</t>
  </si>
  <si>
    <t>ESU for SQL 2012 EE 2 Core pack for 2nd year EOS (July 2023-July 2024)</t>
  </si>
  <si>
    <t>DG7GMGF0HPVW</t>
  </si>
  <si>
    <t>Win Server DC Core Ext Security 2012 2 Core Y1 (October 2023-2024)</t>
  </si>
  <si>
    <t>Win Server DC Core Ext Security 2012 8 Core Y1 (October 2023-2024)</t>
  </si>
  <si>
    <t>DG7GMGF0HPVV</t>
  </si>
  <si>
    <t>Win Server Std Core Ext Security 2012 8 Core Y1 (October 2023-2024)</t>
  </si>
  <si>
    <t>Win Server Std Core Ext Security 2012 2 Core Y1 (October 2023-2024)</t>
  </si>
  <si>
    <t>DG7GMGF0HV0S</t>
  </si>
  <si>
    <t>System Center 2022 Datacenter - 2 Core License Pack 1 Year</t>
  </si>
  <si>
    <t>System Center 2022 Datacenter - 2 core License Pack 3 Year</t>
  </si>
  <si>
    <t>DG7GMGF0HV0T</t>
  </si>
  <si>
    <t>System Center 2022 Standard - 2 Core License Pack 1 Year</t>
  </si>
  <si>
    <t>System Center 2022 Standard - 2 Core License Pack 3 Year</t>
  </si>
  <si>
    <t>Microsoft 365 Education 10 TB Additional Storage</t>
  </si>
  <si>
    <t>719d9e33-8fe8-467b-bfeb-5a91fd287c39</t>
  </si>
  <si>
    <t>Fundraising and Engagement</t>
  </si>
  <si>
    <t>608ff134-7f2d-4231-a772-11848c5bec0f</t>
  </si>
  <si>
    <t>AI Builder Capacity Add-on T1 (Nonprofit Staff Pricing)</t>
  </si>
  <si>
    <t>AI Builder Capacity Add-on T1 for Faculty</t>
  </si>
  <si>
    <t>Microsoft Sustainability Manager Essentials for Faculty</t>
  </si>
  <si>
    <t>Microsoft Sustainability Manager Essentials for Students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</si>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</sst>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R&quot;* #,##0.00_-;\-&quot;R&quot;* #,##0.00_-;_-&quot;R&quot;* &quot;-&quot;??_-;_-@_-"/>
    <numFmt numFmtId="164" formatCode="_(&quot;$&quot;* #,##0.00_);_(&quot;$&quot;* \(#,##0.00\);_(&quot;$&quot;* &quot;-&quot;??_);_(@_)"/>
    <numFmt numFmtId="165" formatCode="_ * #,##0.00_ ;_ * \-#,##0.00_ ;_ * &quot;-&quot;??_ ;_ @_ "/>
    <numFmt numFmtId="166" formatCode="&quot;R&quot;\ #,##0.00"/>
    <numFmt numFmtId="167" formatCode="_-[$$-409]* #,##0.00_ ;_-[$$-409]* \-#,##0.00\ ;_-[$$-409]* &quot;-&quot;??_ ;_-@_ "/>
    <numFmt numFmtId="168" formatCode="d"/>
  </numFmts>
  <fonts count="43">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rgb="FFFF0000"/>
      <name val="Calibri"/>
      <family val="2"/>
      <scheme val="minor"/>
    </font>
    <font>
      <sz val="11"/>
      <name val="Calibri"/>
      <family val="2"/>
      <scheme val="minor"/>
    </font>
    <font>
      <sz val="11"/>
      <color rgb="FF000000"/>
      <name val="Calibri"/>
      <family val="2"/>
      <scheme val="minor"/>
    </font>
    <font>
      <b/>
      <sz val="11"/>
      <name val="Calibri"/>
      <family val="2"/>
      <scheme val="minor"/>
    </font>
    <font>
      <u/>
      <sz val="11"/>
      <color theme="4" tint="-0.249977111117893"/>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1"/>
      <color rgb="FF9C6500"/>
      <name val="Calibri"/>
      <family val="2"/>
      <scheme val="minor"/>
    </font>
    <font>
      <sz val="11"/>
      <color theme="1"/>
      <name val="Calibri"/>
      <family val="2"/>
      <charset val="134"/>
      <scheme val="minor"/>
    </font>
    <font>
      <sz val="11"/>
      <color indexed="8"/>
      <name val="Calibri"/>
      <family val="2"/>
    </font>
    <font>
      <sz val="10"/>
      <name val="Arial"/>
      <family val="2"/>
    </font>
    <font>
      <sz val="11"/>
      <name val="Calibri"/>
      <family val="2"/>
    </font>
    <font>
      <b/>
      <sz val="18"/>
      <color theme="3"/>
      <name val="Calibri Light"/>
      <family val="2"/>
      <scheme val="major"/>
    </font>
    <font>
      <b/>
      <sz val="20"/>
      <name val="Calibri Light"/>
      <family val="2"/>
      <scheme val="major"/>
    </font>
    <font>
      <b/>
      <sz val="22"/>
      <color theme="4"/>
      <name val="Calibri Light"/>
      <family val="2"/>
      <scheme val="major"/>
    </font>
    <font>
      <sz val="11"/>
      <color theme="1"/>
      <name val="Calibri"/>
      <family val="2"/>
    </font>
    <font>
      <sz val="8"/>
      <name val="Calibri"/>
      <family val="2"/>
      <scheme val="minor"/>
    </font>
    <font>
      <sz val="11"/>
      <name val="Calibri"/>
      <family val="2"/>
    </font>
    <font>
      <sz val="11"/>
      <color theme="1"/>
      <name val="Calibri"/>
      <family val="2"/>
    </font>
    <font>
      <sz val="11"/>
      <name val="Calibri"/>
      <family val="2"/>
    </font>
    <font>
      <b/>
      <u/>
      <sz val="11"/>
      <name val="Calibri"/>
      <family val="2"/>
      <scheme val="minor"/>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s>
  <fills count="41">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
      <patternFill patternType="solid">
        <fgColor theme="3" tint="0.79998168889431442"/>
        <bgColor indexed="64"/>
      </patternFill>
    </fill>
    <fill>
      <patternFill patternType="solid">
        <fgColor theme="3" tint="0.79998168889431442"/>
        <bgColor theme="4" tint="0.79998168889431442"/>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6337778862885"/>
        <bgColor indexed="64"/>
      </patternFill>
    </fill>
    <fill>
      <patternFill patternType="solid">
        <fgColor theme="0" tint="-4.9989318521683403E-2"/>
        <bgColor indexed="64"/>
      </patternFill>
    </fill>
    <fill>
      <patternFill patternType="solid">
        <fgColor rgb="FF00B0F0"/>
        <bgColor indexed="64"/>
      </patternFill>
    </fill>
    <fill>
      <patternFill patternType="solid">
        <fgColor theme="4" tint="0.79998168889431442"/>
        <bgColor indexed="64"/>
      </patternFill>
    </fill>
  </fills>
  <borders count="17">
    <border>
      <left/>
      <right/>
      <top/>
      <bottom/>
      <diagonal/>
    </border>
    <border>
      <left/>
      <right/>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4" tint="0.39997558519241921"/>
      </top>
      <bottom/>
      <diagonal/>
    </border>
    <border>
      <left/>
      <right/>
      <top style="thin">
        <color theme="4"/>
      </top>
      <bottom/>
      <diagonal/>
    </border>
  </borders>
  <cellStyleXfs count="91">
    <xf numFmtId="0" fontId="0" fillId="0" borderId="0"/>
    <xf numFmtId="165" fontId="1" fillId="0" borderId="0" applyFont="0" applyFill="0" applyBorder="0" applyAlignment="0" applyProtection="0"/>
    <xf numFmtId="0" fontId="3" fillId="0" borderId="0" applyNumberFormat="0" applyFill="0" applyBorder="0" applyAlignment="0" applyProtection="0"/>
    <xf numFmtId="0" fontId="9" fillId="0" borderId="0" applyNumberFormat="0" applyFill="0" applyBorder="0" applyAlignment="0" applyProtection="0"/>
    <xf numFmtId="0" fontId="10" fillId="0" borderId="4" applyNumberFormat="0" applyFill="0" applyAlignment="0" applyProtection="0"/>
    <xf numFmtId="0" fontId="11" fillId="0" borderId="5" applyNumberFormat="0" applyFill="0" applyAlignment="0" applyProtection="0"/>
    <xf numFmtId="0" fontId="12" fillId="0" borderId="6" applyNumberFormat="0" applyFill="0" applyAlignment="0" applyProtection="0"/>
    <xf numFmtId="0" fontId="12" fillId="0" borderId="0" applyNumberFormat="0" applyFill="0" applyBorder="0" applyAlignment="0" applyProtection="0"/>
    <xf numFmtId="0" fontId="13" fillId="6" borderId="0" applyNumberFormat="0" applyBorder="0" applyAlignment="0" applyProtection="0"/>
    <xf numFmtId="0" fontId="14" fillId="7" borderId="0" applyNumberFormat="0" applyBorder="0" applyAlignment="0" applyProtection="0"/>
    <xf numFmtId="0" fontId="16" fillId="9" borderId="7" applyNumberFormat="0" applyAlignment="0" applyProtection="0"/>
    <xf numFmtId="0" fontId="17" fillId="10" borderId="8" applyNumberFormat="0" applyAlignment="0" applyProtection="0"/>
    <xf numFmtId="0" fontId="18" fillId="10" borderId="7" applyNumberFormat="0" applyAlignment="0" applyProtection="0"/>
    <xf numFmtId="0" fontId="19" fillId="0" borderId="9" applyNumberFormat="0" applyFill="0" applyAlignment="0" applyProtection="0"/>
    <xf numFmtId="0" fontId="20" fillId="11" borderId="10" applyNumberFormat="0" applyAlignment="0" applyProtection="0"/>
    <xf numFmtId="0" fontId="4" fillId="0" borderId="0" applyNumberFormat="0" applyFill="0" applyBorder="0" applyAlignment="0" applyProtection="0"/>
    <xf numFmtId="0" fontId="1" fillId="12" borderId="11" applyNumberFormat="0" applyFont="0" applyAlignment="0" applyProtection="0"/>
    <xf numFmtId="0" fontId="21" fillId="0" borderId="0" applyNumberFormat="0" applyFill="0" applyBorder="0" applyAlignment="0" applyProtection="0"/>
    <xf numFmtId="0" fontId="2" fillId="0" borderId="12" applyNumberFormat="0" applyFill="0" applyAlignment="0" applyProtection="0"/>
    <xf numFmtId="0" fontId="22"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2"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2"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2"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2"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2"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23" fillId="8" borderId="0" applyNumberFormat="0" applyBorder="0" applyAlignment="0" applyProtection="0"/>
    <xf numFmtId="0" fontId="22" fillId="16" borderId="0" applyNumberFormat="0" applyBorder="0" applyAlignment="0" applyProtection="0"/>
    <xf numFmtId="0" fontId="22" fillId="20" borderId="0" applyNumberFormat="0" applyBorder="0" applyAlignment="0" applyProtection="0"/>
    <xf numFmtId="0" fontId="22" fillId="24" borderId="0" applyNumberFormat="0" applyBorder="0" applyAlignment="0" applyProtection="0"/>
    <xf numFmtId="0" fontId="22" fillId="28" borderId="0" applyNumberFormat="0" applyBorder="0" applyAlignment="0" applyProtection="0"/>
    <xf numFmtId="0" fontId="22" fillId="32" borderId="0" applyNumberFormat="0" applyBorder="0" applyAlignment="0" applyProtection="0"/>
    <xf numFmtId="0" fontId="22" fillId="36" borderId="0" applyNumberFormat="0" applyBorder="0" applyAlignment="0" applyProtection="0"/>
    <xf numFmtId="0" fontId="24" fillId="0" borderId="0">
      <alignment vertical="center"/>
    </xf>
    <xf numFmtId="0" fontId="25" fillId="0" borderId="0"/>
    <xf numFmtId="0" fontId="27" fillId="0" borderId="0"/>
    <xf numFmtId="0" fontId="1" fillId="0" borderId="0"/>
    <xf numFmtId="0" fontId="27" fillId="0" borderId="0"/>
    <xf numFmtId="0" fontId="15" fillId="8"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0" fontId="26" fillId="0" borderId="0"/>
    <xf numFmtId="0" fontId="28" fillId="0" borderId="0" applyNumberFormat="0" applyFill="0" applyBorder="0" applyAlignment="0" applyProtection="0"/>
    <xf numFmtId="0" fontId="23" fillId="8" borderId="0" applyNumberFormat="0" applyBorder="0" applyAlignment="0" applyProtection="0"/>
    <xf numFmtId="0" fontId="22" fillId="16" borderId="0" applyNumberFormat="0" applyBorder="0" applyAlignment="0" applyProtection="0"/>
    <xf numFmtId="0" fontId="22" fillId="20" borderId="0" applyNumberFormat="0" applyBorder="0" applyAlignment="0" applyProtection="0"/>
    <xf numFmtId="0" fontId="22" fillId="24" borderId="0" applyNumberFormat="0" applyBorder="0" applyAlignment="0" applyProtection="0"/>
    <xf numFmtId="0" fontId="22" fillId="28" borderId="0" applyNumberFormat="0" applyBorder="0" applyAlignment="0" applyProtection="0"/>
    <xf numFmtId="0" fontId="22" fillId="32" borderId="0" applyNumberFormat="0" applyBorder="0" applyAlignment="0" applyProtection="0"/>
    <xf numFmtId="0" fontId="22" fillId="36" borderId="0" applyNumberFormat="0" applyBorder="0" applyAlignment="0" applyProtection="0"/>
    <xf numFmtId="0" fontId="26" fillId="0" borderId="0"/>
    <xf numFmtId="0" fontId="26" fillId="0" borderId="0"/>
    <xf numFmtId="0" fontId="28" fillId="0" borderId="0" applyNumberFormat="0" applyFill="0" applyBorder="0" applyAlignment="0" applyProtection="0"/>
    <xf numFmtId="0" fontId="9" fillId="0" borderId="0" applyNumberFormat="0" applyFill="0" applyBorder="0" applyAlignment="0" applyProtection="0"/>
    <xf numFmtId="0" fontId="1" fillId="0" borderId="0"/>
    <xf numFmtId="0" fontId="3" fillId="0" borderId="0" applyNumberFormat="0" applyFill="0" applyBorder="0" applyAlignment="0" applyProtection="0"/>
    <xf numFmtId="164" fontId="1" fillId="0" borderId="0" applyFont="0" applyFill="0" applyBorder="0" applyAlignment="0" applyProtection="0"/>
    <xf numFmtId="0" fontId="5" fillId="0" borderId="0" applyFont="0" applyFill="0" applyBorder="0">
      <alignment horizontal="center"/>
    </xf>
    <xf numFmtId="168" fontId="5" fillId="0" borderId="0" applyFont="0" applyFill="0" applyBorder="0">
      <alignment horizontal="right"/>
    </xf>
    <xf numFmtId="1" fontId="29" fillId="0" borderId="0">
      <alignment horizontal="center" vertical="center"/>
    </xf>
    <xf numFmtId="0" fontId="5" fillId="0" borderId="0"/>
    <xf numFmtId="0" fontId="7" fillId="37" borderId="13">
      <alignment horizontal="center" vertical="center"/>
    </xf>
    <xf numFmtId="0" fontId="30" fillId="38" borderId="0" applyNumberFormat="0" applyBorder="0" applyAlignment="0" applyProtection="0"/>
    <xf numFmtId="0" fontId="26" fillId="0" borderId="0"/>
    <xf numFmtId="0" fontId="23" fillId="8" borderId="0" applyNumberFormat="0" applyBorder="0" applyAlignment="0" applyProtection="0"/>
    <xf numFmtId="0" fontId="22" fillId="16" borderId="0" applyNumberFormat="0" applyBorder="0" applyAlignment="0" applyProtection="0"/>
    <xf numFmtId="0" fontId="22" fillId="20" borderId="0" applyNumberFormat="0" applyBorder="0" applyAlignment="0" applyProtection="0"/>
    <xf numFmtId="0" fontId="22" fillId="24" borderId="0" applyNumberFormat="0" applyBorder="0" applyAlignment="0" applyProtection="0"/>
    <xf numFmtId="0" fontId="22" fillId="28" borderId="0" applyNumberFormat="0" applyBorder="0" applyAlignment="0" applyProtection="0"/>
    <xf numFmtId="0" fontId="22" fillId="32" borderId="0" applyNumberFormat="0" applyBorder="0" applyAlignment="0" applyProtection="0"/>
    <xf numFmtId="0" fontId="22" fillId="36" borderId="0" applyNumberFormat="0" applyBorder="0" applyAlignment="0" applyProtection="0"/>
    <xf numFmtId="0" fontId="1" fillId="0" borderId="0"/>
    <xf numFmtId="0" fontId="27" fillId="0" borderId="0"/>
    <xf numFmtId="164" fontId="1" fillId="0" borderId="0" applyFont="0" applyFill="0" applyBorder="0" applyAlignment="0" applyProtection="0"/>
    <xf numFmtId="0" fontId="33" fillId="0" borderId="0"/>
    <xf numFmtId="0" fontId="35" fillId="0" borderId="0"/>
  </cellStyleXfs>
  <cellXfs count="69">
    <xf numFmtId="0" fontId="0" fillId="0" borderId="0" xfId="0"/>
    <xf numFmtId="0" fontId="2" fillId="2" borderId="1" xfId="0" applyFont="1" applyFill="1" applyBorder="1"/>
    <xf numFmtId="0" fontId="2" fillId="2" borderId="0" xfId="0" applyFont="1" applyFill="1"/>
    <xf numFmtId="0" fontId="2" fillId="0" borderId="0" xfId="0" applyFont="1"/>
    <xf numFmtId="0" fontId="3" fillId="0" borderId="0" xfId="2"/>
    <xf numFmtId="0" fontId="0" fillId="0" borderId="0" xfId="0" applyAlignment="1">
      <alignment vertical="center"/>
    </xf>
    <xf numFmtId="0" fontId="0" fillId="0" borderId="0" xfId="0" applyAlignment="1">
      <alignment vertical="center" wrapText="1"/>
    </xf>
    <xf numFmtId="0" fontId="4" fillId="0" borderId="0" xfId="0" applyFont="1" applyAlignment="1">
      <alignment horizontal="left" vertical="top" wrapText="1"/>
    </xf>
    <xf numFmtId="166" fontId="0" fillId="0" borderId="0" xfId="1" applyNumberFormat="1" applyFont="1"/>
    <xf numFmtId="0" fontId="5" fillId="0" borderId="0" xfId="0" applyFont="1" applyAlignment="1">
      <alignment horizontal="left" vertical="top" wrapText="1"/>
    </xf>
    <xf numFmtId="0" fontId="5" fillId="0" borderId="0" xfId="0" applyFont="1"/>
    <xf numFmtId="0" fontId="0" fillId="3" borderId="0" xfId="0" applyFill="1"/>
    <xf numFmtId="0" fontId="7" fillId="0" borderId="0" xfId="0" applyFont="1"/>
    <xf numFmtId="167" fontId="0" fillId="0" borderId="0" xfId="0" applyNumberFormat="1"/>
    <xf numFmtId="0" fontId="8" fillId="0" borderId="0" xfId="0" applyFont="1"/>
    <xf numFmtId="167" fontId="6" fillId="0" borderId="0" xfId="0" applyNumberFormat="1" applyFont="1" applyAlignment="1">
      <alignment horizontal="right" vertical="center"/>
    </xf>
    <xf numFmtId="167" fontId="2" fillId="2" borderId="0" xfId="0" applyNumberFormat="1" applyFont="1" applyFill="1"/>
    <xf numFmtId="0" fontId="2" fillId="4" borderId="0" xfId="0" applyFont="1" applyFill="1"/>
    <xf numFmtId="167" fontId="2" fillId="0" borderId="0" xfId="0" applyNumberFormat="1" applyFont="1"/>
    <xf numFmtId="0" fontId="5" fillId="0" borderId="0" xfId="2" applyFont="1"/>
    <xf numFmtId="0" fontId="2" fillId="4" borderId="3" xfId="0" applyFont="1" applyFill="1" applyBorder="1" applyProtection="1">
      <protection hidden="1"/>
    </xf>
    <xf numFmtId="0" fontId="0" fillId="0" borderId="0" xfId="0" applyProtection="1">
      <protection hidden="1"/>
    </xf>
    <xf numFmtId="0" fontId="2" fillId="0" borderId="0" xfId="0" applyFont="1" applyProtection="1">
      <protection hidden="1"/>
    </xf>
    <xf numFmtId="0" fontId="2" fillId="2" borderId="0" xfId="0" applyFont="1" applyFill="1" applyProtection="1">
      <protection hidden="1"/>
    </xf>
    <xf numFmtId="0" fontId="2" fillId="4" borderId="0" xfId="0" applyFont="1" applyFill="1" applyProtection="1">
      <protection hidden="1"/>
    </xf>
    <xf numFmtId="0" fontId="5" fillId="0" borderId="0" xfId="2" applyFont="1" applyProtection="1">
      <protection hidden="1"/>
    </xf>
    <xf numFmtId="0" fontId="3" fillId="0" borderId="0" xfId="2" applyProtection="1">
      <protection hidden="1"/>
    </xf>
    <xf numFmtId="0" fontId="3" fillId="0" borderId="0" xfId="2" applyFill="1"/>
    <xf numFmtId="167" fontId="0" fillId="0" borderId="14" xfId="0" applyNumberFormat="1" applyBorder="1"/>
    <xf numFmtId="0" fontId="0" fillId="39" borderId="0" xfId="0" applyFill="1"/>
    <xf numFmtId="0" fontId="0" fillId="39" borderId="0" xfId="0" applyFill="1" applyProtection="1">
      <protection hidden="1"/>
    </xf>
    <xf numFmtId="164" fontId="0" fillId="0" borderId="0" xfId="88" applyFont="1"/>
    <xf numFmtId="0" fontId="31" fillId="0" borderId="0" xfId="0" applyFont="1"/>
    <xf numFmtId="0" fontId="5" fillId="0" borderId="0" xfId="2" applyFont="1" applyFill="1" applyProtection="1">
      <protection hidden="1"/>
    </xf>
    <xf numFmtId="0" fontId="7" fillId="4" borderId="2" xfId="0" applyFont="1" applyFill="1" applyBorder="1"/>
    <xf numFmtId="0" fontId="5" fillId="0" borderId="0" xfId="2" applyFont="1" applyFill="1"/>
    <xf numFmtId="0" fontId="34" fillId="0" borderId="0" xfId="0" applyFont="1"/>
    <xf numFmtId="164" fontId="2" fillId="4" borderId="0" xfId="88" applyFont="1" applyFill="1"/>
    <xf numFmtId="167" fontId="36" fillId="5" borderId="3" xfId="2" applyNumberFormat="1" applyFont="1" applyFill="1" applyBorder="1"/>
    <xf numFmtId="0" fontId="36" fillId="5" borderId="3" xfId="2" applyFont="1" applyFill="1" applyBorder="1"/>
    <xf numFmtId="167" fontId="0" fillId="4" borderId="0" xfId="0" applyNumberFormat="1" applyFill="1"/>
    <xf numFmtId="164" fontId="0" fillId="2" borderId="0" xfId="88" applyFont="1" applyFill="1"/>
    <xf numFmtId="164" fontId="0" fillId="4" borderId="0" xfId="88" applyFont="1" applyFill="1"/>
    <xf numFmtId="0" fontId="2" fillId="40" borderId="0" xfId="0" applyFont="1" applyFill="1"/>
    <xf numFmtId="167" fontId="36" fillId="2" borderId="3" xfId="2" applyNumberFormat="1" applyFont="1" applyFill="1" applyBorder="1"/>
    <xf numFmtId="0" fontId="36" fillId="2" borderId="3" xfId="2" applyFont="1" applyFill="1" applyBorder="1"/>
    <xf numFmtId="0" fontId="2" fillId="40" borderId="3" xfId="0" applyFont="1" applyFill="1" applyBorder="1"/>
    <xf numFmtId="0" fontId="7" fillId="2" borderId="3" xfId="0" applyFont="1" applyFill="1" applyBorder="1" applyProtection="1">
      <protection hidden="1"/>
    </xf>
    <xf numFmtId="0" fontId="7" fillId="2" borderId="3" xfId="0" applyFont="1" applyFill="1" applyBorder="1"/>
    <xf numFmtId="167" fontId="7" fillId="2" borderId="3" xfId="0" applyNumberFormat="1" applyFont="1" applyFill="1" applyBorder="1"/>
    <xf numFmtId="0" fontId="37" fillId="0" borderId="0" xfId="0" applyFont="1"/>
    <xf numFmtId="0" fontId="38" fillId="0" borderId="0" xfId="0" applyFont="1"/>
    <xf numFmtId="164" fontId="0" fillId="0" borderId="0" xfId="88" applyFont="1" applyFill="1"/>
    <xf numFmtId="0" fontId="39" fillId="0" borderId="0" xfId="0" applyFont="1"/>
    <xf numFmtId="44" fontId="38" fillId="0" borderId="0" xfId="88" applyNumberFormat="1" applyFont="1" applyFill="1" applyBorder="1"/>
    <xf numFmtId="0" fontId="40" fillId="0" borderId="0" xfId="0" applyFont="1"/>
    <xf numFmtId="0" fontId="41" fillId="0" borderId="0" xfId="0" applyFont="1"/>
    <xf numFmtId="167" fontId="2" fillId="40" borderId="15" xfId="0" applyNumberFormat="1" applyFont="1" applyFill="1" applyBorder="1" applyAlignment="1">
      <alignment horizontal="left"/>
    </xf>
    <xf numFmtId="167" fontId="2" fillId="40" borderId="3" xfId="0" applyNumberFormat="1" applyFont="1" applyFill="1" applyBorder="1" applyAlignment="1">
      <alignment horizontal="left"/>
    </xf>
    <xf numFmtId="167" fontId="2" fillId="0" borderId="15" xfId="0" applyNumberFormat="1" applyFont="1" applyBorder="1" applyAlignment="1">
      <alignment horizontal="left"/>
    </xf>
    <xf numFmtId="0" fontId="0" fillId="0" borderId="16" xfId="0" applyBorder="1"/>
    <xf numFmtId="167" fontId="0" fillId="0" borderId="0" xfId="0" applyNumberFormat="1" applyAlignment="1">
      <alignment horizontal="left"/>
    </xf>
    <xf numFmtId="167" fontId="42" fillId="0" borderId="0" xfId="0" applyNumberFormat="1" applyFont="1"/>
    <xf numFmtId="167" fontId="0" fillId="0" borderId="0" xfId="88" applyNumberFormat="1" applyFont="1" applyFill="1"/>
    <xf numFmtId="167" fontId="0" fillId="0" borderId="0" xfId="88" applyNumberFormat="1" applyFont="1"/>
    <xf numFmtId="0" fontId="0" fillId="0" borderId="0" xfId="0" applyAlignment="1">
      <alignment horizontal="left"/>
    </xf>
    <xf numFmtId="164" fontId="0" fillId="0" borderId="0" xfId="88" applyFont="1" applyAlignment="1">
      <alignment horizontal="left"/>
    </xf>
    <xf numFmtId="164" fontId="0" fillId="0" borderId="0" xfId="88" applyFont="1" applyFill="1" applyAlignment="1">
      <alignment horizontal="left"/>
    </xf>
    <xf numFmtId="167" fontId="2" fillId="40" borderId="3" xfId="0" applyNumberFormat="1" applyFont="1" applyFill="1" applyBorder="1"/>
  </cellXfs>
  <cellStyles count="91">
    <cellStyle name="20% - Accent1" xfId="20" builtinId="30" customBuiltin="1"/>
    <cellStyle name="20% - Accent2" xfId="23" builtinId="34" customBuiltin="1"/>
    <cellStyle name="20% - Accent3" xfId="26" builtinId="38" customBuiltin="1"/>
    <cellStyle name="20% - Accent4" xfId="29" builtinId="42" customBuiltin="1"/>
    <cellStyle name="20% - Accent5" xfId="32" builtinId="46" customBuiltin="1"/>
    <cellStyle name="20% - Accent6" xfId="35" builtinId="50" customBuiltin="1"/>
    <cellStyle name="40% - Accent1" xfId="21" builtinId="31" customBuiltin="1"/>
    <cellStyle name="40% - Accent2" xfId="24" builtinId="35" customBuiltin="1"/>
    <cellStyle name="40% - Accent3" xfId="27" builtinId="39" customBuiltin="1"/>
    <cellStyle name="40% - Accent4" xfId="30" builtinId="43" customBuiltin="1"/>
    <cellStyle name="40% - Accent5" xfId="33" builtinId="47" customBuiltin="1"/>
    <cellStyle name="40% - Accent6" xfId="36" builtinId="51" customBuiltin="1"/>
    <cellStyle name="60% - Accent1 2" xfId="50" xr:uid="{8FA3DE45-FFAF-4B3A-B965-7CDCD7710B7B}"/>
    <cellStyle name="60% - Accent1 2 2" xfId="59" xr:uid="{3D3A0AFC-9B60-4CA7-8A13-C52FE03BFDAB}"/>
    <cellStyle name="60% - Accent1 3" xfId="80" xr:uid="{8DFE803A-E272-4854-B25D-B8CE95D2F940}"/>
    <cellStyle name="60% - Accent1 4" xfId="38" xr:uid="{B6E27A6B-AF4C-48DD-96DB-D4F2ABC98879}"/>
    <cellStyle name="60% - Accent2 2" xfId="51" xr:uid="{989C11AA-74C6-42DA-9196-4292D89AF1D3}"/>
    <cellStyle name="60% - Accent2 2 2" xfId="60" xr:uid="{4BA67ADD-7E6F-4C2B-926D-42D5EE54BCFB}"/>
    <cellStyle name="60% - Accent2 3" xfId="81" xr:uid="{3463A1B8-0841-4CF4-B39A-A6E14EA69618}"/>
    <cellStyle name="60% - Accent2 4" xfId="39" xr:uid="{C6B6FF74-42C1-4E09-AAD6-526D3B6164B4}"/>
    <cellStyle name="60% - Accent3 2" xfId="52" xr:uid="{D8830279-25C0-4580-9ACE-E4EB85A2F967}"/>
    <cellStyle name="60% - Accent3 2 2" xfId="61" xr:uid="{CFCA6E85-65A9-40DB-B557-3856E1FD93CD}"/>
    <cellStyle name="60% - Accent3 3" xfId="82" xr:uid="{26B8ABCB-664F-4F4B-9565-C8298D39D25B}"/>
    <cellStyle name="60% - Accent3 4" xfId="40" xr:uid="{ABE96AB8-58FB-4C1A-ABC0-84E71F3CAC3B}"/>
    <cellStyle name="60% - Accent4 2" xfId="53" xr:uid="{92118386-68E1-4332-A23D-F9829C36A2E7}"/>
    <cellStyle name="60% - Accent4 2 2" xfId="62" xr:uid="{46EB6959-65AB-49C4-BDA7-FC734A741B99}"/>
    <cellStyle name="60% - Accent4 3" xfId="83" xr:uid="{47BF901F-F619-4301-B6DE-4A63FF9C1D7B}"/>
    <cellStyle name="60% - Accent4 4" xfId="41" xr:uid="{C3F992B7-0565-4B26-93C5-8AB18A5330BB}"/>
    <cellStyle name="60% - Accent5 2" xfId="54" xr:uid="{6D328020-4252-48CA-B8AE-C3E4E044ACE5}"/>
    <cellStyle name="60% - Accent5 2 2" xfId="63" xr:uid="{83E614B9-37F1-4363-AE51-E5BC61B2826A}"/>
    <cellStyle name="60% - Accent5 3" xfId="84" xr:uid="{50AAFA88-8375-471F-9834-8299F8033647}"/>
    <cellStyle name="60% - Accent5 4" xfId="42" xr:uid="{61102170-872A-47A7-9190-94BEC9EAB12E}"/>
    <cellStyle name="60% - Accent6 2" xfId="55" xr:uid="{4DCF0852-883E-4B7D-ABEC-7F05178239B0}"/>
    <cellStyle name="60% - Accent6 2 2" xfId="64" xr:uid="{4AB95951-AA8F-451F-816D-032D373D33BE}"/>
    <cellStyle name="60% - Accent6 3" xfId="85" xr:uid="{90819849-8A48-46A5-8E99-42035D2AFF31}"/>
    <cellStyle name="60% - Accent6 4" xfId="43" xr:uid="{9753686C-EF1C-4B89-813E-9D9218C681CA}"/>
    <cellStyle name="Accent1" xfId="19" builtinId="29" customBuiltin="1"/>
    <cellStyle name="Accent2" xfId="22" builtinId="33" customBuiltin="1"/>
    <cellStyle name="Accent3" xfId="25" builtinId="37" customBuiltin="1"/>
    <cellStyle name="Accent4" xfId="28" builtinId="41" customBuiltin="1"/>
    <cellStyle name="Accent5" xfId="31" builtinId="45" customBuiltin="1"/>
    <cellStyle name="Accent6" xfId="34" builtinId="49" customBuiltin="1"/>
    <cellStyle name="Bad" xfId="9" builtinId="27" customBuiltin="1"/>
    <cellStyle name="Calculation" xfId="12" builtinId="22" customBuiltin="1"/>
    <cellStyle name="Check Cell" xfId="14" builtinId="23" customBuiltin="1"/>
    <cellStyle name="Comma" xfId="1" builtinId="3"/>
    <cellStyle name="Currency" xfId="88" builtinId="4"/>
    <cellStyle name="Currency 2" xfId="71" xr:uid="{5967A1E9-BE05-4BBB-A37A-86701B4C1647}"/>
    <cellStyle name="Day" xfId="73" xr:uid="{7C2F4A79-001F-4995-AE6A-E6167402B090}"/>
    <cellStyle name="Explanatory Text" xfId="17" builtinId="53" customBuiltin="1"/>
    <cellStyle name="Good" xfId="8" builtinId="26" customBuiltin="1"/>
    <cellStyle name="Heading 1" xfId="4" builtinId="16" customBuiltin="1"/>
    <cellStyle name="Heading 1 2" xfId="76" xr:uid="{0ABABD35-6A65-4FBF-99D8-985AEC4E2345}"/>
    <cellStyle name="Heading 2" xfId="5" builtinId="17" customBuiltin="1"/>
    <cellStyle name="Heading 3" xfId="6" builtinId="18" customBuiltin="1"/>
    <cellStyle name="Heading 4" xfId="7" builtinId="19" customBuiltin="1"/>
    <cellStyle name="Hyperlink" xfId="2" builtinId="8"/>
    <cellStyle name="Hyperlink 2" xfId="70" xr:uid="{F6A532A2-62E0-4B1A-928B-78CD2B27F310}"/>
    <cellStyle name="Input" xfId="10" builtinId="20" customBuiltin="1"/>
    <cellStyle name="Linked Cell" xfId="13" builtinId="24" customBuiltin="1"/>
    <cellStyle name="Neutral 2" xfId="49" xr:uid="{799AA7FB-9239-4764-8076-E90EEE3BF167}"/>
    <cellStyle name="Neutral 2 2" xfId="58" xr:uid="{9A36A115-D499-4516-B0C1-CA773C8876B7}"/>
    <cellStyle name="Neutral 3" xfId="79" xr:uid="{987EEC5A-49AD-47A8-BA61-0E552E4A08B3}"/>
    <cellStyle name="Neutral 4" xfId="37" xr:uid="{379DD82E-64AB-482F-AD5D-7ADB97256E67}"/>
    <cellStyle name="Normal" xfId="0" builtinId="0"/>
    <cellStyle name="Normal 10" xfId="44" xr:uid="{D438E6D6-79A2-4774-A2D4-9A039C4FCFFC}"/>
    <cellStyle name="Normal 2" xfId="48" xr:uid="{09618513-F9E2-48D1-95C4-A14A09EF122F}"/>
    <cellStyle name="Normal 2 2" xfId="56" xr:uid="{D231D057-EA0B-4810-9317-CB2262976DC2}"/>
    <cellStyle name="Normal 2 2 2" xfId="69" xr:uid="{9E790C2B-0BC5-4FC2-8C96-DF23C4F8C9DF}"/>
    <cellStyle name="Normal 2 2 3" xfId="78" xr:uid="{3497031C-5C76-4151-B937-00FED5E1C4C7}"/>
    <cellStyle name="Normal 2 3" xfId="65" xr:uid="{0326ABAB-A85A-482E-AD74-502B7162EE00}"/>
    <cellStyle name="Normal 2 3 2" xfId="87" xr:uid="{9854C05B-4BC9-4B53-AE10-ED46CC70FE11}"/>
    <cellStyle name="Normal 2 4" xfId="75" xr:uid="{E8AC2DD3-018A-4919-8A33-5D52377664CD}"/>
    <cellStyle name="Normal 3" xfId="47" xr:uid="{ED520886-746C-4218-81B8-DAA9CB684649}"/>
    <cellStyle name="Normal 3 2" xfId="66" xr:uid="{16CECF9D-DECF-45CB-B93C-DACAED84C07C}"/>
    <cellStyle name="Normal 3 2 2" xfId="86" xr:uid="{5AF19496-3E9A-4E0F-AA14-5A04F6E686CC}"/>
    <cellStyle name="Normal 4" xfId="45" xr:uid="{9D73B78E-F313-4775-9DF4-B2F3090AB5B1}"/>
    <cellStyle name="Normal 5" xfId="46" xr:uid="{7A7DCF67-0E92-44C1-833A-F4306B348B6C}"/>
    <cellStyle name="Normal 6" xfId="89" xr:uid="{23774DDC-7801-4C69-B8A1-E7754ED4AF5E}"/>
    <cellStyle name="Normal 7" xfId="90" xr:uid="{5FFFBAB0-E564-40BD-B48A-CBECC38C9A1D}"/>
    <cellStyle name="Note" xfId="16" builtinId="10" customBuiltin="1"/>
    <cellStyle name="Output" xfId="11" builtinId="21" customBuiltin="1"/>
    <cellStyle name="Title" xfId="3" builtinId="15" customBuiltin="1"/>
    <cellStyle name="Title 2" xfId="67" xr:uid="{DA35C388-F11D-40EF-96C8-BE028E8D6ED0}"/>
    <cellStyle name="Title 2 2" xfId="74" xr:uid="{3CB763BF-94F0-44B6-B5F0-6F1191500F98}"/>
    <cellStyle name="Title 3" xfId="68" xr:uid="{0EDA9728-5578-448A-8023-FDB7F21A2B65}"/>
    <cellStyle name="Title 3 2" xfId="77" xr:uid="{B261A9DC-96DD-4713-B7E4-C5E63F8F5F2E}"/>
    <cellStyle name="Title 4" xfId="57" xr:uid="{578FAB84-00BA-42F4-B5C3-4F2D354F2F2F}"/>
    <cellStyle name="Total" xfId="18" builtinId="25" customBuiltin="1"/>
    <cellStyle name="Warning Text" xfId="15" builtinId="11" customBuiltin="1"/>
    <cellStyle name="WeekDay" xfId="72" xr:uid="{671C911D-3BCF-4ACD-87CF-CA57C2682C81}"/>
  </cellStyles>
  <dxfs count="3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D8E4BC"/>
          <bgColor rgb="FFD8E4BC"/>
        </patternFill>
      </fill>
    </dxf>
    <dxf>
      <fill>
        <patternFill patternType="solid">
          <fgColor rgb="FFD8E4BC"/>
          <bgColor rgb="FFD8E4BC"/>
        </patternFill>
      </fill>
    </dxf>
    <dxf>
      <font>
        <b/>
        <color rgb="FFFFFFFF"/>
      </font>
      <fill>
        <patternFill patternType="solid">
          <fgColor rgb="FF9BBB59"/>
          <bgColor rgb="FF9BBB59"/>
        </patternFill>
      </fill>
    </dxf>
    <dxf>
      <font>
        <b/>
        <color rgb="FFFFFFFF"/>
      </font>
      <fill>
        <patternFill patternType="solid">
          <fgColor rgb="FF9BBB59"/>
          <bgColor rgb="FF9BBB59"/>
        </patternFill>
      </fill>
    </dxf>
    <dxf>
      <font>
        <b/>
        <color rgb="FFFFFFFF"/>
      </font>
      <fill>
        <patternFill patternType="solid">
          <fgColor rgb="FF9BBB59"/>
          <bgColor rgb="FF9BBB59"/>
        </patternFill>
      </fill>
      <border>
        <top style="thick">
          <color rgb="FFFFFFFF"/>
        </top>
      </border>
    </dxf>
    <dxf>
      <font>
        <b/>
        <color rgb="FFFFFFFF"/>
      </font>
      <fill>
        <patternFill patternType="solid">
          <fgColor rgb="FF9BBB59"/>
          <bgColor rgb="FF9BBB59"/>
        </patternFill>
      </fill>
      <border>
        <bottom style="thick">
          <color rgb="FFFFFFFF"/>
        </bottom>
      </border>
    </dxf>
    <dxf>
      <font>
        <color rgb="FF000000"/>
      </font>
      <fill>
        <patternFill patternType="solid">
          <fgColor rgb="FFEBF1DE"/>
          <bgColor rgb="FFEBF1DE"/>
        </patternFill>
      </fill>
      <border>
        <vertical style="thin">
          <color rgb="FFFFFFFF"/>
        </vertical>
        <horizontal style="thin">
          <color rgb="FFFFFFFF"/>
        </horizontal>
      </border>
    </dxf>
    <dxf>
      <fill>
        <patternFill patternType="solid">
          <fgColor theme="0" tint="-0.14999847407452621"/>
          <bgColor theme="0" tint="-0.14999847407452621"/>
        </patternFill>
      </fill>
    </dxf>
    <dxf>
      <fill>
        <patternFill patternType="solid">
          <fgColor theme="0" tint="-0.14996795556505021"/>
          <bgColor theme="0"/>
        </patternFill>
      </fill>
      <border>
        <horizontal style="medium">
          <color theme="0"/>
        </horizontal>
      </border>
    </dxf>
    <dxf>
      <font>
        <b/>
        <color theme="1"/>
      </font>
    </dxf>
    <dxf>
      <font>
        <b/>
        <color theme="1"/>
      </font>
    </dxf>
    <dxf>
      <font>
        <b/>
        <color theme="1"/>
      </font>
      <fill>
        <patternFill>
          <bgColor theme="0" tint="-4.9989318521683403E-2"/>
        </patternFill>
      </fill>
      <border>
        <top style="medium">
          <color theme="0"/>
        </top>
      </border>
    </dxf>
    <dxf>
      <font>
        <b/>
        <i val="0"/>
        <color theme="1"/>
      </font>
      <fill>
        <patternFill>
          <bgColor theme="5"/>
        </patternFill>
      </fill>
      <border>
        <bottom/>
      </border>
    </dxf>
    <dxf>
      <font>
        <color theme="1"/>
      </font>
      <border diagonalUp="0" diagonalDown="0">
        <left/>
        <right/>
        <top/>
        <bottom/>
        <vertical/>
        <horizontal/>
      </border>
    </dxf>
    <dxf>
      <fill>
        <patternFill patternType="solid">
          <fgColor theme="0" tint="-0.14999847407452621"/>
          <bgColor theme="0" tint="-0.14999847407452621"/>
        </patternFill>
      </fill>
    </dxf>
    <dxf>
      <fill>
        <patternFill patternType="solid">
          <fgColor theme="0" tint="-0.14996795556505021"/>
          <bgColor theme="0"/>
        </patternFill>
      </fill>
      <border>
        <horizontal style="medium">
          <color theme="0"/>
        </horizontal>
      </border>
    </dxf>
    <dxf>
      <font>
        <b/>
        <color theme="1"/>
      </font>
    </dxf>
    <dxf>
      <font>
        <b/>
        <color theme="1"/>
      </font>
    </dxf>
    <dxf>
      <font>
        <b/>
        <color theme="1"/>
      </font>
      <fill>
        <patternFill>
          <bgColor theme="0" tint="-4.9989318521683403E-2"/>
        </patternFill>
      </fill>
      <border>
        <top style="medium">
          <color theme="0"/>
        </top>
      </border>
    </dxf>
    <dxf>
      <font>
        <b/>
        <i val="0"/>
        <color theme="1"/>
      </font>
      <fill>
        <patternFill>
          <bgColor theme="5"/>
        </patternFill>
      </fill>
      <border>
        <bottom/>
      </border>
    </dxf>
    <dxf>
      <font>
        <color theme="1"/>
      </font>
      <border diagonalUp="0" diagonalDown="0">
        <left/>
        <right/>
        <top/>
        <bottom/>
        <vertical/>
        <horizontal/>
      </border>
    </dxf>
  </dxfs>
  <tableStyles count="3" defaultTableStyle="TableStyleMedium2" defaultPivotStyle="PivotStyleLight16">
    <tableStyle name="TableStyleLight1 2" pivot="0" count="7" xr9:uid="{00000000-0011-0000-FFFF-FFFF00000000}">
      <tableStyleElement type="wholeTable" dxfId="31"/>
      <tableStyleElement type="headerRow" dxfId="30"/>
      <tableStyleElement type="totalRow" dxfId="29"/>
      <tableStyleElement type="firstColumn" dxfId="28"/>
      <tableStyleElement type="lastColumn" dxfId="27"/>
      <tableStyleElement type="firstRowStripe" size="7" dxfId="26"/>
      <tableStyleElement type="firstColumnStripe" dxfId="25"/>
    </tableStyle>
    <tableStyle name="TableStyleLight1 2 2" pivot="0" count="7" xr9:uid="{00000000-0011-0000-FFFF-FFFF00000000}">
      <tableStyleElement type="wholeTable" dxfId="24"/>
      <tableStyleElement type="headerRow" dxfId="23"/>
      <tableStyleElement type="totalRow" dxfId="22"/>
      <tableStyleElement type="firstColumn" dxfId="21"/>
      <tableStyleElement type="lastColumn" dxfId="20"/>
      <tableStyleElement type="firstRowStripe" size="7" dxfId="19"/>
      <tableStyleElement type="firstColumnStripe" dxfId="18"/>
    </tableStyle>
    <tableStyle name="TableStyleMedium11 2" pivot="0" count="7" xr9:uid="{00000000-0012-0000-FFFF-FFFF1F000000}">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s>
  <colors>
    <mruColors>
      <color rgb="FF6AE9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80</xdr:row>
      <xdr:rowOff>0</xdr:rowOff>
    </xdr:from>
    <xdr:to>
      <xdr:col>14</xdr:col>
      <xdr:colOff>268488</xdr:colOff>
      <xdr:row>112</xdr:row>
      <xdr:rowOff>152820</xdr:rowOff>
    </xdr:to>
    <xdr:pic>
      <xdr:nvPicPr>
        <xdr:cNvPr id="5" name="Picture 4">
          <a:extLst>
            <a:ext uri="{FF2B5EF4-FFF2-40B4-BE49-F238E27FC236}">
              <a16:creationId xmlns:a16="http://schemas.microsoft.com/office/drawing/2014/main" id="{36FA9C5E-A6E6-44E0-90AA-8F0E1392E376}"/>
            </a:ext>
          </a:extLst>
        </xdr:cNvPr>
        <xdr:cNvPicPr>
          <a:picLocks noChangeAspect="1"/>
        </xdr:cNvPicPr>
      </xdr:nvPicPr>
      <xdr:blipFill>
        <a:blip xmlns:r="http://schemas.openxmlformats.org/officeDocument/2006/relationships" r:embed="rId1"/>
        <a:stretch>
          <a:fillRect/>
        </a:stretch>
      </xdr:blipFill>
      <xdr:spPr>
        <a:xfrm>
          <a:off x="0" y="14732000"/>
          <a:ext cx="8802888" cy="6045620"/>
        </a:xfrm>
        <a:prstGeom prst="rect">
          <a:avLst/>
        </a:prstGeom>
      </xdr:spPr>
    </xdr:pic>
    <xdr:clientData/>
  </xdr:twoCellAnchor>
  <xdr:twoCellAnchor>
    <xdr:from>
      <xdr:col>0</xdr:col>
      <xdr:colOff>571500</xdr:colOff>
      <xdr:row>9</xdr:row>
      <xdr:rowOff>19050</xdr:rowOff>
    </xdr:from>
    <xdr:to>
      <xdr:col>12</xdr:col>
      <xdr:colOff>371475</xdr:colOff>
      <xdr:row>35</xdr:row>
      <xdr:rowOff>76200</xdr:rowOff>
    </xdr:to>
    <xdr:pic>
      <xdr:nvPicPr>
        <xdr:cNvPr id="6" name="Picture 2">
          <a:extLst>
            <a:ext uri="{FF2B5EF4-FFF2-40B4-BE49-F238E27FC236}">
              <a16:creationId xmlns:a16="http://schemas.microsoft.com/office/drawing/2014/main" id="{61BE69D2-6D42-4D78-B1CF-2371F8CA08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1500" y="1733550"/>
          <a:ext cx="7115175" cy="501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6" Type="http://schemas.openxmlformats.org/officeDocument/2006/relationships/hyperlink" Target="https://docs.microsoft.com/en-us/azure/active-directory/fundamentals/active-directory-whatis" TargetMode="External"/><Relationship Id="rId21" Type="http://schemas.openxmlformats.org/officeDocument/2006/relationships/hyperlink" Target="https://www.microsoft.com/en-us/microsoft-365/business/data-protection" TargetMode="External"/><Relationship Id="rId42" Type="http://schemas.openxmlformats.org/officeDocument/2006/relationships/hyperlink" Target="https://www.microsoft.com/en-us/microsoft-365/microsoft-teams/online-meetings" TargetMode="External"/><Relationship Id="rId47" Type="http://schemas.openxmlformats.org/officeDocument/2006/relationships/hyperlink" Target="https://docs.microsoft.com/en-us/windows/deployment/windows-10-enterprise-e3-overview" TargetMode="External"/><Relationship Id="rId63" Type="http://schemas.openxmlformats.org/officeDocument/2006/relationships/hyperlink" Target="https://dynamics.microsoft.com/en-us/pricing/" TargetMode="External"/><Relationship Id="rId68" Type="http://schemas.openxmlformats.org/officeDocument/2006/relationships/hyperlink" Target="https://dynamics.microsoft.com/en-za/mixed-reality/guides/" TargetMode="External"/><Relationship Id="rId84" Type="http://schemas.openxmlformats.org/officeDocument/2006/relationships/hyperlink" Target="https://docs.microsoft.com/en-us/dynamics365/human-resources" TargetMode="External"/><Relationship Id="rId89" Type="http://schemas.openxmlformats.org/officeDocument/2006/relationships/hyperlink" Target="https://www.microsoft.com/en-us/cloud-platform/microsoft-intune" TargetMode="External"/><Relationship Id="rId16" Type="http://schemas.openxmlformats.org/officeDocument/2006/relationships/hyperlink" Target="https://docs.microsoft.com/en-us/microsoft-365/compliance/data-loss-prevention-policies?view=o365-worldwide" TargetMode="External"/><Relationship Id="rId107" Type="http://schemas.openxmlformats.org/officeDocument/2006/relationships/hyperlink" Target="https://docs.microsoft.com/en-us/dynamics365/get-started/team-members-license" TargetMode="External"/><Relationship Id="rId11" Type="http://schemas.openxmlformats.org/officeDocument/2006/relationships/hyperlink" Target="https://products.office.com/en-za/business/office-365-enterprise-e5-business-software" TargetMode="External"/><Relationship Id="rId32" Type="http://schemas.openxmlformats.org/officeDocument/2006/relationships/hyperlink" Target="https://www.microsoft.com/en-us/microsoft-365/project/project-plan-3?activetab=pivot%3aoverviewtab" TargetMode="External"/><Relationship Id="rId37" Type="http://schemas.openxmlformats.org/officeDocument/2006/relationships/hyperlink" Target="https://products.office.com/en-us/microsoft-teams/voice-calling" TargetMode="External"/><Relationship Id="rId53" Type="http://schemas.openxmlformats.org/officeDocument/2006/relationships/hyperlink" Target="https://portal.office.com/signup/logout?OfferId=87dd2714-d452-48a0-a809-d2f58c4f68b7" TargetMode="External"/><Relationship Id="rId58" Type="http://schemas.openxmlformats.org/officeDocument/2006/relationships/hyperlink" Target="https://dynamics.microsoft.com/en-us/business-central/overview/" TargetMode="External"/><Relationship Id="rId74" Type="http://schemas.openxmlformats.org/officeDocument/2006/relationships/hyperlink" Target="https://dynamics.microsoft.com/en-us/pricing/sales/" TargetMode="External"/><Relationship Id="rId79" Type="http://schemas.openxmlformats.org/officeDocument/2006/relationships/hyperlink" Target="https://dynamics.microsoft.com/en-us/marketing/overview/" TargetMode="External"/><Relationship Id="rId102" Type="http://schemas.openxmlformats.org/officeDocument/2006/relationships/hyperlink" Target="https://powerapps.microsoft.com/en-us/pricing/" TargetMode="External"/><Relationship Id="rId5" Type="http://schemas.openxmlformats.org/officeDocument/2006/relationships/hyperlink" Target="https://docs.microsoft.com/en-us/microsoft-365/security/office-365-security/exchange-online-protection-overview?view=o365-worldwide" TargetMode="External"/><Relationship Id="rId90" Type="http://schemas.openxmlformats.org/officeDocument/2006/relationships/hyperlink" Target="https://flow.microsoft.com/en-us/" TargetMode="External"/><Relationship Id="rId95" Type="http://schemas.openxmlformats.org/officeDocument/2006/relationships/hyperlink" Target="https://powerapps.microsoft.com/en-us/pricing/" TargetMode="External"/><Relationship Id="rId22" Type="http://schemas.openxmlformats.org/officeDocument/2006/relationships/hyperlink" Target="https://docs.microsoft.com/en-us/microsoft-365/compliance/insider-risk-management?view=o365-worldwide" TargetMode="External"/><Relationship Id="rId27" Type="http://schemas.openxmlformats.org/officeDocument/2006/relationships/hyperlink" Target="https://docs.microsoft.com/en-us/azure-advanced-threat-protection/what-is-atp" TargetMode="External"/><Relationship Id="rId43" Type="http://schemas.openxmlformats.org/officeDocument/2006/relationships/hyperlink" Target="https://docs.microsoft.com/en-us/MicrosoftTeams/calling-plans-for-office-365" TargetMode="External"/><Relationship Id="rId48" Type="http://schemas.openxmlformats.org/officeDocument/2006/relationships/hyperlink" Target="https://docs.microsoft.com/en-us/windows/deployment/windows-10-enterprise-e3-overview" TargetMode="External"/><Relationship Id="rId64" Type="http://schemas.openxmlformats.org/officeDocument/2006/relationships/hyperlink" Target="https://dynamics.microsoft.com/en-us/supply-chain-management/overview/" TargetMode="External"/><Relationship Id="rId69" Type="http://schemas.openxmlformats.org/officeDocument/2006/relationships/hyperlink" Target="https://docs.microsoft.com/en-us/dynamics365/commerce/" TargetMode="External"/><Relationship Id="rId80" Type="http://schemas.openxmlformats.org/officeDocument/2006/relationships/hyperlink" Target="https://dynamics.microsoft.com/en-us/pricing/" TargetMode="External"/><Relationship Id="rId85" Type="http://schemas.openxmlformats.org/officeDocument/2006/relationships/hyperlink" Target="https://dynamics.microsoft.com/en-us/ai/fraud-protection/" TargetMode="External"/><Relationship Id="rId12" Type="http://schemas.openxmlformats.org/officeDocument/2006/relationships/hyperlink" Target="https://docs.microsoft.com/en-us/skypeforbusiness/skype-for-business-and-microsoft-teams-add-on-licensing/license-options-based-on-your-plan/office-365-enterprise-e5-without-audio-conferencing" TargetMode="External"/><Relationship Id="rId17" Type="http://schemas.openxmlformats.org/officeDocument/2006/relationships/hyperlink" Target="https://www.microsoft.com/en-us/microsoft-365/business/e5-compliance?activetab=pivot%3aoverviewtab" TargetMode="External"/><Relationship Id="rId33" Type="http://schemas.openxmlformats.org/officeDocument/2006/relationships/hyperlink" Target="https://www.microsoft.com/en-us/microsoft-365/project/project-plan-5?activetab=pivot%3aoverviewtab" TargetMode="External"/><Relationship Id="rId38" Type="http://schemas.openxmlformats.org/officeDocument/2006/relationships/hyperlink" Target="https://docs.microsoft.com/en-us/microsoftteams/teams-add-on-licensing/virtual-user" TargetMode="External"/><Relationship Id="rId59" Type="http://schemas.openxmlformats.org/officeDocument/2006/relationships/hyperlink" Target="https://docs.microsoft.com/en-us/dynamics365/business-central/finance-accounting" TargetMode="External"/><Relationship Id="rId103" Type="http://schemas.openxmlformats.org/officeDocument/2006/relationships/hyperlink" Target="https://dynamics.microsoft.com/en-us/ai/virtual-agent-for-customer-service/" TargetMode="External"/><Relationship Id="rId108" Type="http://schemas.openxmlformats.org/officeDocument/2006/relationships/printerSettings" Target="../printerSettings/printerSettings1.bin"/><Relationship Id="rId20" Type="http://schemas.openxmlformats.org/officeDocument/2006/relationships/hyperlink" Target="https://docs.microsoft.com/en-us/microsoft-365/compliance/get-started-with-advanced-ediscovery?view=o365-worldwide" TargetMode="External"/><Relationship Id="rId41" Type="http://schemas.openxmlformats.org/officeDocument/2006/relationships/hyperlink" Target="https://docs.microsoft.com/en-us/MicrosoftTeams/calling-plans-for-office-365" TargetMode="External"/><Relationship Id="rId54" Type="http://schemas.openxmlformats.org/officeDocument/2006/relationships/hyperlink" Target="https://dynamics.microsoft.com/en-za/business-central/capabilities/" TargetMode="External"/><Relationship Id="rId62" Type="http://schemas.openxmlformats.org/officeDocument/2006/relationships/hyperlink" Target="https://docs.microsoft.com/en-us/dynamics365/finance/" TargetMode="External"/><Relationship Id="rId70" Type="http://schemas.openxmlformats.org/officeDocument/2006/relationships/hyperlink" Target="https://dynamics.microsoft.com/en-us/retail/overview/" TargetMode="External"/><Relationship Id="rId75" Type="http://schemas.openxmlformats.org/officeDocument/2006/relationships/hyperlink" Target="https://dynamics.microsoft.com/en-us/pricing/sales/" TargetMode="External"/><Relationship Id="rId83" Type="http://schemas.openxmlformats.org/officeDocument/2006/relationships/hyperlink" Target="https://dynamics.microsoft.com/en-us/field-service/capabilities/" TargetMode="External"/><Relationship Id="rId88" Type="http://schemas.openxmlformats.org/officeDocument/2006/relationships/hyperlink" Target="https://stream.microsoft.com/en-us/" TargetMode="External"/><Relationship Id="rId91" Type="http://schemas.openxmlformats.org/officeDocument/2006/relationships/hyperlink" Target="https://powerapps.microsoft.com/en-us/" TargetMode="External"/><Relationship Id="rId96" Type="http://schemas.openxmlformats.org/officeDocument/2006/relationships/hyperlink" Target="https://powerapps.microsoft.com/en-us/pricing/" TargetMode="External"/><Relationship Id="rId1" Type="http://schemas.openxmlformats.org/officeDocument/2006/relationships/hyperlink" Target="https://www.microsoft.com/en-us/microsoft-365/exchange/exchange-online?activetab=pivot:overviewtab" TargetMode="External"/><Relationship Id="rId6" Type="http://schemas.openxmlformats.org/officeDocument/2006/relationships/hyperlink" Target="https://www.microsoft.com/en-us/microsoft-365/business/microsoft-365-business-standard?activetab=pivot%3aoverviewtab" TargetMode="External"/><Relationship Id="rId15" Type="http://schemas.openxmlformats.org/officeDocument/2006/relationships/hyperlink" Target="https://www.microsoft.com/en-za/microsoft-365/business/microsoft-365-apps-for-enterprise-product?activetab=pivot%3aoverviewtab" TargetMode="External"/><Relationship Id="rId23" Type="http://schemas.openxmlformats.org/officeDocument/2006/relationships/hyperlink" Target="https://www.microsoft.com/en-us/microsoft-365/exchange/advance-threat-protection" TargetMode="External"/><Relationship Id="rId28" Type="http://schemas.openxmlformats.org/officeDocument/2006/relationships/hyperlink" Target="https://www.microsoft.com/en-us/microsoft-365/onedrive/compare-onedrive-plans?activetab=tab:primaryr2" TargetMode="External"/><Relationship Id="rId36" Type="http://schemas.openxmlformats.org/officeDocument/2006/relationships/hyperlink" Target="https://docs.microsoft.com/en-za/SkypeForBusiness/skype-for-business-and-microsoft-teams-add-on-licensing/skype-for-business-and-microsoft-teams-add-on-licensing" TargetMode="External"/><Relationship Id="rId49" Type="http://schemas.openxmlformats.org/officeDocument/2006/relationships/hyperlink" Target="https://www.microsoft.com/en-ww/microsoft-365/business/microsoft-365-business-premium?market=af" TargetMode="External"/><Relationship Id="rId57" Type="http://schemas.openxmlformats.org/officeDocument/2006/relationships/hyperlink" Target="https://dynamics.microsoft.com/en-us/business-central/overview/" TargetMode="External"/><Relationship Id="rId106" Type="http://schemas.openxmlformats.org/officeDocument/2006/relationships/hyperlink" Target="https://azure.microsoft.com/en-ca/pricing/details/iot-hub/" TargetMode="External"/><Relationship Id="rId10" Type="http://schemas.openxmlformats.org/officeDocument/2006/relationships/hyperlink" Target="https://www.microsoft.com/en-us/microsoft-365/enterprise/office-365-e5?activetab=pivot%3aoverviewtab" TargetMode="External"/><Relationship Id="rId31" Type="http://schemas.openxmlformats.org/officeDocument/2006/relationships/hyperlink" Target="https://www.microsoft.com/en-us/microsoft-365/project/project-plan-1?activetab=pivot%3aoverviewtab" TargetMode="External"/><Relationship Id="rId44" Type="http://schemas.openxmlformats.org/officeDocument/2006/relationships/hyperlink" Target="https://www.microsoft.com/en-us/microsoft-365/visio/microsoft-visio-plans-and-pricing-compare-visio-options" TargetMode="External"/><Relationship Id="rId52" Type="http://schemas.openxmlformats.org/officeDocument/2006/relationships/hyperlink" Target="https://www.microsoft.com/en-us/cloud-platform/enterprise-mobility-security-pricing" TargetMode="External"/><Relationship Id="rId60" Type="http://schemas.openxmlformats.org/officeDocument/2006/relationships/hyperlink" Target="https://docs.microsoft.com/en-us/dynamics365-release-plan/2020wave2/smb/dynamics365-business-central/improved-overview-management-database-file-capacity" TargetMode="External"/><Relationship Id="rId65" Type="http://schemas.openxmlformats.org/officeDocument/2006/relationships/hyperlink" Target="https://dynamics.microsoft.com/en-us/pricing/" TargetMode="External"/><Relationship Id="rId73" Type="http://schemas.openxmlformats.org/officeDocument/2006/relationships/hyperlink" Target="https://dynamics.microsoft.com/en-us/sales/professional/" TargetMode="External"/><Relationship Id="rId78" Type="http://schemas.openxmlformats.org/officeDocument/2006/relationships/hyperlink" Target="https://dynamics.microsoft.com/en-us/sales/overview/" TargetMode="External"/><Relationship Id="rId81" Type="http://schemas.openxmlformats.org/officeDocument/2006/relationships/hyperlink" Target="https://dynamics.microsoft.com/en-us/customer-service/capabilities/" TargetMode="External"/><Relationship Id="rId86" Type="http://schemas.openxmlformats.org/officeDocument/2006/relationships/hyperlink" Target="https://docs.microsoft.com/en-us/dynamics365/fraud-protection/loss-prevention-overview" TargetMode="External"/><Relationship Id="rId94" Type="http://schemas.openxmlformats.org/officeDocument/2006/relationships/hyperlink" Target="https://powerapps.microsoft.com/en-us/pricing/" TargetMode="External"/><Relationship Id="rId99" Type="http://schemas.openxmlformats.org/officeDocument/2006/relationships/hyperlink" Target="https://powerapps.microsoft.com/en-us/pricing/" TargetMode="External"/><Relationship Id="rId101" Type="http://schemas.openxmlformats.org/officeDocument/2006/relationships/hyperlink" Target="https://powerapps.microsoft.com/en-us/pricing/" TargetMode="External"/><Relationship Id="rId4" Type="http://schemas.openxmlformats.org/officeDocument/2006/relationships/hyperlink" Target="https://www.microsoft.com/en-us/microsoft-365/exchange/microsoft-exchange-licensing-faq-email-for-business" TargetMode="External"/><Relationship Id="rId9" Type="http://schemas.openxmlformats.org/officeDocument/2006/relationships/hyperlink" Target="https://www.microsoft.com/en-us/microsoft-365/enterprise/office-365-e3?activetab=pivot%3aoverviewtab" TargetMode="External"/><Relationship Id="rId13" Type="http://schemas.openxmlformats.org/officeDocument/2006/relationships/hyperlink" Target="https://docs.microsoft.com/en-us/microsoft-365/commerce/add-storage-space?view=o365-worldwide" TargetMode="External"/><Relationship Id="rId18" Type="http://schemas.openxmlformats.org/officeDocument/2006/relationships/hyperlink" Target="https://docs.microsoft.com/en-us/windows/security/threat-protection/microsoft-defender-atp/microsoft-defender-advanced-threat-protection" TargetMode="External"/><Relationship Id="rId39" Type="http://schemas.openxmlformats.org/officeDocument/2006/relationships/hyperlink" Target="https://docs.microsoft.com/en-us/microsoftteams/teams-add-on-licensing/virtual-user" TargetMode="External"/><Relationship Id="rId34" Type="http://schemas.openxmlformats.org/officeDocument/2006/relationships/hyperlink" Target="https://products.office.com/en-us/sharepoint/compare-sharepoint-plans" TargetMode="External"/><Relationship Id="rId50" Type="http://schemas.openxmlformats.org/officeDocument/2006/relationships/hyperlink" Target="https://www.microsoft.com/en-us/microsoft-365/compare-microsoft-365-enterprise-plans" TargetMode="External"/><Relationship Id="rId55" Type="http://schemas.openxmlformats.org/officeDocument/2006/relationships/hyperlink" Target="https://docs.microsoft.com/en-us/dynamics365/business-central/ui-how-users-permissions" TargetMode="External"/><Relationship Id="rId76" Type="http://schemas.openxmlformats.org/officeDocument/2006/relationships/hyperlink" Target="https://dynamics.microsoft.com/en-us/pricing/sales/" TargetMode="External"/><Relationship Id="rId97" Type="http://schemas.openxmlformats.org/officeDocument/2006/relationships/hyperlink" Target="https://powerapps.microsoft.com/en-us/pricing/" TargetMode="External"/><Relationship Id="rId104" Type="http://schemas.openxmlformats.org/officeDocument/2006/relationships/hyperlink" Target="https://azure.microsoft.com/en-ca/pricing/details/iot-hub/" TargetMode="External"/><Relationship Id="rId7" Type="http://schemas.openxmlformats.org/officeDocument/2006/relationships/hyperlink" Target="https://www.microsoft.com/en-us/microsoft-365/business/microsoft-365-apps-for-business?activetab=pivot%3aoverviewtab" TargetMode="External"/><Relationship Id="rId71" Type="http://schemas.openxmlformats.org/officeDocument/2006/relationships/hyperlink" Target="https://dynamics.microsoft.com/en-us/pricing/" TargetMode="External"/><Relationship Id="rId92" Type="http://schemas.openxmlformats.org/officeDocument/2006/relationships/hyperlink" Target="https://dynamics.microsoft.com/en-us/ai/customer-insights/" TargetMode="External"/><Relationship Id="rId2" Type="http://schemas.openxmlformats.org/officeDocument/2006/relationships/hyperlink" Target="https://www.microsoft.com/en-us/microsoft-365/exchange/compare-microsoft-exchange-online-plans" TargetMode="External"/><Relationship Id="rId29" Type="http://schemas.openxmlformats.org/officeDocument/2006/relationships/hyperlink" Target="https://powerbi.microsoft.com/en-us/pricing/" TargetMode="External"/><Relationship Id="rId24" Type="http://schemas.openxmlformats.org/officeDocument/2006/relationships/hyperlink" Target="https://docs.microsoft.com/en-us/microsoft-365/compliance/overview-ediscovery-20?view=o365-worldwide" TargetMode="External"/><Relationship Id="rId40" Type="http://schemas.openxmlformats.org/officeDocument/2006/relationships/hyperlink" Target="https://docs.microsoft.com/en-us/microsoftteams/teams-add-on-licensing/virtual-user" TargetMode="External"/><Relationship Id="rId45" Type="http://schemas.openxmlformats.org/officeDocument/2006/relationships/hyperlink" Target="https://www.microsoft.com/en-us/microsoft-365/business" TargetMode="External"/><Relationship Id="rId66" Type="http://schemas.openxmlformats.org/officeDocument/2006/relationships/hyperlink" Target="https://docs.microsoft.com/en-us/dynamics365/supply-chain/asset-management/" TargetMode="External"/><Relationship Id="rId87" Type="http://schemas.openxmlformats.org/officeDocument/2006/relationships/hyperlink" Target="https://docs.microsoft.com/en-us/dynamics365/fraud-protection/purchase-protection" TargetMode="External"/><Relationship Id="rId61" Type="http://schemas.openxmlformats.org/officeDocument/2006/relationships/hyperlink" Target="https://dynamics.microsoft.com/en-us/finance/overview/" TargetMode="External"/><Relationship Id="rId82" Type="http://schemas.openxmlformats.org/officeDocument/2006/relationships/hyperlink" Target="https://dynamics.microsoft.com/en-us/project-service-automation/overview/" TargetMode="External"/><Relationship Id="rId19" Type="http://schemas.openxmlformats.org/officeDocument/2006/relationships/hyperlink" Target="https://docs.microsoft.com/en-us/windows/security/threat-protection/microsoft-defender-atp/configure-server-endpoints" TargetMode="External"/><Relationship Id="rId14" Type="http://schemas.openxmlformats.org/officeDocument/2006/relationships/hyperlink" Target="https://www.microsoft.com/en-us/microsoft-365/enterprise/office-365-f3?activetab=pivot%3aoverviewtab" TargetMode="External"/><Relationship Id="rId30" Type="http://schemas.openxmlformats.org/officeDocument/2006/relationships/hyperlink" Target="https://products.office.com/en-us/project/compare-microsoft-project-management-software?tab=1" TargetMode="External"/><Relationship Id="rId35" Type="http://schemas.openxmlformats.org/officeDocument/2006/relationships/hyperlink" Target="https://products.office.com/en-us/sharepoint/compare-sharepoint-plans" TargetMode="External"/><Relationship Id="rId56" Type="http://schemas.openxmlformats.org/officeDocument/2006/relationships/hyperlink" Target="https://dynamics.microsoft.com/en-us/business-central/overview/" TargetMode="External"/><Relationship Id="rId77" Type="http://schemas.openxmlformats.org/officeDocument/2006/relationships/hyperlink" Target="https://dynamics.microsoft.com/en-us/pricing/" TargetMode="External"/><Relationship Id="rId100" Type="http://schemas.openxmlformats.org/officeDocument/2006/relationships/hyperlink" Target="https://powerapps.microsoft.com/en-us/pricing/" TargetMode="External"/><Relationship Id="rId105" Type="http://schemas.openxmlformats.org/officeDocument/2006/relationships/hyperlink" Target="https://azure.microsoft.com/en-ca/pricing/details/iot-hub/" TargetMode="External"/><Relationship Id="rId8" Type="http://schemas.openxmlformats.org/officeDocument/2006/relationships/hyperlink" Target="https://www.microsoft.com/en-us/microsoft-365/business/microsoft-365-business-basic?activetab=pivot%3aoverviewtab" TargetMode="External"/><Relationship Id="rId51" Type="http://schemas.openxmlformats.org/officeDocument/2006/relationships/hyperlink" Target="https://www.microsoft.com/en-us/microsoft-365/enterprise/firstline?rtc=1" TargetMode="External"/><Relationship Id="rId72" Type="http://schemas.openxmlformats.org/officeDocument/2006/relationships/hyperlink" Target="https://dynamics.microsoft.com/en-us/sales/overview/" TargetMode="External"/><Relationship Id="rId93" Type="http://schemas.openxmlformats.org/officeDocument/2006/relationships/hyperlink" Target="https://powerapps.microsoft.com/en-us/pricing/" TargetMode="External"/><Relationship Id="rId98" Type="http://schemas.openxmlformats.org/officeDocument/2006/relationships/hyperlink" Target="https://powerapps.microsoft.com/en-us/pricing/" TargetMode="External"/><Relationship Id="rId3" Type="http://schemas.openxmlformats.org/officeDocument/2006/relationships/hyperlink" Target="https://www.microsoft.com/en-us/microsoft-365/exchange/microsoft-exchange-online-archiving-email?activetab=pivot%3aoverviewtab" TargetMode="External"/><Relationship Id="rId25" Type="http://schemas.openxmlformats.org/officeDocument/2006/relationships/hyperlink" Target="https://docs.microsoft.com/en-us/power-platform/admin/capacity-storage" TargetMode="External"/><Relationship Id="rId46" Type="http://schemas.openxmlformats.org/officeDocument/2006/relationships/hyperlink" Target="https://www.microsoft.com/en-za/microsoft-365/enterprise/home/" TargetMode="External"/><Relationship Id="rId67" Type="http://schemas.openxmlformats.org/officeDocument/2006/relationships/hyperlink" Target="https://docs.microsoft.com/en-us/dynamics365/get-started/team-members-license"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dynamics.microsoft.com/en-us/business-central/overview/" TargetMode="External"/><Relationship Id="rId18" Type="http://schemas.openxmlformats.org/officeDocument/2006/relationships/hyperlink" Target="https://dynamics.microsoft.com/en-us/pricing/" TargetMode="External"/><Relationship Id="rId26" Type="http://schemas.openxmlformats.org/officeDocument/2006/relationships/hyperlink" Target="https://docs.microsoft.com/en-us/dynamics365/project-service/overview" TargetMode="External"/><Relationship Id="rId21" Type="http://schemas.openxmlformats.org/officeDocument/2006/relationships/hyperlink" Target="https://dynamics.microsoft.com/en-us/ai/fraud-protection/" TargetMode="External"/><Relationship Id="rId34" Type="http://schemas.openxmlformats.org/officeDocument/2006/relationships/hyperlink" Target="https://docs.microsoft.com/en-us/dynamics365/mixed-reality/remote-assist/buy-remote-assist" TargetMode="External"/><Relationship Id="rId7" Type="http://schemas.openxmlformats.org/officeDocument/2006/relationships/hyperlink" Target="https://www.microsoft.com/en-us/education/buy-license/microsoft365/default.aspx" TargetMode="External"/><Relationship Id="rId12" Type="http://schemas.openxmlformats.org/officeDocument/2006/relationships/hyperlink" Target="https://docs.microsoft.com/en-us/dynamics365/business-central/finance-accounting" TargetMode="External"/><Relationship Id="rId17" Type="http://schemas.openxmlformats.org/officeDocument/2006/relationships/hyperlink" Target="https://docs.microsoft.com/en-us/dynamics365/finance/" TargetMode="External"/><Relationship Id="rId25" Type="http://schemas.openxmlformats.org/officeDocument/2006/relationships/hyperlink" Target="https://dynamics.microsoft.com/en-us/customer-service/overview/" TargetMode="External"/><Relationship Id="rId33" Type="http://schemas.openxmlformats.org/officeDocument/2006/relationships/hyperlink" Target="https://docs.microsoft.com/en-us/dynamics365/ai/customer-insights/overview" TargetMode="External"/><Relationship Id="rId2" Type="http://schemas.openxmlformats.org/officeDocument/2006/relationships/hyperlink" Target="https://docs.microsoft.com/en-us/learn/modules/get-started-with-powerapps-common-data-service/" TargetMode="External"/><Relationship Id="rId16" Type="http://schemas.openxmlformats.org/officeDocument/2006/relationships/hyperlink" Target="https://dynamics.microsoft.com/en-us/finance/overview/" TargetMode="External"/><Relationship Id="rId20" Type="http://schemas.openxmlformats.org/officeDocument/2006/relationships/hyperlink" Target="https://docs.microsoft.com/en-us/dynamics365/get-started/team-members-license" TargetMode="External"/><Relationship Id="rId29" Type="http://schemas.openxmlformats.org/officeDocument/2006/relationships/hyperlink" Target="https://flow.microsoft.com/en-us/" TargetMode="External"/><Relationship Id="rId1" Type="http://schemas.openxmlformats.org/officeDocument/2006/relationships/hyperlink" Target="https://www.microsoft.com/en-us/microsoft-365/academic/compare-office-365-education-plans?activetab=tab%3aprimaryr1" TargetMode="External"/><Relationship Id="rId6" Type="http://schemas.openxmlformats.org/officeDocument/2006/relationships/hyperlink" Target="https://www.microsoft.com/en-us/microsoft-365/microsoft-teams/voice-calling" TargetMode="External"/><Relationship Id="rId11" Type="http://schemas.openxmlformats.org/officeDocument/2006/relationships/hyperlink" Target="https://dynamics.microsoft.com/en-za/business-central/capabilities/" TargetMode="External"/><Relationship Id="rId24" Type="http://schemas.openxmlformats.org/officeDocument/2006/relationships/hyperlink" Target="https://docs.microsoft.com/en-us/dynamics365/sales-enterprise/overview" TargetMode="External"/><Relationship Id="rId32" Type="http://schemas.openxmlformats.org/officeDocument/2006/relationships/hyperlink" Target="https://docs.microsoft.com/en-us/stream/license-overview" TargetMode="External"/><Relationship Id="rId37" Type="http://schemas.openxmlformats.org/officeDocument/2006/relationships/printerSettings" Target="../printerSettings/printerSettings2.bin"/><Relationship Id="rId5" Type="http://schemas.openxmlformats.org/officeDocument/2006/relationships/hyperlink" Target="https://docs.microsoft.com/en-us/microsoftteams/audio-conferencing-in-office-365" TargetMode="External"/><Relationship Id="rId15" Type="http://schemas.openxmlformats.org/officeDocument/2006/relationships/hyperlink" Target="https://docs.microsoft.com/en-us/dynamics365-release-plan/2020wave2/smb/dynamics365-business-central/improved-overview-management-database-file-capacity" TargetMode="External"/><Relationship Id="rId23" Type="http://schemas.openxmlformats.org/officeDocument/2006/relationships/hyperlink" Target="https://docs.microsoft.com/en-us/dynamics365/ai/sales/overview" TargetMode="External"/><Relationship Id="rId28" Type="http://schemas.openxmlformats.org/officeDocument/2006/relationships/hyperlink" Target="https://docs.microsoft.com/en-us/dynamics365/human-resources/" TargetMode="External"/><Relationship Id="rId36" Type="http://schemas.openxmlformats.org/officeDocument/2006/relationships/hyperlink" Target="https://docs.microsoft.com/en-us/dynamics365/supply-chain/iot/iot-intelligence-home-page" TargetMode="External"/><Relationship Id="rId10" Type="http://schemas.openxmlformats.org/officeDocument/2006/relationships/hyperlink" Target="https://dynamics.microsoft.com/en-us/business-central/overview/" TargetMode="External"/><Relationship Id="rId19" Type="http://schemas.openxmlformats.org/officeDocument/2006/relationships/hyperlink" Target="https://dynamics.microsoft.com/en-us/supply-chain-management/overview/" TargetMode="External"/><Relationship Id="rId31" Type="http://schemas.openxmlformats.org/officeDocument/2006/relationships/hyperlink" Target="https://www.microsoft.com/en-us/education/intune" TargetMode="External"/><Relationship Id="rId4" Type="http://schemas.openxmlformats.org/officeDocument/2006/relationships/hyperlink" Target="https://docs.microsoft.com/en-us/microsoftteams/set-up-common-area-phones" TargetMode="External"/><Relationship Id="rId9" Type="http://schemas.openxmlformats.org/officeDocument/2006/relationships/hyperlink" Target="https://www.microsoft.com/en-us/microsoft-365/visio/microsoft-visio-plans-and-pricing-compare-visio-options" TargetMode="External"/><Relationship Id="rId14" Type="http://schemas.openxmlformats.org/officeDocument/2006/relationships/hyperlink" Target="https://dynamics.microsoft.com/en-us/business-central/overview/" TargetMode="External"/><Relationship Id="rId22" Type="http://schemas.openxmlformats.org/officeDocument/2006/relationships/hyperlink" Target="https://dynamics.microsoft.com/en-us/mixed-reality/guides/" TargetMode="External"/><Relationship Id="rId27" Type="http://schemas.openxmlformats.org/officeDocument/2006/relationships/hyperlink" Target="https://dynamics.microsoft.com/en-us/field-service/overview/" TargetMode="External"/><Relationship Id="rId30" Type="http://schemas.openxmlformats.org/officeDocument/2006/relationships/hyperlink" Target="https://www.microsoft.com/en-us/microsoft-365/business/microsoft-powerapps" TargetMode="External"/><Relationship Id="rId35" Type="http://schemas.openxmlformats.org/officeDocument/2006/relationships/hyperlink" Target="https://dynamics.microsoft.com/en-us/mixed-reality/remote-assist/" TargetMode="External"/><Relationship Id="rId8" Type="http://schemas.openxmlformats.org/officeDocument/2006/relationships/hyperlink" Target="https://docs.microsoft.com/en-us/workplace-analytics/myanalytics/mya-landing-page" TargetMode="External"/><Relationship Id="rId3" Type="http://schemas.openxmlformats.org/officeDocument/2006/relationships/hyperlink" Target="https://docs.microsoft.com/en-us/office365/servicedescriptions/office-365-platform-service-description/microsoft-365-educatio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microsoft.com/en-us/nonprofits/dynamics-365" TargetMode="External"/><Relationship Id="rId13" Type="http://schemas.openxmlformats.org/officeDocument/2006/relationships/hyperlink" Target="https://www.microsoft.com/en-us/microsoft-365/nonprofit/office-365-nonprofit" TargetMode="External"/><Relationship Id="rId18" Type="http://schemas.openxmlformats.org/officeDocument/2006/relationships/hyperlink" Target="https://stream.microsoft.com/en-us/" TargetMode="External"/><Relationship Id="rId3" Type="http://schemas.openxmlformats.org/officeDocument/2006/relationships/hyperlink" Target="https://www.microsoft.com/en-us/microsoft-365/nonprofit/office-365-nonprofit-plans-and-pricing?activetab=tab%3aprimaryr1" TargetMode="External"/><Relationship Id="rId21" Type="http://schemas.openxmlformats.org/officeDocument/2006/relationships/hyperlink" Target="https://www.microsoft.com/en-us/microsoft-365/business/business-voice" TargetMode="External"/><Relationship Id="rId7" Type="http://schemas.openxmlformats.org/officeDocument/2006/relationships/hyperlink" Target="https://dynamics.microsoft.com/en-us/ai/customer-insights/" TargetMode="External"/><Relationship Id="rId12" Type="http://schemas.openxmlformats.org/officeDocument/2006/relationships/hyperlink" Target="https://www.microsoft.com/en-us/cloud-platform/microsoft-intune" TargetMode="External"/><Relationship Id="rId17" Type="http://schemas.openxmlformats.org/officeDocument/2006/relationships/hyperlink" Target="https://www.microsoft.com/en-us/nonprofits/dynamics-365" TargetMode="External"/><Relationship Id="rId2" Type="http://schemas.openxmlformats.org/officeDocument/2006/relationships/hyperlink" Target="https://products.office.com/en-us/nonprofit/office-365-nonprofit-plans-and-pricing?tab=2" TargetMode="External"/><Relationship Id="rId16" Type="http://schemas.openxmlformats.org/officeDocument/2006/relationships/hyperlink" Target="https://docs.microsoft.com/en-us/stream/storage-add-on" TargetMode="External"/><Relationship Id="rId20" Type="http://schemas.openxmlformats.org/officeDocument/2006/relationships/hyperlink" Target="https://www.microsoft.com/en-us/microsoft-365/visio/microsoft-visio-plans-and-pricing-compare-visio-options" TargetMode="External"/><Relationship Id="rId1" Type="http://schemas.openxmlformats.org/officeDocument/2006/relationships/hyperlink" Target="https://products.office.com/en-us/nonprofit/office-365-nonprofit-plans-and-pricing?tab=1" TargetMode="External"/><Relationship Id="rId6" Type="http://schemas.openxmlformats.org/officeDocument/2006/relationships/hyperlink" Target="https://powerapps.microsoft.com/en-us/" TargetMode="External"/><Relationship Id="rId11" Type="http://schemas.openxmlformats.org/officeDocument/2006/relationships/hyperlink" Target="https://dynamics.microsoft.com/en-us/sales/capabilities/" TargetMode="External"/><Relationship Id="rId5" Type="http://schemas.openxmlformats.org/officeDocument/2006/relationships/hyperlink" Target="https://docs.microsoft.com/en-us/dynamics365/business-central/" TargetMode="External"/><Relationship Id="rId15" Type="http://schemas.openxmlformats.org/officeDocument/2006/relationships/hyperlink" Target="https://docs.microsoft.com/en-us/stream/license-overview" TargetMode="External"/><Relationship Id="rId23" Type="http://schemas.openxmlformats.org/officeDocument/2006/relationships/printerSettings" Target="../printerSettings/printerSettings3.bin"/><Relationship Id="rId10" Type="http://schemas.openxmlformats.org/officeDocument/2006/relationships/hyperlink" Target="https://dynamics.microsoft.com/en-us/ai/sales-insights/" TargetMode="External"/><Relationship Id="rId19" Type="http://schemas.openxmlformats.org/officeDocument/2006/relationships/hyperlink" Target="https://www.microsoft.com/en-us/nonprofits/microsoft-365" TargetMode="External"/><Relationship Id="rId4" Type="http://schemas.openxmlformats.org/officeDocument/2006/relationships/hyperlink" Target="https://powerbi.microsoft.com/en-us/power-bi-premium/" TargetMode="External"/><Relationship Id="rId9" Type="http://schemas.openxmlformats.org/officeDocument/2006/relationships/hyperlink" Target="https://www.microsoft.com/en-us/nonprofits/dynamics-365" TargetMode="External"/><Relationship Id="rId14" Type="http://schemas.openxmlformats.org/officeDocument/2006/relationships/hyperlink" Target="https://docs.microsoft.com/en-us/dynamics365/field-service/rso-overview" TargetMode="External"/><Relationship Id="rId22" Type="http://schemas.openxmlformats.org/officeDocument/2006/relationships/hyperlink" Target="https://www.microsoft.com/en-us/microsoft-365/nonprofit/office-365-nonprofit-plans-and-pricing"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8E15F-C556-4E05-BC59-A342232D9F54}">
  <dimension ref="A1:A33"/>
  <sheetViews>
    <sheetView zoomScale="90" zoomScaleNormal="90" workbookViewId="0">
      <selection activeCell="A30" sqref="A30"/>
    </sheetView>
  </sheetViews>
  <sheetFormatPr defaultRowHeight="15"/>
  <cols>
    <col min="1" max="1" width="124.5703125" bestFit="1" customWidth="1"/>
  </cols>
  <sheetData>
    <row r="1" spans="1:1">
      <c r="A1" s="3" t="s">
        <v>241</v>
      </c>
    </row>
    <row r="2" spans="1:1">
      <c r="A2" s="3" t="s">
        <v>760</v>
      </c>
    </row>
    <row r="3" spans="1:1">
      <c r="A3" s="3"/>
    </row>
    <row r="4" spans="1:1">
      <c r="A4" t="s">
        <v>128</v>
      </c>
    </row>
    <row r="5" spans="1:1">
      <c r="A5" s="3"/>
    </row>
    <row r="6" spans="1:1">
      <c r="A6" s="3" t="s">
        <v>137</v>
      </c>
    </row>
    <row r="7" spans="1:1">
      <c r="A7" t="s">
        <v>138</v>
      </c>
    </row>
    <row r="8" spans="1:1">
      <c r="A8" s="5" t="s">
        <v>139</v>
      </c>
    </row>
    <row r="9" spans="1:1">
      <c r="A9" s="5" t="s">
        <v>140</v>
      </c>
    </row>
    <row r="10" spans="1:1">
      <c r="A10" s="5" t="s">
        <v>141</v>
      </c>
    </row>
    <row r="11" spans="1:1">
      <c r="A11" s="5" t="s">
        <v>142</v>
      </c>
    </row>
    <row r="12" spans="1:1">
      <c r="A12" s="5" t="s">
        <v>143</v>
      </c>
    </row>
    <row r="13" spans="1:1">
      <c r="A13" s="5" t="s">
        <v>144</v>
      </c>
    </row>
    <row r="14" spans="1:1">
      <c r="A14" s="5" t="s">
        <v>145</v>
      </c>
    </row>
    <row r="15" spans="1:1">
      <c r="A15" s="5" t="s">
        <v>146</v>
      </c>
    </row>
    <row r="17" spans="1:1">
      <c r="A17" s="3" t="s">
        <v>238</v>
      </c>
    </row>
    <row r="18" spans="1:1">
      <c r="A18" t="s">
        <v>129</v>
      </c>
    </row>
    <row r="19" spans="1:1">
      <c r="A19" t="s">
        <v>130</v>
      </c>
    </row>
    <row r="20" spans="1:1">
      <c r="A20" t="s">
        <v>131</v>
      </c>
    </row>
    <row r="21" spans="1:1">
      <c r="A21" t="s">
        <v>132</v>
      </c>
    </row>
    <row r="22" spans="1:1">
      <c r="A22" t="s">
        <v>133</v>
      </c>
    </row>
    <row r="23" spans="1:1">
      <c r="A23" t="s">
        <v>759</v>
      </c>
    </row>
    <row r="25" spans="1:1">
      <c r="A25" t="s">
        <v>134</v>
      </c>
    </row>
    <row r="26" spans="1:1">
      <c r="A26" t="s">
        <v>135</v>
      </c>
    </row>
    <row r="27" spans="1:1">
      <c r="A27" t="s">
        <v>136</v>
      </c>
    </row>
    <row r="30" spans="1:1" ht="60">
      <c r="A30" s="6" t="s">
        <v>1166</v>
      </c>
    </row>
    <row r="31" spans="1:1" ht="30">
      <c r="A31" s="7" t="s">
        <v>1167</v>
      </c>
    </row>
    <row r="32" spans="1:1">
      <c r="A32" s="9" t="s">
        <v>239</v>
      </c>
    </row>
    <row r="33" spans="1:1">
      <c r="A33" s="10" t="s">
        <v>240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D78CB-176D-4478-8C8A-CF7BDF9DEA7A}">
  <dimension ref="A1:XEW472"/>
  <sheetViews>
    <sheetView tabSelected="1" zoomScale="60" zoomScaleNormal="60" workbookViewId="0">
      <pane ySplit="1" topLeftCell="A2" activePane="bottomLeft" state="frozen"/>
      <selection activeCell="D1" sqref="D1"/>
      <selection pane="bottomLeft" activeCell="E16" sqref="E15:E16"/>
    </sheetView>
  </sheetViews>
  <sheetFormatPr defaultColWidth="53.85546875" defaultRowHeight="15"/>
  <cols>
    <col min="1" max="1" width="36" customWidth="1"/>
    <col min="2" max="2" width="45.85546875" bestFit="1" customWidth="1"/>
    <col min="3" max="3" width="101.42578125" style="21" customWidth="1"/>
    <col min="4" max="4" width="23.42578125" style="13" bestFit="1" customWidth="1"/>
    <col min="5" max="5" width="19.5703125" style="13" bestFit="1" customWidth="1"/>
    <col min="6" max="6" width="21.140625" style="13" bestFit="1" customWidth="1"/>
    <col min="7" max="7" width="30.28515625" bestFit="1" customWidth="1"/>
    <col min="8" max="8" width="17.85546875" bestFit="1" customWidth="1"/>
    <col min="9" max="9" width="30.28515625" bestFit="1" customWidth="1"/>
    <col min="10" max="10" width="37.28515625" bestFit="1" customWidth="1"/>
    <col min="11" max="11" width="28.7109375" bestFit="1" customWidth="1"/>
    <col min="12" max="12" width="20.28515625" bestFit="1" customWidth="1"/>
    <col min="13" max="13" width="29.28515625" bestFit="1" customWidth="1"/>
  </cols>
  <sheetData>
    <row r="1" spans="1:13" s="12" customFormat="1">
      <c r="A1" s="34" t="s">
        <v>403</v>
      </c>
      <c r="B1" s="48" t="s">
        <v>1</v>
      </c>
      <c r="C1" s="47" t="s">
        <v>0</v>
      </c>
      <c r="D1" s="49" t="s">
        <v>6</v>
      </c>
      <c r="E1" s="49" t="s">
        <v>7</v>
      </c>
      <c r="F1" s="49" t="s">
        <v>8</v>
      </c>
      <c r="G1" s="1" t="s">
        <v>2</v>
      </c>
      <c r="H1" s="1" t="s">
        <v>3</v>
      </c>
      <c r="I1" s="1" t="s">
        <v>4</v>
      </c>
      <c r="J1" s="48" t="s">
        <v>5</v>
      </c>
      <c r="K1" s="38" t="s">
        <v>1132</v>
      </c>
      <c r="L1" s="39" t="s">
        <v>1323</v>
      </c>
      <c r="M1" s="39" t="s">
        <v>1129</v>
      </c>
    </row>
    <row r="2" spans="1:13">
      <c r="C2" s="20" t="s">
        <v>120</v>
      </c>
      <c r="K2" s="40"/>
      <c r="L2" s="40"/>
      <c r="M2" s="40"/>
    </row>
    <row r="3" spans="1:13">
      <c r="A3" s="4" t="s">
        <v>1169</v>
      </c>
      <c r="B3" s="21" t="s">
        <v>10</v>
      </c>
      <c r="C3" s="21" t="s">
        <v>9</v>
      </c>
      <c r="D3" s="13">
        <v>4</v>
      </c>
      <c r="E3" s="13">
        <v>3.5200000000000005</v>
      </c>
      <c r="F3" s="13">
        <f t="shared" ref="F3:F8" si="0">D3-E3</f>
        <v>0.47999999999999954</v>
      </c>
      <c r="G3" s="21" t="s">
        <v>516</v>
      </c>
      <c r="H3" s="21" t="s">
        <v>11</v>
      </c>
      <c r="I3" s="21" t="s">
        <v>12</v>
      </c>
      <c r="J3" s="21" t="s">
        <v>13</v>
      </c>
      <c r="K3" s="40">
        <v>0.13</v>
      </c>
      <c r="L3" s="40"/>
      <c r="M3" s="40"/>
    </row>
    <row r="4" spans="1:13">
      <c r="A4" s="4" t="s">
        <v>1170</v>
      </c>
      <c r="B4" s="21" t="s">
        <v>15</v>
      </c>
      <c r="C4" s="21" t="s">
        <v>14</v>
      </c>
      <c r="D4" s="13">
        <v>8</v>
      </c>
      <c r="E4" s="13">
        <v>7.0400000000000009</v>
      </c>
      <c r="F4" s="13">
        <f t="shared" si="0"/>
        <v>0.95999999999999908</v>
      </c>
      <c r="G4" s="21" t="s">
        <v>516</v>
      </c>
      <c r="H4" s="21" t="s">
        <v>11</v>
      </c>
      <c r="I4" s="21" t="s">
        <v>12</v>
      </c>
      <c r="J4" s="21" t="s">
        <v>13</v>
      </c>
      <c r="K4" s="40">
        <v>0.26</v>
      </c>
      <c r="L4" s="40"/>
      <c r="M4" s="40"/>
    </row>
    <row r="5" spans="1:13">
      <c r="A5" s="4" t="s">
        <v>1171</v>
      </c>
      <c r="B5" s="21" t="s">
        <v>16</v>
      </c>
      <c r="C5" s="21" t="s">
        <v>593</v>
      </c>
      <c r="D5" s="13">
        <v>3</v>
      </c>
      <c r="E5" s="13">
        <v>2.6399999999999997</v>
      </c>
      <c r="F5" s="13">
        <f t="shared" si="0"/>
        <v>0.36000000000000032</v>
      </c>
      <c r="G5" s="21" t="s">
        <v>516</v>
      </c>
      <c r="H5" s="21" t="s">
        <v>11</v>
      </c>
      <c r="I5" s="21" t="s">
        <v>12</v>
      </c>
      <c r="J5" s="21" t="s">
        <v>13</v>
      </c>
      <c r="K5" s="40">
        <v>0.1</v>
      </c>
      <c r="L5" s="40"/>
      <c r="M5" s="40"/>
    </row>
    <row r="6" spans="1:13">
      <c r="A6" s="27"/>
      <c r="B6" s="21" t="s">
        <v>18</v>
      </c>
      <c r="C6" s="21" t="s">
        <v>17</v>
      </c>
      <c r="D6" s="13">
        <v>3</v>
      </c>
      <c r="E6" s="13">
        <v>2.6399999999999997</v>
      </c>
      <c r="F6" s="13">
        <f t="shared" si="0"/>
        <v>0.36000000000000032</v>
      </c>
      <c r="G6" s="21" t="s">
        <v>516</v>
      </c>
      <c r="H6" s="21" t="s">
        <v>11</v>
      </c>
      <c r="I6" s="21" t="s">
        <v>19</v>
      </c>
      <c r="J6" s="21" t="s">
        <v>13</v>
      </c>
      <c r="K6" s="40">
        <v>0.1</v>
      </c>
      <c r="L6" s="40"/>
      <c r="M6" s="40"/>
    </row>
    <row r="7" spans="1:13">
      <c r="A7" s="4" t="s">
        <v>1172</v>
      </c>
      <c r="B7" s="21"/>
      <c r="C7" s="21" t="s">
        <v>20</v>
      </c>
      <c r="D7" s="13">
        <v>2</v>
      </c>
      <c r="E7" s="13">
        <v>1.7600000000000002</v>
      </c>
      <c r="F7" s="13">
        <f t="shared" si="0"/>
        <v>0.23999999999999977</v>
      </c>
      <c r="G7" s="21" t="s">
        <v>516</v>
      </c>
      <c r="H7" s="21" t="s">
        <v>11</v>
      </c>
      <c r="I7" s="21" t="s">
        <v>12</v>
      </c>
      <c r="J7" s="21" t="s">
        <v>13</v>
      </c>
      <c r="K7" s="40">
        <v>0.06</v>
      </c>
      <c r="L7" s="40"/>
      <c r="M7" s="40"/>
    </row>
    <row r="8" spans="1:13">
      <c r="A8" s="4" t="s">
        <v>1173</v>
      </c>
      <c r="B8" s="21" t="s">
        <v>22</v>
      </c>
      <c r="C8" s="21" t="s">
        <v>21</v>
      </c>
      <c r="D8" s="13">
        <v>1</v>
      </c>
      <c r="E8" s="13">
        <v>0.88000000000000012</v>
      </c>
      <c r="F8" s="13">
        <f t="shared" si="0"/>
        <v>0.11999999999999988</v>
      </c>
      <c r="G8" s="21" t="s">
        <v>516</v>
      </c>
      <c r="H8" s="21" t="s">
        <v>11</v>
      </c>
      <c r="I8" s="21" t="s">
        <v>12</v>
      </c>
      <c r="J8" s="21" t="s">
        <v>13</v>
      </c>
      <c r="K8" s="40">
        <v>0.03</v>
      </c>
      <c r="L8" s="40"/>
      <c r="M8" s="40"/>
    </row>
    <row r="9" spans="1:13">
      <c r="B9" s="21"/>
      <c r="G9" s="21"/>
      <c r="H9" s="21"/>
      <c r="I9" s="21"/>
      <c r="J9" s="21"/>
      <c r="K9" s="40"/>
      <c r="L9" s="40"/>
      <c r="M9" s="40"/>
    </row>
    <row r="10" spans="1:13">
      <c r="A10" s="4" t="s">
        <v>1174</v>
      </c>
      <c r="B10" s="21" t="s">
        <v>23</v>
      </c>
      <c r="C10" s="21" t="s">
        <v>1076</v>
      </c>
      <c r="D10" s="13">
        <v>8.25</v>
      </c>
      <c r="E10" s="13">
        <v>7.26</v>
      </c>
      <c r="F10" s="13">
        <f>D10-E10</f>
        <v>0.99000000000000021</v>
      </c>
      <c r="G10" s="21" t="s">
        <v>516</v>
      </c>
      <c r="H10" s="21" t="s">
        <v>11</v>
      </c>
      <c r="I10" s="21" t="s">
        <v>12</v>
      </c>
      <c r="J10" s="21" t="s">
        <v>13</v>
      </c>
      <c r="K10" s="40">
        <v>0.26</v>
      </c>
      <c r="L10" s="40"/>
      <c r="M10" s="40"/>
    </row>
    <row r="11" spans="1:13">
      <c r="A11" s="4" t="s">
        <v>1175</v>
      </c>
      <c r="B11" s="21" t="s">
        <v>24</v>
      </c>
      <c r="C11" s="21" t="s">
        <v>1077</v>
      </c>
      <c r="D11" s="13">
        <v>6</v>
      </c>
      <c r="E11" s="13">
        <v>5.28</v>
      </c>
      <c r="F11" s="13">
        <f>D11-E11</f>
        <v>0.71999999999999975</v>
      </c>
      <c r="G11" s="21" t="s">
        <v>516</v>
      </c>
      <c r="H11" s="21" t="s">
        <v>11</v>
      </c>
      <c r="I11" s="21" t="s">
        <v>12</v>
      </c>
      <c r="J11" s="21" t="s">
        <v>13</v>
      </c>
      <c r="K11" s="40">
        <v>0.19</v>
      </c>
      <c r="L11" s="40"/>
      <c r="M11" s="40"/>
    </row>
    <row r="12" spans="1:13">
      <c r="A12" s="27" t="s">
        <v>1176</v>
      </c>
      <c r="B12" s="21" t="s">
        <v>25</v>
      </c>
      <c r="C12" s="21" t="s">
        <v>1078</v>
      </c>
      <c r="D12" s="13">
        <v>12.5</v>
      </c>
      <c r="E12" s="13">
        <v>11</v>
      </c>
      <c r="F12" s="13">
        <f>D12-E12</f>
        <v>1.5</v>
      </c>
      <c r="G12" s="21" t="s">
        <v>516</v>
      </c>
      <c r="H12" s="21" t="s">
        <v>11</v>
      </c>
      <c r="I12" s="21" t="s">
        <v>12</v>
      </c>
      <c r="J12" s="21" t="s">
        <v>13</v>
      </c>
      <c r="K12" s="40">
        <v>0.32</v>
      </c>
      <c r="L12" s="40"/>
      <c r="M12" s="40"/>
    </row>
    <row r="13" spans="1:13">
      <c r="A13" s="27"/>
      <c r="B13" s="21" t="s">
        <v>26</v>
      </c>
      <c r="C13" s="21" t="s">
        <v>1079</v>
      </c>
      <c r="D13" s="13">
        <v>0</v>
      </c>
      <c r="E13" s="13">
        <v>0</v>
      </c>
      <c r="F13" s="13">
        <v>0</v>
      </c>
      <c r="G13" s="21" t="s">
        <v>516</v>
      </c>
      <c r="H13" s="21" t="s">
        <v>11</v>
      </c>
      <c r="I13" s="21" t="s">
        <v>27</v>
      </c>
      <c r="J13" s="21" t="s">
        <v>13</v>
      </c>
      <c r="K13" s="40"/>
      <c r="L13" s="40"/>
      <c r="M13" s="40"/>
    </row>
    <row r="14" spans="1:13">
      <c r="B14" s="21"/>
      <c r="G14" s="21"/>
      <c r="H14" s="21"/>
      <c r="I14" s="21"/>
      <c r="J14" s="21"/>
      <c r="K14" s="40"/>
      <c r="L14" s="40"/>
      <c r="M14" s="40"/>
    </row>
    <row r="15" spans="1:13">
      <c r="A15" s="4" t="s">
        <v>1177</v>
      </c>
      <c r="B15" s="21" t="s">
        <v>1716</v>
      </c>
      <c r="C15" s="21" t="s">
        <v>592</v>
      </c>
      <c r="D15" s="13">
        <v>10</v>
      </c>
      <c r="E15" s="13">
        <v>8.8000000000000007</v>
      </c>
      <c r="F15" s="13">
        <f>D15-E15</f>
        <v>1.1999999999999993</v>
      </c>
      <c r="G15" s="21" t="s">
        <v>516</v>
      </c>
      <c r="H15" s="21" t="s">
        <v>11</v>
      </c>
      <c r="I15" s="21" t="s">
        <v>12</v>
      </c>
      <c r="J15" s="21" t="s">
        <v>13</v>
      </c>
      <c r="K15" s="40">
        <v>0.32</v>
      </c>
      <c r="L15" s="40"/>
      <c r="M15" s="40"/>
    </row>
    <row r="16" spans="1:13">
      <c r="A16" s="4"/>
      <c r="B16" s="21" t="s">
        <v>1352</v>
      </c>
      <c r="C16" s="21" t="s">
        <v>1351</v>
      </c>
      <c r="D16" s="13">
        <v>10</v>
      </c>
      <c r="E16" s="13">
        <v>8.8000000000000007</v>
      </c>
      <c r="F16" s="13">
        <f>D16-E16</f>
        <v>1.1999999999999993</v>
      </c>
      <c r="G16" s="21" t="s">
        <v>516</v>
      </c>
      <c r="H16" s="21" t="s">
        <v>11</v>
      </c>
      <c r="I16" s="21" t="s">
        <v>12</v>
      </c>
      <c r="J16" s="21" t="s">
        <v>13</v>
      </c>
      <c r="K16" s="40">
        <v>0.32</v>
      </c>
      <c r="L16" s="40"/>
      <c r="M16" s="40"/>
    </row>
    <row r="17" spans="1:13">
      <c r="A17" s="4" t="s">
        <v>1178</v>
      </c>
      <c r="B17" s="21" t="s">
        <v>28</v>
      </c>
      <c r="C17" s="21" t="s">
        <v>594</v>
      </c>
      <c r="D17" s="13">
        <v>23</v>
      </c>
      <c r="E17" s="13">
        <v>20.239999999999998</v>
      </c>
      <c r="F17" s="13">
        <f>D17-E17</f>
        <v>2.7600000000000016</v>
      </c>
      <c r="G17" s="21" t="s">
        <v>516</v>
      </c>
      <c r="H17" s="21" t="s">
        <v>11</v>
      </c>
      <c r="I17" s="21" t="s">
        <v>12</v>
      </c>
      <c r="J17" s="21" t="s">
        <v>13</v>
      </c>
      <c r="K17" s="40">
        <v>0.74</v>
      </c>
      <c r="L17" s="40"/>
      <c r="M17" s="40"/>
    </row>
    <row r="18" spans="1:13">
      <c r="A18" s="27"/>
      <c r="B18" s="21" t="s">
        <v>29</v>
      </c>
      <c r="C18" s="21" t="s">
        <v>882</v>
      </c>
      <c r="D18" s="13">
        <v>0</v>
      </c>
      <c r="E18" s="13">
        <v>0</v>
      </c>
      <c r="F18" s="13">
        <v>0</v>
      </c>
      <c r="G18" s="21" t="s">
        <v>516</v>
      </c>
      <c r="H18" s="21" t="s">
        <v>11</v>
      </c>
      <c r="I18" s="21" t="s">
        <v>27</v>
      </c>
      <c r="J18" s="21" t="s">
        <v>13</v>
      </c>
      <c r="K18" s="40"/>
      <c r="L18" s="40"/>
      <c r="M18" s="40"/>
    </row>
    <row r="19" spans="1:13">
      <c r="A19" s="27" t="s">
        <v>1179</v>
      </c>
      <c r="B19" s="21" t="s">
        <v>30</v>
      </c>
      <c r="C19" s="21" t="s">
        <v>781</v>
      </c>
      <c r="D19" s="13">
        <v>38</v>
      </c>
      <c r="E19" s="13">
        <v>33.44</v>
      </c>
      <c r="F19" s="13">
        <f>D19-E19</f>
        <v>4.5600000000000023</v>
      </c>
      <c r="G19" s="21" t="s">
        <v>516</v>
      </c>
      <c r="H19" s="21" t="s">
        <v>11</v>
      </c>
      <c r="I19" s="21" t="s">
        <v>12</v>
      </c>
      <c r="J19" s="21" t="s">
        <v>13</v>
      </c>
      <c r="K19" s="40">
        <v>1.22</v>
      </c>
      <c r="L19" s="40"/>
      <c r="M19" s="40"/>
    </row>
    <row r="20" spans="1:13">
      <c r="A20" s="27" t="s">
        <v>464</v>
      </c>
      <c r="B20" s="21" t="s">
        <v>31</v>
      </c>
      <c r="C20" s="21" t="s">
        <v>782</v>
      </c>
      <c r="D20" s="13">
        <v>0</v>
      </c>
      <c r="E20" s="13">
        <v>0</v>
      </c>
      <c r="F20" s="13">
        <v>0</v>
      </c>
      <c r="G20" s="21" t="s">
        <v>516</v>
      </c>
      <c r="H20" s="21" t="s">
        <v>11</v>
      </c>
      <c r="I20" s="21" t="s">
        <v>27</v>
      </c>
      <c r="J20" s="21" t="s">
        <v>13</v>
      </c>
      <c r="K20" s="40"/>
      <c r="L20" s="40"/>
      <c r="M20" s="40"/>
    </row>
    <row r="21" spans="1:13">
      <c r="A21" s="4" t="s">
        <v>1180</v>
      </c>
      <c r="B21" s="21" t="s">
        <v>32</v>
      </c>
      <c r="C21" s="21" t="s">
        <v>595</v>
      </c>
      <c r="D21" s="13">
        <v>38</v>
      </c>
      <c r="E21" s="13">
        <v>33.44</v>
      </c>
      <c r="F21" s="13">
        <f>D21-E21</f>
        <v>4.5600000000000023</v>
      </c>
      <c r="G21" s="21" t="s">
        <v>516</v>
      </c>
      <c r="H21" s="21" t="s">
        <v>11</v>
      </c>
      <c r="I21" s="21" t="s">
        <v>12</v>
      </c>
      <c r="J21" s="21" t="s">
        <v>13</v>
      </c>
      <c r="K21" s="40">
        <v>1.22</v>
      </c>
      <c r="L21" s="40"/>
      <c r="M21" s="40"/>
    </row>
    <row r="22" spans="1:13">
      <c r="B22" s="21" t="s">
        <v>33</v>
      </c>
      <c r="C22" s="21" t="s">
        <v>783</v>
      </c>
      <c r="D22" s="13">
        <v>0</v>
      </c>
      <c r="E22" s="13">
        <v>0</v>
      </c>
      <c r="F22" s="13">
        <v>0</v>
      </c>
      <c r="G22" s="21" t="s">
        <v>516</v>
      </c>
      <c r="H22" s="21" t="s">
        <v>11</v>
      </c>
      <c r="I22" s="21" t="s">
        <v>27</v>
      </c>
      <c r="J22" s="21" t="s">
        <v>13</v>
      </c>
      <c r="K22" s="40"/>
      <c r="L22" s="40"/>
      <c r="M22" s="40"/>
    </row>
    <row r="23" spans="1:13">
      <c r="A23" s="4" t="s">
        <v>1181</v>
      </c>
      <c r="B23" s="21" t="s">
        <v>35</v>
      </c>
      <c r="C23" s="21" t="s">
        <v>34</v>
      </c>
      <c r="D23" s="13">
        <v>0.2</v>
      </c>
      <c r="E23" s="13">
        <v>0.17599999999999999</v>
      </c>
      <c r="F23" s="13">
        <f>D23-E23</f>
        <v>2.4000000000000021E-2</v>
      </c>
      <c r="G23" s="21" t="s">
        <v>516</v>
      </c>
      <c r="H23" s="21" t="s">
        <v>11</v>
      </c>
      <c r="I23" s="21" t="s">
        <v>19</v>
      </c>
      <c r="J23" s="21" t="s">
        <v>13</v>
      </c>
      <c r="K23" s="40">
        <v>0.01</v>
      </c>
      <c r="L23" s="40"/>
      <c r="M23" s="40"/>
    </row>
    <row r="24" spans="1:13">
      <c r="A24" s="4" t="s">
        <v>1182</v>
      </c>
      <c r="B24" s="21" t="s">
        <v>36</v>
      </c>
      <c r="C24" s="21" t="s">
        <v>1102</v>
      </c>
      <c r="D24" s="13">
        <v>4</v>
      </c>
      <c r="E24" s="13">
        <v>3.52</v>
      </c>
      <c r="F24" s="13">
        <f>D24-E24</f>
        <v>0.48</v>
      </c>
      <c r="G24" s="21" t="s">
        <v>516</v>
      </c>
      <c r="H24" s="21" t="s">
        <v>11</v>
      </c>
      <c r="I24" s="21" t="s">
        <v>12</v>
      </c>
      <c r="J24" s="21" t="s">
        <v>13</v>
      </c>
      <c r="K24" s="40">
        <v>0.26</v>
      </c>
      <c r="L24" s="40"/>
      <c r="M24" s="40"/>
    </row>
    <row r="25" spans="1:13">
      <c r="A25" s="4" t="s">
        <v>1183</v>
      </c>
      <c r="B25" s="21" t="s">
        <v>37</v>
      </c>
      <c r="C25" s="21" t="s">
        <v>1080</v>
      </c>
      <c r="D25" s="13">
        <v>12</v>
      </c>
      <c r="E25" s="13">
        <v>10.559999999999999</v>
      </c>
      <c r="F25" s="13">
        <f>D25-E25</f>
        <v>1.4400000000000013</v>
      </c>
      <c r="G25" s="21" t="s">
        <v>516</v>
      </c>
      <c r="H25" s="21" t="s">
        <v>11</v>
      </c>
      <c r="I25" s="21" t="s">
        <v>12</v>
      </c>
      <c r="J25" s="21" t="s">
        <v>13</v>
      </c>
      <c r="K25" s="40">
        <v>0.38</v>
      </c>
      <c r="L25" s="40"/>
      <c r="M25" s="40"/>
    </row>
    <row r="26" spans="1:13">
      <c r="A26" s="4" t="s">
        <v>1184</v>
      </c>
      <c r="B26" s="21" t="s">
        <v>468</v>
      </c>
      <c r="C26" s="21" t="s">
        <v>467</v>
      </c>
      <c r="D26" s="13">
        <v>3</v>
      </c>
      <c r="E26" s="13">
        <v>2.64</v>
      </c>
      <c r="F26" s="13">
        <f>D26-E26</f>
        <v>0.35999999999999988</v>
      </c>
      <c r="G26" s="21" t="s">
        <v>516</v>
      </c>
      <c r="H26" s="21" t="s">
        <v>11</v>
      </c>
      <c r="I26" s="21" t="s">
        <v>19</v>
      </c>
      <c r="J26" s="21" t="s">
        <v>13</v>
      </c>
      <c r="K26" s="40">
        <v>0.1</v>
      </c>
      <c r="L26" s="40"/>
      <c r="M26" s="40"/>
    </row>
    <row r="27" spans="1:13">
      <c r="A27" s="27"/>
      <c r="B27" s="21"/>
      <c r="G27" s="21"/>
      <c r="H27" s="21"/>
      <c r="I27" s="21"/>
      <c r="J27" s="21"/>
      <c r="K27" s="40"/>
      <c r="L27" s="40"/>
      <c r="M27" s="40"/>
    </row>
    <row r="28" spans="1:13">
      <c r="A28" s="27"/>
      <c r="B28" s="21" t="s">
        <v>1075</v>
      </c>
      <c r="C28" s="21" t="s">
        <v>1074</v>
      </c>
      <c r="D28" s="13">
        <v>36</v>
      </c>
      <c r="E28" s="13">
        <v>31.68</v>
      </c>
      <c r="F28" s="13">
        <f t="shared" ref="F28:F33" si="1">D28-E28</f>
        <v>4.32</v>
      </c>
      <c r="G28" s="21" t="s">
        <v>516</v>
      </c>
      <c r="H28" s="21" t="s">
        <v>11</v>
      </c>
      <c r="I28" s="21" t="s">
        <v>12</v>
      </c>
      <c r="J28" s="21" t="s">
        <v>13</v>
      </c>
      <c r="K28" s="40">
        <v>1.1499999999999999</v>
      </c>
      <c r="L28" s="40"/>
      <c r="M28" s="40"/>
    </row>
    <row r="29" spans="1:13">
      <c r="A29" s="27"/>
      <c r="B29" s="21" t="s">
        <v>542</v>
      </c>
      <c r="C29" s="21" t="s">
        <v>785</v>
      </c>
      <c r="D29" s="13">
        <v>12</v>
      </c>
      <c r="E29" s="13">
        <v>10.56</v>
      </c>
      <c r="F29" s="13">
        <f t="shared" si="1"/>
        <v>1.4399999999999995</v>
      </c>
      <c r="G29" s="21" t="s">
        <v>516</v>
      </c>
      <c r="H29" s="21" t="s">
        <v>11</v>
      </c>
      <c r="I29" s="21" t="s">
        <v>19</v>
      </c>
      <c r="J29" s="21" t="s">
        <v>13</v>
      </c>
      <c r="K29" s="40">
        <v>0.38</v>
      </c>
      <c r="L29" s="40"/>
      <c r="M29" s="40"/>
    </row>
    <row r="30" spans="1:13">
      <c r="A30" s="4" t="s">
        <v>1185</v>
      </c>
      <c r="B30" s="21" t="s">
        <v>544</v>
      </c>
      <c r="C30" s="21" t="s">
        <v>780</v>
      </c>
      <c r="D30" s="13">
        <v>12</v>
      </c>
      <c r="E30" s="13">
        <v>10.56</v>
      </c>
      <c r="F30" s="13">
        <f t="shared" si="1"/>
        <v>1.4399999999999995</v>
      </c>
      <c r="G30" s="21" t="s">
        <v>516</v>
      </c>
      <c r="H30" s="21" t="s">
        <v>11</v>
      </c>
      <c r="I30" s="21" t="s">
        <v>19</v>
      </c>
      <c r="J30" s="21" t="s">
        <v>13</v>
      </c>
      <c r="K30" s="40">
        <v>0.39</v>
      </c>
      <c r="L30" s="40"/>
      <c r="M30" s="40"/>
    </row>
    <row r="31" spans="1:13">
      <c r="A31" s="27" t="s">
        <v>1186</v>
      </c>
      <c r="B31" s="21" t="s">
        <v>1022</v>
      </c>
      <c r="C31" s="51" t="s">
        <v>1344</v>
      </c>
      <c r="D31" s="13">
        <v>5.2</v>
      </c>
      <c r="E31" s="13">
        <v>4.62</v>
      </c>
      <c r="F31" s="13">
        <f t="shared" si="1"/>
        <v>0.58000000000000007</v>
      </c>
      <c r="G31" s="21" t="s">
        <v>516</v>
      </c>
      <c r="H31" s="21" t="s">
        <v>11</v>
      </c>
      <c r="I31" s="21" t="s">
        <v>12</v>
      </c>
      <c r="J31" s="21" t="s">
        <v>13</v>
      </c>
      <c r="K31" s="40">
        <v>0.17</v>
      </c>
      <c r="L31" s="40"/>
      <c r="M31" s="40"/>
    </row>
    <row r="32" spans="1:13">
      <c r="A32" s="27"/>
      <c r="B32" s="21" t="s">
        <v>1904</v>
      </c>
      <c r="C32" s="21" t="s">
        <v>1903</v>
      </c>
      <c r="D32" s="13">
        <v>3</v>
      </c>
      <c r="E32" s="13">
        <v>2.64</v>
      </c>
      <c r="F32" s="13">
        <f t="shared" si="1"/>
        <v>0.35999999999999988</v>
      </c>
      <c r="G32" s="21" t="s">
        <v>516</v>
      </c>
      <c r="H32" s="21" t="s">
        <v>11</v>
      </c>
      <c r="I32" s="21" t="s">
        <v>12</v>
      </c>
      <c r="J32" s="21" t="s">
        <v>13</v>
      </c>
      <c r="K32" s="40">
        <v>0.11</v>
      </c>
      <c r="L32" s="40"/>
      <c r="M32" s="40"/>
    </row>
    <row r="33" spans="1:16377">
      <c r="A33" s="4" t="s">
        <v>1187</v>
      </c>
      <c r="B33" s="21" t="s">
        <v>1024</v>
      </c>
      <c r="C33" s="21" t="s">
        <v>1023</v>
      </c>
      <c r="D33" s="13">
        <v>5.2</v>
      </c>
      <c r="E33" s="13">
        <v>4.62</v>
      </c>
      <c r="F33" s="13">
        <f t="shared" si="1"/>
        <v>0.58000000000000007</v>
      </c>
      <c r="G33" s="21" t="s">
        <v>516</v>
      </c>
      <c r="H33" s="21" t="s">
        <v>11</v>
      </c>
      <c r="I33" s="21" t="s">
        <v>12</v>
      </c>
      <c r="J33" s="21" t="s">
        <v>13</v>
      </c>
      <c r="K33" s="40">
        <v>0.17</v>
      </c>
      <c r="L33" s="40"/>
      <c r="M33" s="40"/>
    </row>
    <row r="34" spans="1:16377">
      <c r="A34" s="27"/>
      <c r="B34" s="21"/>
      <c r="G34" s="21"/>
      <c r="H34" s="21"/>
      <c r="I34" s="21"/>
      <c r="J34" s="21"/>
      <c r="K34" s="40"/>
      <c r="L34" s="40"/>
      <c r="M34" s="40"/>
    </row>
    <row r="35" spans="1:16377">
      <c r="A35" s="4" t="s">
        <v>1188</v>
      </c>
      <c r="B35" s="21" t="s">
        <v>1033</v>
      </c>
      <c r="C35" s="21" t="s">
        <v>1065</v>
      </c>
      <c r="D35" s="13">
        <v>6</v>
      </c>
      <c r="E35" s="13">
        <v>5.28</v>
      </c>
      <c r="F35" s="13">
        <f t="shared" ref="F35:F37" si="2">D35-E35</f>
        <v>0.71999999999999975</v>
      </c>
      <c r="G35" s="21" t="s">
        <v>516</v>
      </c>
      <c r="H35" s="21" t="s">
        <v>11</v>
      </c>
      <c r="I35" s="21" t="s">
        <v>12</v>
      </c>
      <c r="J35" s="21" t="s">
        <v>13</v>
      </c>
      <c r="K35" s="40">
        <v>0.19</v>
      </c>
      <c r="L35" s="40"/>
      <c r="M35" s="40"/>
    </row>
    <row r="36" spans="1:16377">
      <c r="A36" s="4" t="s">
        <v>1189</v>
      </c>
      <c r="B36" s="21" t="s">
        <v>1035</v>
      </c>
      <c r="C36" s="21" t="s">
        <v>1034</v>
      </c>
      <c r="D36" s="13">
        <v>7</v>
      </c>
      <c r="E36" s="13">
        <v>6.16</v>
      </c>
      <c r="F36" s="13">
        <f t="shared" si="2"/>
        <v>0.83999999999999986</v>
      </c>
      <c r="G36" s="21" t="s">
        <v>516</v>
      </c>
      <c r="H36" s="21" t="s">
        <v>11</v>
      </c>
      <c r="I36" s="21" t="s">
        <v>12</v>
      </c>
      <c r="J36" s="21" t="s">
        <v>13</v>
      </c>
      <c r="K36" s="40">
        <v>0.22</v>
      </c>
      <c r="L36" s="40"/>
      <c r="M36" s="40"/>
    </row>
    <row r="37" spans="1:16377">
      <c r="A37" s="4" t="s">
        <v>1190</v>
      </c>
      <c r="B37" s="21" t="s">
        <v>1037</v>
      </c>
      <c r="C37" s="21" t="s">
        <v>1036</v>
      </c>
      <c r="D37" s="13">
        <v>6</v>
      </c>
      <c r="E37" s="13">
        <v>5.28</v>
      </c>
      <c r="F37" s="13">
        <f t="shared" si="2"/>
        <v>0.71999999999999975</v>
      </c>
      <c r="G37" s="21" t="s">
        <v>516</v>
      </c>
      <c r="H37" s="21" t="s">
        <v>11</v>
      </c>
      <c r="I37" s="21" t="s">
        <v>12</v>
      </c>
      <c r="J37" s="21" t="s">
        <v>13</v>
      </c>
      <c r="K37" s="40">
        <v>0.19</v>
      </c>
      <c r="L37" s="40"/>
      <c r="M37" s="40"/>
    </row>
    <row r="38" spans="1:16377">
      <c r="A38" s="27"/>
      <c r="B38" s="21"/>
      <c r="G38" s="21"/>
      <c r="H38" s="21"/>
      <c r="I38" s="21"/>
      <c r="J38" s="21"/>
      <c r="K38" s="40"/>
      <c r="L38" s="40"/>
      <c r="M38" s="40"/>
    </row>
    <row r="39" spans="1:16377">
      <c r="A39" s="27" t="s">
        <v>1191</v>
      </c>
      <c r="B39" s="21" t="s">
        <v>226</v>
      </c>
      <c r="C39" s="32" t="s">
        <v>1346</v>
      </c>
      <c r="D39" s="13">
        <v>2</v>
      </c>
      <c r="E39" s="13">
        <v>1.76</v>
      </c>
      <c r="F39" s="13">
        <f>D39-E39</f>
        <v>0.24</v>
      </c>
      <c r="G39" s="21" t="s">
        <v>516</v>
      </c>
      <c r="H39" s="21" t="s">
        <v>11</v>
      </c>
      <c r="I39" s="21" t="s">
        <v>19</v>
      </c>
      <c r="J39" s="21" t="s">
        <v>13</v>
      </c>
      <c r="K39" s="40">
        <v>0.06</v>
      </c>
      <c r="L39" s="40"/>
      <c r="M39" s="40"/>
    </row>
    <row r="40" spans="1:16377">
      <c r="A40" s="27"/>
      <c r="B40" s="21" t="s">
        <v>38</v>
      </c>
      <c r="C40" s="32" t="s">
        <v>1347</v>
      </c>
      <c r="D40" s="13">
        <v>5</v>
      </c>
      <c r="E40" s="13">
        <v>4.4000000000000004</v>
      </c>
      <c r="F40" s="13">
        <f>D40-E40</f>
        <v>0.59999999999999964</v>
      </c>
      <c r="G40" s="21" t="s">
        <v>516</v>
      </c>
      <c r="H40" s="21" t="s">
        <v>11</v>
      </c>
      <c r="I40" s="21" t="s">
        <v>19</v>
      </c>
      <c r="J40" s="21" t="s">
        <v>13</v>
      </c>
      <c r="K40" s="40">
        <v>0.16</v>
      </c>
      <c r="L40" s="40"/>
      <c r="M40" s="40"/>
    </row>
    <row r="41" spans="1:16377" s="29" customFormat="1">
      <c r="A41" s="27" t="s">
        <v>1192</v>
      </c>
      <c r="B41" s="21" t="s">
        <v>211</v>
      </c>
      <c r="C41" s="21" t="s">
        <v>202</v>
      </c>
      <c r="D41" s="13">
        <v>100</v>
      </c>
      <c r="E41" s="13">
        <v>88</v>
      </c>
      <c r="F41" s="13">
        <f>D41-E41</f>
        <v>12</v>
      </c>
      <c r="G41" s="21" t="s">
        <v>516</v>
      </c>
      <c r="H41" s="21" t="s">
        <v>11</v>
      </c>
      <c r="I41" s="21" t="s">
        <v>19</v>
      </c>
      <c r="J41" s="21" t="s">
        <v>13</v>
      </c>
      <c r="K41" s="40">
        <v>3.2</v>
      </c>
      <c r="L41" s="40"/>
      <c r="M41" s="40"/>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row>
    <row r="42" spans="1:16377">
      <c r="A42" s="27"/>
      <c r="B42" s="21"/>
      <c r="G42" s="21"/>
      <c r="H42" s="21"/>
      <c r="I42" s="21"/>
      <c r="J42" s="21"/>
      <c r="K42" s="40"/>
      <c r="L42" s="40"/>
      <c r="M42" s="40"/>
    </row>
    <row r="43" spans="1:16377" s="29" customFormat="1">
      <c r="A43" s="4" t="s">
        <v>1193</v>
      </c>
      <c r="B43" s="21" t="s">
        <v>560</v>
      </c>
      <c r="C43" s="21" t="s">
        <v>858</v>
      </c>
      <c r="D43" s="13">
        <v>40</v>
      </c>
      <c r="E43" s="13">
        <v>33</v>
      </c>
      <c r="F43" s="13">
        <f>D43-E43</f>
        <v>7</v>
      </c>
      <c r="G43" s="21" t="s">
        <v>516</v>
      </c>
      <c r="H43" s="21" t="s">
        <v>11</v>
      </c>
      <c r="I43" s="21" t="s">
        <v>12</v>
      </c>
      <c r="J43" s="21" t="s">
        <v>13</v>
      </c>
      <c r="K43" s="40">
        <v>1.2</v>
      </c>
      <c r="L43" s="40"/>
      <c r="M43" s="40"/>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1"/>
      <c r="CF43" s="21"/>
      <c r="CG43" s="21"/>
      <c r="CH43" s="21"/>
      <c r="CI43" s="21"/>
      <c r="CJ43" s="21"/>
      <c r="CK43" s="21"/>
      <c r="CL43" s="21"/>
      <c r="CM43" s="21"/>
      <c r="CN43" s="21"/>
      <c r="CO43" s="21"/>
      <c r="CP43" s="21"/>
      <c r="CQ43" s="21"/>
      <c r="CR43" s="21"/>
      <c r="CS43" s="21"/>
      <c r="CT43" s="21"/>
      <c r="CU43" s="21"/>
      <c r="CV43" s="21"/>
      <c r="CW43" s="21"/>
      <c r="CX43" s="21"/>
      <c r="CY43" s="21"/>
      <c r="CZ43" s="21"/>
      <c r="DA43" s="21"/>
      <c r="DB43" s="21"/>
      <c r="DC43" s="21"/>
      <c r="DD43" s="21"/>
      <c r="DE43" s="21"/>
      <c r="DF43" s="21"/>
      <c r="DG43" s="21"/>
      <c r="DH43" s="21"/>
      <c r="DI43" s="21"/>
      <c r="DJ43" s="21"/>
      <c r="DK43" s="21"/>
      <c r="DL43" s="21"/>
      <c r="DM43" s="21"/>
      <c r="DN43" s="21"/>
      <c r="DO43" s="21"/>
      <c r="DP43" s="21"/>
      <c r="DQ43" s="21"/>
      <c r="DR43" s="21"/>
      <c r="DS43" s="21"/>
      <c r="DT43" s="21"/>
      <c r="DU43" s="21"/>
      <c r="DV43" s="21"/>
      <c r="DW43" s="21"/>
      <c r="DX43" s="21"/>
      <c r="DY43" s="21"/>
      <c r="DZ43" s="21"/>
      <c r="EA43" s="21"/>
      <c r="EB43" s="21"/>
      <c r="EC43" s="21"/>
      <c r="ED43" s="21"/>
      <c r="EE43" s="21"/>
      <c r="EF43" s="21"/>
      <c r="EG43" s="21"/>
      <c r="EH43" s="21"/>
      <c r="EI43" s="21"/>
      <c r="EJ43" s="21"/>
      <c r="EK43" s="21"/>
      <c r="EL43" s="21"/>
      <c r="EM43" s="21"/>
      <c r="EN43" s="21"/>
      <c r="EO43" s="21"/>
      <c r="EP43" s="21"/>
      <c r="EQ43" s="21"/>
      <c r="ER43" s="21"/>
      <c r="ES43" s="21"/>
      <c r="ET43" s="21"/>
      <c r="EU43" s="21"/>
      <c r="EV43" s="21"/>
      <c r="EW43" s="21"/>
      <c r="EX43" s="21"/>
      <c r="EY43" s="21"/>
      <c r="EZ43" s="21"/>
      <c r="FA43" s="21"/>
      <c r="FB43" s="21"/>
      <c r="FC43" s="21"/>
      <c r="FD43" s="21"/>
      <c r="FE43" s="21"/>
      <c r="FF43" s="21"/>
      <c r="FG43" s="21"/>
      <c r="FH43" s="21"/>
      <c r="FI43" s="21"/>
      <c r="FJ43" s="21"/>
      <c r="FK43" s="21"/>
      <c r="FL43" s="21"/>
      <c r="FM43" s="21"/>
      <c r="FN43" s="21"/>
      <c r="FO43" s="21"/>
      <c r="FP43" s="30"/>
      <c r="FQ43" s="30"/>
      <c r="FR43" s="30"/>
      <c r="FS43" s="30"/>
      <c r="FT43" s="30"/>
      <c r="FU43" s="30"/>
      <c r="FV43" s="30"/>
      <c r="FW43" s="30"/>
      <c r="FX43" s="30"/>
      <c r="FY43" s="30"/>
      <c r="FZ43" s="30"/>
      <c r="GA43" s="30"/>
      <c r="GB43" s="30"/>
      <c r="GC43" s="30"/>
      <c r="GD43" s="30"/>
      <c r="GE43" s="30"/>
      <c r="GF43" s="30"/>
      <c r="GG43" s="30"/>
      <c r="GH43" s="30"/>
      <c r="GI43" s="30"/>
      <c r="GJ43" s="30"/>
      <c r="GK43" s="30"/>
      <c r="GL43" s="30"/>
      <c r="GM43" s="30"/>
      <c r="GN43" s="30"/>
      <c r="GO43" s="30"/>
      <c r="GP43" s="30"/>
      <c r="GQ43" s="30"/>
      <c r="GR43" s="30"/>
      <c r="GS43" s="30"/>
      <c r="GT43" s="30"/>
      <c r="GU43" s="30"/>
      <c r="GV43" s="30"/>
      <c r="GW43" s="30"/>
      <c r="GX43" s="30"/>
      <c r="GY43" s="30"/>
      <c r="GZ43" s="30"/>
      <c r="HA43" s="30"/>
      <c r="HB43" s="30"/>
      <c r="HC43" s="30"/>
      <c r="HD43" s="30"/>
      <c r="HE43" s="30"/>
      <c r="HF43" s="30"/>
      <c r="HG43" s="30"/>
      <c r="HH43" s="30"/>
      <c r="HI43" s="30"/>
      <c r="HJ43" s="30"/>
      <c r="HK43" s="30"/>
      <c r="HL43" s="30"/>
      <c r="HM43" s="30"/>
      <c r="HN43" s="30"/>
      <c r="HO43" s="30"/>
      <c r="HP43" s="30"/>
      <c r="HQ43" s="30"/>
      <c r="HR43" s="30"/>
      <c r="HS43" s="30"/>
      <c r="HT43" s="30"/>
      <c r="HU43" s="30"/>
      <c r="HV43" s="30"/>
      <c r="HW43" s="30"/>
      <c r="HX43" s="30"/>
      <c r="HY43" s="30"/>
      <c r="HZ43" s="30"/>
      <c r="IA43" s="30"/>
      <c r="IB43" s="30"/>
      <c r="IC43" s="30"/>
      <c r="ID43" s="30"/>
      <c r="IE43" s="30"/>
      <c r="IF43" s="30"/>
      <c r="IG43" s="30"/>
      <c r="IH43" s="30"/>
      <c r="II43" s="30"/>
      <c r="IJ43" s="30"/>
      <c r="IK43" s="30"/>
      <c r="IL43" s="30"/>
      <c r="IM43" s="30"/>
      <c r="IN43" s="30"/>
      <c r="IO43" s="30"/>
      <c r="IP43" s="30"/>
      <c r="IQ43" s="30"/>
      <c r="IR43" s="30"/>
      <c r="IS43" s="30"/>
      <c r="IT43" s="30"/>
      <c r="IU43" s="30"/>
      <c r="IV43" s="30"/>
      <c r="IW43" s="30"/>
      <c r="IX43" s="30"/>
      <c r="IY43" s="30"/>
      <c r="IZ43" s="30"/>
      <c r="JA43" s="30"/>
      <c r="JB43" s="30"/>
      <c r="JC43" s="30"/>
      <c r="JD43" s="30"/>
      <c r="JE43" s="30"/>
      <c r="JF43" s="30"/>
      <c r="JG43" s="30"/>
      <c r="JH43" s="30"/>
      <c r="JI43" s="30"/>
      <c r="JJ43" s="30"/>
      <c r="JK43" s="30"/>
      <c r="JL43" s="30"/>
      <c r="JM43" s="30"/>
      <c r="JN43" s="30"/>
      <c r="JO43" s="30"/>
      <c r="JP43" s="30"/>
      <c r="JQ43" s="30"/>
      <c r="JR43" s="30"/>
      <c r="JS43" s="30"/>
      <c r="JT43" s="30"/>
      <c r="JU43" s="30"/>
      <c r="JV43" s="30"/>
      <c r="JW43" s="30"/>
      <c r="JX43" s="30"/>
      <c r="JY43" s="30"/>
      <c r="JZ43" s="30"/>
      <c r="KA43" s="30"/>
      <c r="KB43" s="30"/>
      <c r="KC43" s="30"/>
      <c r="KD43" s="30"/>
      <c r="KE43" s="30"/>
      <c r="KF43" s="30"/>
      <c r="KG43" s="30"/>
      <c r="KH43" s="30"/>
      <c r="KI43" s="30"/>
      <c r="KJ43" s="30"/>
      <c r="KK43" s="30"/>
      <c r="KL43" s="30"/>
      <c r="KM43" s="30"/>
      <c r="KN43" s="30"/>
      <c r="KO43" s="30"/>
      <c r="KP43" s="30"/>
      <c r="KQ43" s="30"/>
      <c r="KR43" s="30"/>
      <c r="KS43" s="30"/>
      <c r="KT43" s="30"/>
      <c r="KU43" s="30"/>
      <c r="KV43" s="30"/>
      <c r="KW43" s="30"/>
      <c r="KX43" s="30"/>
      <c r="KY43" s="30"/>
      <c r="KZ43" s="30"/>
      <c r="LA43" s="30"/>
      <c r="LB43" s="30"/>
      <c r="LC43" s="30"/>
      <c r="LD43" s="30"/>
      <c r="LE43" s="30"/>
      <c r="LF43" s="30"/>
      <c r="LG43" s="30"/>
      <c r="LH43" s="30"/>
      <c r="LI43" s="30"/>
      <c r="LJ43" s="30"/>
      <c r="LK43" s="30"/>
      <c r="LL43" s="30"/>
      <c r="LM43" s="30"/>
      <c r="LN43" s="30"/>
      <c r="LO43" s="30"/>
      <c r="LP43" s="30"/>
      <c r="LQ43" s="30"/>
      <c r="LR43" s="30"/>
      <c r="LS43" s="30"/>
      <c r="LT43" s="30"/>
      <c r="LU43" s="30"/>
      <c r="LV43" s="30"/>
      <c r="LW43" s="30"/>
      <c r="LX43" s="30"/>
      <c r="LY43" s="30"/>
      <c r="LZ43" s="30"/>
      <c r="MA43" s="30"/>
      <c r="MB43" s="30"/>
      <c r="MC43" s="30"/>
      <c r="MD43" s="30"/>
      <c r="ME43" s="30"/>
      <c r="MF43" s="30"/>
      <c r="MG43" s="30"/>
      <c r="MH43" s="30"/>
      <c r="MI43" s="30"/>
      <c r="MJ43" s="30"/>
      <c r="MK43" s="30"/>
      <c r="ML43" s="30"/>
      <c r="MM43" s="30"/>
      <c r="MN43" s="30"/>
      <c r="MO43" s="30"/>
      <c r="MP43" s="30"/>
      <c r="MQ43" s="30"/>
      <c r="MR43" s="30"/>
      <c r="MS43" s="30"/>
      <c r="MT43" s="30"/>
      <c r="MU43" s="30"/>
      <c r="MV43" s="30"/>
      <c r="MW43" s="30"/>
      <c r="MX43" s="30"/>
      <c r="MY43" s="30"/>
      <c r="MZ43" s="30"/>
      <c r="NA43" s="30"/>
      <c r="NB43" s="30"/>
      <c r="NC43" s="30"/>
      <c r="ND43" s="30"/>
      <c r="NE43" s="30"/>
      <c r="NF43" s="30"/>
      <c r="NG43" s="30"/>
      <c r="NH43" s="30"/>
      <c r="NI43" s="30"/>
      <c r="NJ43" s="30"/>
      <c r="NK43" s="30"/>
      <c r="NL43" s="30"/>
      <c r="NM43" s="30"/>
      <c r="NN43" s="30"/>
      <c r="NO43" s="30"/>
      <c r="NP43" s="30"/>
      <c r="NQ43" s="30"/>
      <c r="NR43" s="30"/>
      <c r="NS43" s="30"/>
      <c r="NT43" s="30"/>
      <c r="NU43" s="30"/>
      <c r="NV43" s="30"/>
      <c r="NW43" s="30"/>
      <c r="NX43" s="30"/>
      <c r="NY43" s="30"/>
      <c r="NZ43" s="30"/>
      <c r="OA43" s="30"/>
      <c r="OB43" s="30"/>
      <c r="OC43" s="30"/>
      <c r="OD43" s="30"/>
      <c r="OE43" s="30"/>
      <c r="OF43" s="30"/>
      <c r="OG43" s="30"/>
      <c r="OH43" s="30"/>
      <c r="OI43" s="30"/>
      <c r="OJ43" s="30"/>
      <c r="OK43" s="30"/>
      <c r="OL43" s="30"/>
      <c r="OM43" s="30"/>
      <c r="ON43" s="30"/>
      <c r="OO43" s="30"/>
      <c r="OP43" s="30"/>
      <c r="OQ43" s="30"/>
      <c r="OR43" s="30"/>
      <c r="OS43" s="30"/>
      <c r="OT43" s="30"/>
      <c r="OU43" s="30"/>
      <c r="OV43" s="30"/>
      <c r="OW43" s="30"/>
      <c r="OX43" s="30"/>
      <c r="OY43" s="30"/>
      <c r="OZ43" s="30"/>
      <c r="PA43" s="30"/>
      <c r="PB43" s="30"/>
      <c r="PC43" s="30"/>
      <c r="PD43" s="30"/>
      <c r="PE43" s="30"/>
      <c r="PF43" s="30"/>
      <c r="PG43" s="30"/>
      <c r="PH43" s="30"/>
      <c r="PI43" s="30"/>
      <c r="PJ43" s="30"/>
      <c r="PK43" s="30"/>
      <c r="PL43" s="30"/>
      <c r="PM43" s="30"/>
      <c r="PN43" s="30"/>
      <c r="PO43" s="30"/>
      <c r="PP43" s="30"/>
      <c r="PQ43" s="30"/>
      <c r="PR43" s="30"/>
      <c r="PS43" s="30"/>
      <c r="PT43" s="30"/>
      <c r="PU43" s="30"/>
      <c r="PV43" s="30"/>
      <c r="PW43" s="30"/>
      <c r="PX43" s="30"/>
      <c r="PY43" s="30"/>
      <c r="PZ43" s="30"/>
      <c r="QA43" s="30"/>
      <c r="QB43" s="30"/>
      <c r="QC43" s="30"/>
      <c r="QD43" s="30"/>
      <c r="QE43" s="30"/>
      <c r="QF43" s="30"/>
      <c r="QG43" s="30"/>
      <c r="QH43" s="30"/>
      <c r="QI43" s="30"/>
      <c r="QJ43" s="30"/>
      <c r="QK43" s="30"/>
      <c r="QL43" s="30"/>
      <c r="QM43" s="30"/>
      <c r="QN43" s="30"/>
      <c r="QO43" s="30"/>
      <c r="QP43" s="30"/>
      <c r="QQ43" s="30"/>
      <c r="QR43" s="30"/>
      <c r="QS43" s="30"/>
      <c r="QT43" s="30"/>
      <c r="QU43" s="30"/>
      <c r="QV43" s="30"/>
      <c r="QW43" s="30"/>
      <c r="QX43" s="30"/>
      <c r="QY43" s="30"/>
      <c r="QZ43" s="30"/>
      <c r="RA43" s="30"/>
      <c r="RB43" s="30"/>
      <c r="RC43" s="30"/>
      <c r="RD43" s="30"/>
      <c r="RE43" s="30"/>
      <c r="RF43" s="30"/>
      <c r="RG43" s="30"/>
      <c r="RH43" s="30"/>
      <c r="RI43" s="30"/>
      <c r="RJ43" s="30"/>
      <c r="RK43" s="30"/>
      <c r="RL43" s="30"/>
      <c r="RM43" s="30"/>
      <c r="RN43" s="30"/>
      <c r="RO43" s="30"/>
      <c r="RP43" s="30"/>
      <c r="RQ43" s="30"/>
      <c r="RR43" s="30"/>
      <c r="RS43" s="30"/>
      <c r="RT43" s="30"/>
      <c r="RU43" s="30"/>
      <c r="RV43" s="30"/>
      <c r="RW43" s="30"/>
      <c r="RX43" s="30"/>
      <c r="RY43" s="30"/>
      <c r="RZ43" s="30"/>
      <c r="SA43" s="30"/>
      <c r="SB43" s="30"/>
      <c r="SC43" s="30"/>
      <c r="SD43" s="30"/>
      <c r="SE43" s="30"/>
      <c r="SF43" s="30"/>
      <c r="SG43" s="30"/>
      <c r="SH43" s="30"/>
      <c r="SI43" s="30"/>
      <c r="SJ43" s="30"/>
      <c r="SK43" s="30"/>
      <c r="SL43" s="30"/>
      <c r="SM43" s="30"/>
      <c r="SN43" s="30"/>
      <c r="SO43" s="30"/>
      <c r="SP43" s="30"/>
      <c r="SQ43" s="30"/>
      <c r="SR43" s="30"/>
      <c r="SS43" s="30"/>
      <c r="ST43" s="30"/>
      <c r="SU43" s="30"/>
      <c r="SV43" s="30"/>
      <c r="SW43" s="30"/>
      <c r="SX43" s="30"/>
      <c r="SY43" s="30"/>
      <c r="SZ43" s="30"/>
      <c r="TA43" s="30"/>
      <c r="TB43" s="30"/>
      <c r="TC43" s="30"/>
      <c r="TD43" s="30"/>
      <c r="TE43" s="30"/>
      <c r="TF43" s="30"/>
      <c r="TG43" s="30"/>
      <c r="TH43" s="30"/>
      <c r="TI43" s="30"/>
      <c r="TJ43" s="30"/>
      <c r="TK43" s="30"/>
      <c r="TL43" s="30"/>
      <c r="TM43" s="30"/>
      <c r="TN43" s="30"/>
      <c r="TO43" s="30"/>
      <c r="TP43" s="30"/>
      <c r="TQ43" s="30"/>
      <c r="TR43" s="30"/>
      <c r="TS43" s="30"/>
      <c r="TT43" s="30"/>
      <c r="TU43" s="30"/>
      <c r="TV43" s="30"/>
      <c r="TW43" s="30"/>
      <c r="TX43" s="30"/>
      <c r="TY43" s="30"/>
      <c r="TZ43" s="30"/>
      <c r="UA43" s="30"/>
      <c r="UB43" s="30"/>
      <c r="UC43" s="30"/>
      <c r="UD43" s="30"/>
      <c r="UE43" s="30"/>
      <c r="UF43" s="30"/>
      <c r="UG43" s="30"/>
      <c r="UH43" s="30"/>
      <c r="UI43" s="30"/>
      <c r="UJ43" s="30"/>
      <c r="UK43" s="30"/>
      <c r="UL43" s="30"/>
      <c r="UM43" s="30"/>
      <c r="UN43" s="30"/>
      <c r="UO43" s="30"/>
      <c r="UP43" s="30"/>
      <c r="UQ43" s="30"/>
      <c r="UR43" s="30"/>
      <c r="US43" s="30"/>
      <c r="UT43" s="30"/>
      <c r="UU43" s="30"/>
      <c r="UV43" s="30"/>
      <c r="UW43" s="30"/>
      <c r="UX43" s="30"/>
      <c r="UY43" s="30"/>
      <c r="UZ43" s="30"/>
      <c r="VA43" s="30"/>
      <c r="VB43" s="30"/>
      <c r="VC43" s="30"/>
      <c r="VD43" s="30"/>
      <c r="VE43" s="30"/>
      <c r="VF43" s="30"/>
      <c r="VG43" s="30"/>
      <c r="VH43" s="30"/>
      <c r="VI43" s="30"/>
      <c r="VJ43" s="30"/>
      <c r="VK43" s="30"/>
      <c r="VL43" s="30"/>
      <c r="VM43" s="30"/>
      <c r="VN43" s="30"/>
      <c r="VO43" s="30"/>
      <c r="VP43" s="30"/>
      <c r="VQ43" s="30"/>
      <c r="VR43" s="30"/>
      <c r="VS43" s="30"/>
      <c r="VT43" s="30"/>
      <c r="VU43" s="30"/>
      <c r="VV43" s="30"/>
      <c r="VW43" s="30"/>
      <c r="VX43" s="30"/>
      <c r="VY43" s="30"/>
      <c r="VZ43" s="30"/>
      <c r="WA43" s="30"/>
      <c r="WB43" s="30"/>
      <c r="WC43" s="30"/>
      <c r="WD43" s="30"/>
      <c r="WE43" s="30"/>
      <c r="WF43" s="30"/>
      <c r="WG43" s="30"/>
      <c r="WH43" s="30"/>
      <c r="WI43" s="30"/>
      <c r="WJ43" s="30"/>
      <c r="WK43" s="30"/>
      <c r="WL43" s="30"/>
      <c r="WM43" s="30"/>
      <c r="WN43" s="30"/>
      <c r="WO43" s="30"/>
      <c r="WP43" s="30"/>
      <c r="WQ43" s="30"/>
      <c r="WR43" s="30"/>
      <c r="WS43" s="30"/>
      <c r="WT43" s="30"/>
      <c r="WU43" s="30"/>
      <c r="WV43" s="30"/>
      <c r="WW43" s="30"/>
      <c r="WX43" s="30"/>
      <c r="WY43" s="30"/>
      <c r="WZ43" s="30"/>
      <c r="XA43" s="30"/>
      <c r="XB43" s="30"/>
      <c r="XC43" s="30"/>
      <c r="XD43" s="30"/>
      <c r="XE43" s="30"/>
      <c r="XF43" s="30"/>
      <c r="XG43" s="30"/>
      <c r="XH43" s="30"/>
      <c r="XI43" s="30"/>
      <c r="XJ43" s="30"/>
      <c r="XK43" s="30"/>
      <c r="XL43" s="30"/>
      <c r="XM43" s="30"/>
      <c r="XN43" s="30"/>
      <c r="XO43" s="30"/>
      <c r="XP43" s="30"/>
      <c r="XQ43" s="30"/>
      <c r="XR43" s="30"/>
      <c r="XS43" s="30"/>
      <c r="XT43" s="30"/>
      <c r="XU43" s="30"/>
      <c r="XV43" s="30"/>
      <c r="XW43" s="30"/>
      <c r="XX43" s="30"/>
      <c r="XY43" s="30"/>
      <c r="XZ43" s="30"/>
      <c r="YA43" s="30"/>
      <c r="YB43" s="30"/>
      <c r="YC43" s="30"/>
      <c r="YD43" s="30"/>
      <c r="YE43" s="30"/>
      <c r="YF43" s="30"/>
      <c r="YG43" s="30"/>
      <c r="YH43" s="30"/>
      <c r="YI43" s="30"/>
      <c r="YJ43" s="30"/>
      <c r="YK43" s="30"/>
      <c r="YL43" s="30"/>
      <c r="YM43" s="30"/>
      <c r="YN43" s="30"/>
      <c r="YO43" s="30"/>
      <c r="YP43" s="30"/>
      <c r="YQ43" s="30"/>
      <c r="YR43" s="30"/>
      <c r="YS43" s="30"/>
      <c r="YT43" s="30"/>
      <c r="YU43" s="30"/>
      <c r="YV43" s="30"/>
      <c r="YW43" s="30"/>
      <c r="YX43" s="30"/>
      <c r="YY43" s="30"/>
      <c r="YZ43" s="30"/>
      <c r="ZA43" s="30"/>
      <c r="ZB43" s="30"/>
      <c r="ZC43" s="30"/>
      <c r="ZD43" s="30"/>
      <c r="ZE43" s="30"/>
      <c r="ZF43" s="30"/>
      <c r="ZG43" s="30"/>
      <c r="ZH43" s="30"/>
      <c r="ZI43" s="30"/>
      <c r="ZJ43" s="30"/>
      <c r="ZK43" s="30"/>
      <c r="ZL43" s="30"/>
      <c r="ZM43" s="30"/>
      <c r="ZN43" s="30"/>
      <c r="ZO43" s="30"/>
      <c r="ZP43" s="30"/>
      <c r="ZQ43" s="30"/>
      <c r="ZR43" s="30"/>
      <c r="ZS43" s="30"/>
      <c r="ZT43" s="30"/>
      <c r="ZU43" s="30"/>
      <c r="ZV43" s="30"/>
      <c r="ZW43" s="30"/>
      <c r="ZX43" s="30"/>
      <c r="ZY43" s="30"/>
      <c r="ZZ43" s="30"/>
      <c r="AAA43" s="30"/>
      <c r="AAB43" s="30"/>
      <c r="AAC43" s="30"/>
      <c r="AAD43" s="30"/>
      <c r="AAE43" s="30"/>
      <c r="AAF43" s="30"/>
      <c r="AAG43" s="30"/>
      <c r="AAH43" s="30"/>
      <c r="AAI43" s="30"/>
      <c r="AAJ43" s="30"/>
      <c r="AAK43" s="30"/>
      <c r="AAL43" s="30"/>
      <c r="AAM43" s="30"/>
      <c r="AAN43" s="30"/>
      <c r="AAO43" s="30"/>
      <c r="AAP43" s="30"/>
      <c r="AAQ43" s="30"/>
      <c r="AAR43" s="30"/>
      <c r="AAS43" s="30"/>
      <c r="AAT43" s="30"/>
      <c r="AAU43" s="30"/>
      <c r="AAV43" s="30"/>
      <c r="AAW43" s="30"/>
      <c r="AAX43" s="30"/>
      <c r="AAY43" s="30"/>
      <c r="AAZ43" s="30"/>
      <c r="ABA43" s="30"/>
      <c r="ABB43" s="30"/>
      <c r="ABC43" s="30"/>
      <c r="ABD43" s="30"/>
      <c r="ABE43" s="30"/>
      <c r="ABF43" s="30"/>
      <c r="ABG43" s="30"/>
      <c r="ABH43" s="30"/>
      <c r="ABI43" s="30"/>
      <c r="ABJ43" s="30"/>
      <c r="ABK43" s="30"/>
      <c r="ABL43" s="30"/>
      <c r="ABM43" s="30"/>
      <c r="ABN43" s="30"/>
      <c r="ABO43" s="30"/>
      <c r="ABP43" s="30"/>
      <c r="ABQ43" s="30"/>
      <c r="ABR43" s="30"/>
      <c r="ABS43" s="30"/>
      <c r="ABT43" s="30"/>
      <c r="ABU43" s="30"/>
      <c r="ABV43" s="30"/>
      <c r="ABW43" s="30"/>
      <c r="ABX43" s="30"/>
      <c r="ABY43" s="30"/>
      <c r="ABZ43" s="30"/>
      <c r="ACA43" s="30"/>
      <c r="ACB43" s="30"/>
      <c r="ACC43" s="30"/>
      <c r="ACD43" s="30"/>
      <c r="ACE43" s="30"/>
      <c r="ACF43" s="30"/>
      <c r="ACG43" s="30"/>
      <c r="ACH43" s="30"/>
      <c r="ACI43" s="30"/>
      <c r="ACJ43" s="30"/>
      <c r="ACK43" s="30"/>
      <c r="ACL43" s="30"/>
      <c r="ACM43" s="30"/>
      <c r="ACN43" s="30"/>
      <c r="ACO43" s="30"/>
      <c r="ACP43" s="30"/>
      <c r="ACQ43" s="30"/>
      <c r="ACR43" s="30"/>
      <c r="ACS43" s="30"/>
      <c r="ACT43" s="30"/>
      <c r="ACU43" s="30"/>
      <c r="ACV43" s="30"/>
      <c r="ACW43" s="30"/>
      <c r="ACX43" s="30"/>
      <c r="ACY43" s="30"/>
      <c r="ACZ43" s="30"/>
      <c r="ADA43" s="30"/>
      <c r="ADB43" s="30"/>
      <c r="ADC43" s="30"/>
      <c r="ADD43" s="30"/>
      <c r="ADE43" s="30"/>
      <c r="ADF43" s="30"/>
      <c r="ADG43" s="30"/>
      <c r="ADH43" s="30"/>
      <c r="ADI43" s="30"/>
      <c r="ADJ43" s="30"/>
      <c r="ADK43" s="30"/>
      <c r="ADL43" s="30"/>
      <c r="ADM43" s="30"/>
      <c r="ADN43" s="30"/>
      <c r="ADO43" s="30"/>
      <c r="ADP43" s="30"/>
      <c r="ADQ43" s="30"/>
      <c r="ADR43" s="30"/>
      <c r="ADS43" s="30"/>
      <c r="ADT43" s="30"/>
      <c r="ADU43" s="30"/>
      <c r="ADV43" s="30"/>
      <c r="ADW43" s="30"/>
      <c r="ADX43" s="30"/>
      <c r="ADY43" s="30"/>
      <c r="ADZ43" s="30"/>
      <c r="AEA43" s="30"/>
      <c r="AEB43" s="30"/>
      <c r="AEC43" s="30"/>
      <c r="AED43" s="30"/>
      <c r="AEE43" s="30"/>
      <c r="AEF43" s="30"/>
      <c r="AEG43" s="30"/>
      <c r="AEH43" s="30"/>
      <c r="AEI43" s="30"/>
      <c r="AEJ43" s="30"/>
      <c r="AEK43" s="30"/>
      <c r="AEL43" s="30"/>
      <c r="AEM43" s="30"/>
      <c r="AEN43" s="30"/>
      <c r="AEO43" s="30"/>
      <c r="AEP43" s="30"/>
      <c r="AEQ43" s="30"/>
      <c r="AER43" s="30"/>
      <c r="AES43" s="30"/>
      <c r="AET43" s="30"/>
      <c r="AEU43" s="30"/>
      <c r="AEV43" s="30"/>
      <c r="AEW43" s="30"/>
      <c r="AEX43" s="30"/>
      <c r="AEY43" s="30"/>
      <c r="AEZ43" s="30"/>
      <c r="AFA43" s="30"/>
      <c r="AFB43" s="30"/>
      <c r="AFC43" s="30"/>
      <c r="AFD43" s="30"/>
      <c r="AFE43" s="30"/>
      <c r="AFF43" s="30"/>
      <c r="AFG43" s="30"/>
      <c r="AFH43" s="30"/>
      <c r="AFI43" s="30"/>
      <c r="AFJ43" s="30"/>
      <c r="AFK43" s="30"/>
      <c r="AFL43" s="30"/>
      <c r="AFM43" s="30"/>
      <c r="AFN43" s="30"/>
      <c r="AFO43" s="30"/>
      <c r="AFP43" s="30"/>
      <c r="AFQ43" s="30"/>
      <c r="AFR43" s="30"/>
      <c r="AFS43" s="30"/>
      <c r="AFT43" s="30"/>
      <c r="AFU43" s="30"/>
      <c r="AFV43" s="30"/>
      <c r="AFW43" s="30"/>
      <c r="AFX43" s="30"/>
      <c r="AFY43" s="30"/>
      <c r="AFZ43" s="30"/>
      <c r="AGA43" s="30"/>
      <c r="AGB43" s="30"/>
      <c r="AGC43" s="30"/>
      <c r="AGD43" s="30"/>
      <c r="AGE43" s="30"/>
      <c r="AGF43" s="30"/>
      <c r="AGG43" s="30"/>
      <c r="AGH43" s="30"/>
      <c r="AGI43" s="30"/>
      <c r="AGJ43" s="30"/>
      <c r="AGK43" s="30"/>
      <c r="AGL43" s="30"/>
      <c r="AGM43" s="30"/>
      <c r="AGN43" s="30"/>
      <c r="AGO43" s="30"/>
      <c r="AGP43" s="30"/>
      <c r="AGQ43" s="30"/>
      <c r="AGR43" s="30"/>
      <c r="AGS43" s="30"/>
      <c r="AGT43" s="30"/>
      <c r="AGU43" s="30"/>
      <c r="AGV43" s="30"/>
      <c r="AGW43" s="30"/>
      <c r="AGX43" s="30"/>
      <c r="AGY43" s="30"/>
      <c r="AGZ43" s="30"/>
      <c r="AHA43" s="30"/>
      <c r="AHB43" s="30"/>
      <c r="AHC43" s="30"/>
      <c r="AHD43" s="30"/>
      <c r="AHE43" s="30"/>
      <c r="AHF43" s="30"/>
      <c r="AHG43" s="30"/>
      <c r="AHH43" s="30"/>
      <c r="AHI43" s="30"/>
      <c r="AHJ43" s="30"/>
      <c r="AHK43" s="30"/>
      <c r="AHL43" s="30"/>
      <c r="AHM43" s="30"/>
      <c r="AHN43" s="30"/>
      <c r="AHO43" s="30"/>
      <c r="AHP43" s="30"/>
      <c r="AHQ43" s="30"/>
      <c r="AHR43" s="30"/>
      <c r="AHS43" s="30"/>
      <c r="AHT43" s="30"/>
      <c r="AHU43" s="30"/>
      <c r="AHV43" s="30"/>
      <c r="AHW43" s="30"/>
      <c r="AHX43" s="30"/>
      <c r="AHY43" s="30"/>
      <c r="AHZ43" s="30"/>
      <c r="AIA43" s="30"/>
      <c r="AIB43" s="30"/>
      <c r="AIC43" s="30"/>
      <c r="AID43" s="30"/>
      <c r="AIE43" s="30"/>
      <c r="AIF43" s="30"/>
      <c r="AIG43" s="30"/>
      <c r="AIH43" s="30"/>
      <c r="AII43" s="30"/>
      <c r="AIJ43" s="30"/>
      <c r="AIK43" s="30"/>
      <c r="AIL43" s="30"/>
      <c r="AIM43" s="30"/>
      <c r="AIN43" s="30"/>
      <c r="AIO43" s="30"/>
      <c r="AIP43" s="30"/>
      <c r="AIQ43" s="30"/>
      <c r="AIR43" s="30"/>
      <c r="AIS43" s="30"/>
      <c r="AIT43" s="30"/>
      <c r="AIU43" s="30"/>
      <c r="AIV43" s="30"/>
      <c r="AIW43" s="30"/>
      <c r="AIX43" s="30"/>
      <c r="AIY43" s="30"/>
      <c r="AIZ43" s="30"/>
      <c r="AJA43" s="30"/>
      <c r="AJB43" s="30"/>
      <c r="AJC43" s="30"/>
      <c r="AJD43" s="30"/>
      <c r="AJE43" s="30"/>
      <c r="AJF43" s="30"/>
      <c r="AJG43" s="30"/>
      <c r="AJH43" s="30"/>
      <c r="AJI43" s="30"/>
      <c r="AJJ43" s="30"/>
      <c r="AJK43" s="30"/>
      <c r="AJL43" s="30"/>
      <c r="AJM43" s="30"/>
      <c r="AJN43" s="30"/>
      <c r="AJO43" s="30"/>
      <c r="AJP43" s="30"/>
      <c r="AJQ43" s="30"/>
      <c r="AJR43" s="30"/>
      <c r="AJS43" s="30"/>
      <c r="AJT43" s="30"/>
      <c r="AJU43" s="30"/>
      <c r="AJV43" s="30"/>
      <c r="AJW43" s="30"/>
      <c r="AJX43" s="30"/>
      <c r="AJY43" s="30"/>
      <c r="AJZ43" s="30"/>
      <c r="AKA43" s="30"/>
      <c r="AKB43" s="30"/>
      <c r="AKC43" s="30"/>
      <c r="AKD43" s="30"/>
      <c r="AKE43" s="30"/>
      <c r="AKF43" s="30"/>
      <c r="AKG43" s="30"/>
      <c r="AKH43" s="30"/>
      <c r="AKI43" s="30"/>
      <c r="AKJ43" s="30"/>
      <c r="AKK43" s="30"/>
      <c r="AKL43" s="30"/>
      <c r="AKM43" s="30"/>
      <c r="AKN43" s="30"/>
      <c r="AKO43" s="30"/>
      <c r="AKP43" s="30"/>
      <c r="AKQ43" s="30"/>
      <c r="AKR43" s="30"/>
      <c r="AKS43" s="30"/>
      <c r="AKT43" s="30"/>
      <c r="AKU43" s="30"/>
      <c r="AKV43" s="30"/>
      <c r="AKW43" s="30"/>
      <c r="AKX43" s="30"/>
      <c r="AKY43" s="30"/>
      <c r="AKZ43" s="30"/>
      <c r="ALA43" s="30"/>
      <c r="ALB43" s="30"/>
      <c r="ALC43" s="30"/>
      <c r="ALD43" s="30"/>
      <c r="ALE43" s="30"/>
      <c r="ALF43" s="30"/>
      <c r="ALG43" s="30"/>
      <c r="ALH43" s="30"/>
      <c r="ALI43" s="30"/>
      <c r="ALJ43" s="30"/>
      <c r="ALK43" s="30"/>
      <c r="ALL43" s="30"/>
      <c r="ALM43" s="30"/>
      <c r="ALN43" s="30"/>
      <c r="ALO43" s="30"/>
      <c r="ALP43" s="30"/>
      <c r="ALQ43" s="30"/>
      <c r="ALR43" s="30"/>
      <c r="ALS43" s="30"/>
      <c r="ALT43" s="30"/>
      <c r="ALU43" s="30"/>
      <c r="ALV43" s="30"/>
      <c r="ALW43" s="30"/>
      <c r="ALX43" s="30"/>
      <c r="ALY43" s="30"/>
      <c r="ALZ43" s="30"/>
      <c r="AMA43" s="30"/>
      <c r="AMB43" s="30"/>
      <c r="AMC43" s="30"/>
      <c r="AMD43" s="30"/>
      <c r="AME43" s="30"/>
      <c r="AMF43" s="30"/>
      <c r="AMG43" s="30"/>
      <c r="AMH43" s="30"/>
      <c r="AMI43" s="30"/>
      <c r="AMJ43" s="30"/>
      <c r="AMK43" s="30"/>
      <c r="AML43" s="30"/>
      <c r="AMM43" s="30"/>
      <c r="AMN43" s="30"/>
      <c r="AMO43" s="30"/>
      <c r="AMP43" s="30"/>
      <c r="AMQ43" s="30"/>
      <c r="AMR43" s="30"/>
      <c r="AMS43" s="30"/>
      <c r="AMT43" s="30"/>
      <c r="AMU43" s="30"/>
      <c r="AMV43" s="30"/>
      <c r="AMW43" s="30"/>
      <c r="AMX43" s="30"/>
      <c r="AMY43" s="30"/>
      <c r="AMZ43" s="30"/>
      <c r="ANA43" s="30"/>
      <c r="ANB43" s="30"/>
      <c r="ANC43" s="30"/>
      <c r="AND43" s="30"/>
      <c r="ANE43" s="30"/>
      <c r="ANF43" s="30"/>
      <c r="ANG43" s="30"/>
      <c r="ANH43" s="30"/>
      <c r="ANI43" s="30"/>
      <c r="ANJ43" s="30"/>
      <c r="ANK43" s="30"/>
      <c r="ANL43" s="30"/>
      <c r="ANM43" s="30"/>
      <c r="ANN43" s="30"/>
      <c r="ANO43" s="30"/>
      <c r="ANP43" s="30"/>
      <c r="ANQ43" s="30"/>
      <c r="ANR43" s="30"/>
      <c r="ANS43" s="30"/>
      <c r="ANT43" s="30"/>
      <c r="ANU43" s="30"/>
      <c r="ANV43" s="30"/>
      <c r="ANW43" s="30"/>
      <c r="ANX43" s="30"/>
      <c r="ANY43" s="30"/>
      <c r="ANZ43" s="30"/>
      <c r="AOA43" s="30"/>
      <c r="AOB43" s="30"/>
      <c r="AOC43" s="30"/>
      <c r="AOD43" s="30"/>
      <c r="AOE43" s="30"/>
      <c r="AOF43" s="30"/>
      <c r="AOG43" s="30"/>
      <c r="AOH43" s="30"/>
      <c r="AOI43" s="30"/>
      <c r="AOJ43" s="30"/>
      <c r="AOK43" s="30"/>
      <c r="AOL43" s="30"/>
      <c r="AOM43" s="30"/>
      <c r="AON43" s="30"/>
      <c r="AOO43" s="30"/>
      <c r="AOP43" s="30"/>
      <c r="AOQ43" s="30"/>
      <c r="AOR43" s="30"/>
      <c r="AOS43" s="30"/>
      <c r="AOT43" s="30"/>
      <c r="AOU43" s="30"/>
      <c r="AOV43" s="30"/>
      <c r="AOW43" s="30"/>
      <c r="AOX43" s="30"/>
      <c r="AOY43" s="30"/>
      <c r="AOZ43" s="30"/>
      <c r="APA43" s="30"/>
      <c r="APB43" s="30"/>
      <c r="APC43" s="30"/>
      <c r="APD43" s="30"/>
      <c r="APE43" s="30"/>
      <c r="APF43" s="30"/>
      <c r="APG43" s="30"/>
      <c r="APH43" s="30"/>
      <c r="API43" s="30"/>
      <c r="APJ43" s="30"/>
      <c r="APK43" s="30"/>
      <c r="APL43" s="30"/>
      <c r="APM43" s="30"/>
      <c r="APN43" s="30"/>
      <c r="APO43" s="30"/>
      <c r="APP43" s="30"/>
      <c r="APQ43" s="30"/>
      <c r="APR43" s="30"/>
      <c r="APS43" s="30"/>
      <c r="APT43" s="30"/>
      <c r="APU43" s="30"/>
      <c r="APV43" s="30"/>
      <c r="APW43" s="30"/>
      <c r="APX43" s="30"/>
      <c r="APY43" s="30"/>
      <c r="APZ43" s="30"/>
      <c r="AQA43" s="30"/>
      <c r="AQB43" s="30"/>
      <c r="AQC43" s="30"/>
      <c r="AQD43" s="30"/>
      <c r="AQE43" s="30"/>
      <c r="AQF43" s="30"/>
      <c r="AQG43" s="30"/>
      <c r="AQH43" s="30"/>
      <c r="AQI43" s="30"/>
      <c r="AQJ43" s="30"/>
      <c r="AQK43" s="30"/>
      <c r="AQL43" s="30"/>
      <c r="AQM43" s="30"/>
      <c r="AQN43" s="30"/>
      <c r="AQO43" s="30"/>
      <c r="AQP43" s="30"/>
      <c r="AQQ43" s="30"/>
      <c r="AQR43" s="30"/>
      <c r="AQS43" s="30"/>
      <c r="AQT43" s="30"/>
      <c r="AQU43" s="30"/>
      <c r="AQV43" s="30"/>
      <c r="AQW43" s="30"/>
      <c r="AQX43" s="30"/>
      <c r="AQY43" s="30"/>
      <c r="AQZ43" s="30"/>
      <c r="ARA43" s="30"/>
      <c r="ARB43" s="30"/>
      <c r="ARC43" s="30"/>
      <c r="ARD43" s="30"/>
      <c r="ARE43" s="30"/>
      <c r="ARF43" s="30"/>
      <c r="ARG43" s="30"/>
      <c r="ARH43" s="30"/>
      <c r="ARI43" s="30"/>
      <c r="ARJ43" s="30"/>
      <c r="ARK43" s="30"/>
      <c r="ARL43" s="30"/>
      <c r="ARM43" s="30"/>
      <c r="ARN43" s="30"/>
      <c r="ARO43" s="30"/>
      <c r="ARP43" s="30"/>
      <c r="ARQ43" s="30"/>
      <c r="ARR43" s="30"/>
      <c r="ARS43" s="30"/>
      <c r="ART43" s="30"/>
      <c r="ARU43" s="30"/>
      <c r="ARV43" s="30"/>
      <c r="ARW43" s="30"/>
      <c r="ARX43" s="30"/>
      <c r="ARY43" s="30"/>
      <c r="ARZ43" s="30"/>
      <c r="ASA43" s="30"/>
      <c r="ASB43" s="30"/>
      <c r="ASC43" s="30"/>
      <c r="ASD43" s="30"/>
      <c r="ASE43" s="30"/>
      <c r="ASF43" s="30"/>
      <c r="ASG43" s="30"/>
      <c r="ASH43" s="30"/>
      <c r="ASI43" s="30"/>
      <c r="ASJ43" s="30"/>
      <c r="ASK43" s="30"/>
      <c r="ASL43" s="30"/>
      <c r="ASM43" s="30"/>
      <c r="ASN43" s="30"/>
      <c r="ASO43" s="30"/>
      <c r="ASP43" s="30"/>
      <c r="ASQ43" s="30"/>
      <c r="ASR43" s="30"/>
      <c r="ASS43" s="30"/>
      <c r="AST43" s="30"/>
      <c r="ASU43" s="30"/>
      <c r="ASV43" s="30"/>
      <c r="ASW43" s="30"/>
      <c r="ASX43" s="30"/>
      <c r="ASY43" s="30"/>
      <c r="ASZ43" s="30"/>
      <c r="ATA43" s="30"/>
      <c r="ATB43" s="30"/>
      <c r="ATC43" s="30"/>
      <c r="ATD43" s="30"/>
      <c r="ATE43" s="30"/>
      <c r="ATF43" s="30"/>
      <c r="ATG43" s="30"/>
      <c r="ATH43" s="30"/>
      <c r="ATI43" s="30"/>
      <c r="ATJ43" s="30"/>
      <c r="ATK43" s="30"/>
      <c r="ATL43" s="30"/>
      <c r="ATM43" s="30"/>
      <c r="ATN43" s="30"/>
      <c r="ATO43" s="30"/>
      <c r="ATP43" s="30"/>
      <c r="ATQ43" s="30"/>
      <c r="ATR43" s="30"/>
      <c r="ATS43" s="30"/>
      <c r="ATT43" s="30"/>
      <c r="ATU43" s="30"/>
      <c r="ATV43" s="30"/>
      <c r="ATW43" s="30"/>
      <c r="ATX43" s="30"/>
      <c r="ATY43" s="30"/>
      <c r="ATZ43" s="30"/>
      <c r="AUA43" s="30"/>
      <c r="AUB43" s="30"/>
      <c r="AUC43" s="30"/>
      <c r="AUD43" s="30"/>
      <c r="AUE43" s="30"/>
      <c r="AUF43" s="30"/>
      <c r="AUG43" s="30"/>
      <c r="AUH43" s="30"/>
      <c r="AUI43" s="30"/>
      <c r="AUJ43" s="30"/>
      <c r="AUK43" s="30"/>
      <c r="AUL43" s="30"/>
      <c r="AUM43" s="30"/>
      <c r="AUN43" s="30"/>
      <c r="AUO43" s="30"/>
      <c r="AUP43" s="30"/>
      <c r="AUQ43" s="30"/>
      <c r="AUR43" s="30"/>
      <c r="AUS43" s="30"/>
      <c r="AUT43" s="30"/>
      <c r="AUU43" s="30"/>
      <c r="AUV43" s="30"/>
      <c r="AUW43" s="30"/>
      <c r="AUX43" s="30"/>
      <c r="AUY43" s="30"/>
      <c r="AUZ43" s="30"/>
      <c r="AVA43" s="30"/>
      <c r="AVB43" s="30"/>
      <c r="AVC43" s="30"/>
      <c r="AVD43" s="30"/>
      <c r="AVE43" s="30"/>
      <c r="AVF43" s="30"/>
      <c r="AVG43" s="30"/>
      <c r="AVH43" s="30"/>
      <c r="AVI43" s="30"/>
      <c r="AVJ43" s="30"/>
      <c r="AVK43" s="30"/>
      <c r="AVL43" s="30"/>
      <c r="AVM43" s="30"/>
      <c r="AVN43" s="30"/>
      <c r="AVO43" s="30"/>
      <c r="AVP43" s="30"/>
      <c r="AVQ43" s="30"/>
      <c r="AVR43" s="30"/>
      <c r="AVS43" s="30"/>
      <c r="AVT43" s="30"/>
      <c r="AVU43" s="30"/>
      <c r="AVV43" s="30"/>
      <c r="AVW43" s="30"/>
      <c r="AVX43" s="30"/>
      <c r="AVY43" s="30"/>
      <c r="AVZ43" s="30"/>
      <c r="AWA43" s="30"/>
      <c r="AWB43" s="30"/>
      <c r="AWC43" s="30"/>
      <c r="AWD43" s="30"/>
      <c r="AWE43" s="30"/>
      <c r="AWF43" s="30"/>
      <c r="AWG43" s="30"/>
      <c r="AWH43" s="30"/>
      <c r="AWI43" s="30"/>
      <c r="AWJ43" s="30"/>
      <c r="AWK43" s="30"/>
      <c r="AWL43" s="30"/>
      <c r="AWM43" s="30"/>
      <c r="AWN43" s="30"/>
      <c r="AWO43" s="30"/>
      <c r="AWP43" s="30"/>
      <c r="AWQ43" s="30"/>
      <c r="AWR43" s="30"/>
      <c r="AWS43" s="30"/>
      <c r="AWT43" s="30"/>
      <c r="AWU43" s="30"/>
      <c r="AWV43" s="30"/>
      <c r="AWW43" s="30"/>
      <c r="AWX43" s="30"/>
      <c r="AWY43" s="30"/>
      <c r="AWZ43" s="30"/>
      <c r="AXA43" s="30"/>
      <c r="AXB43" s="30"/>
      <c r="AXC43" s="30"/>
      <c r="AXD43" s="30"/>
      <c r="AXE43" s="30"/>
      <c r="AXF43" s="30"/>
      <c r="AXG43" s="30"/>
      <c r="AXH43" s="30"/>
      <c r="AXI43" s="30"/>
      <c r="AXJ43" s="30"/>
      <c r="AXK43" s="30"/>
      <c r="AXL43" s="30"/>
      <c r="AXM43" s="30"/>
      <c r="AXN43" s="30"/>
      <c r="AXO43" s="30"/>
      <c r="AXP43" s="30"/>
      <c r="AXQ43" s="30"/>
      <c r="AXR43" s="30"/>
      <c r="AXS43" s="30"/>
      <c r="AXT43" s="30"/>
      <c r="AXU43" s="30"/>
      <c r="AXV43" s="30"/>
      <c r="AXW43" s="30"/>
      <c r="AXX43" s="30"/>
      <c r="AXY43" s="30"/>
      <c r="AXZ43" s="30"/>
      <c r="AYA43" s="30"/>
      <c r="AYB43" s="30"/>
      <c r="AYC43" s="30"/>
      <c r="AYD43" s="30"/>
      <c r="AYE43" s="30"/>
      <c r="AYF43" s="30"/>
      <c r="AYG43" s="30"/>
      <c r="AYH43" s="30"/>
      <c r="AYI43" s="30"/>
      <c r="AYJ43" s="30"/>
      <c r="AYK43" s="30"/>
      <c r="AYL43" s="30"/>
      <c r="AYM43" s="30"/>
      <c r="AYN43" s="30"/>
      <c r="AYO43" s="30"/>
      <c r="AYP43" s="30"/>
      <c r="AYQ43" s="30"/>
      <c r="AYR43" s="30"/>
      <c r="AYS43" s="30"/>
      <c r="AYT43" s="30"/>
      <c r="AYU43" s="30"/>
      <c r="AYV43" s="30"/>
      <c r="AYW43" s="30"/>
      <c r="AYX43" s="30"/>
      <c r="AYY43" s="30"/>
      <c r="AYZ43" s="30"/>
      <c r="AZA43" s="30"/>
      <c r="AZB43" s="30"/>
      <c r="AZC43" s="30"/>
      <c r="AZD43" s="30"/>
      <c r="AZE43" s="30"/>
      <c r="AZF43" s="30"/>
      <c r="AZG43" s="30"/>
      <c r="AZH43" s="30"/>
      <c r="AZI43" s="30"/>
      <c r="AZJ43" s="30"/>
      <c r="AZK43" s="30"/>
      <c r="AZL43" s="30"/>
      <c r="AZM43" s="30"/>
      <c r="AZN43" s="30"/>
      <c r="AZO43" s="30"/>
      <c r="AZP43" s="30"/>
      <c r="AZQ43" s="30"/>
      <c r="AZR43" s="30"/>
      <c r="AZS43" s="30"/>
      <c r="AZT43" s="30"/>
      <c r="AZU43" s="30"/>
      <c r="AZV43" s="30"/>
      <c r="AZW43" s="30"/>
      <c r="AZX43" s="30"/>
      <c r="AZY43" s="30"/>
      <c r="AZZ43" s="30"/>
      <c r="BAA43" s="30"/>
      <c r="BAB43" s="30"/>
      <c r="BAC43" s="30"/>
      <c r="BAD43" s="30"/>
      <c r="BAE43" s="30"/>
      <c r="BAF43" s="30"/>
      <c r="BAG43" s="30"/>
      <c r="BAH43" s="30"/>
      <c r="BAI43" s="30"/>
      <c r="BAJ43" s="30"/>
      <c r="BAK43" s="30"/>
      <c r="BAL43" s="30"/>
      <c r="BAM43" s="30"/>
      <c r="BAN43" s="30"/>
      <c r="BAO43" s="30"/>
      <c r="BAP43" s="30"/>
      <c r="BAQ43" s="30"/>
      <c r="BAR43" s="30"/>
      <c r="BAS43" s="30"/>
      <c r="BAT43" s="30"/>
      <c r="BAU43" s="30"/>
      <c r="BAV43" s="30"/>
      <c r="BAW43" s="30"/>
      <c r="BAX43" s="30"/>
      <c r="BAY43" s="30"/>
      <c r="BAZ43" s="30"/>
      <c r="BBA43" s="30"/>
      <c r="BBB43" s="30"/>
      <c r="BBC43" s="30"/>
      <c r="BBD43" s="30"/>
      <c r="BBE43" s="30"/>
      <c r="BBF43" s="30"/>
      <c r="BBG43" s="30"/>
      <c r="BBH43" s="30"/>
      <c r="BBI43" s="30"/>
      <c r="BBJ43" s="30"/>
      <c r="BBK43" s="30"/>
      <c r="BBL43" s="30"/>
      <c r="BBM43" s="30"/>
      <c r="BBN43" s="30"/>
      <c r="BBO43" s="30"/>
      <c r="BBP43" s="30"/>
      <c r="BBQ43" s="30"/>
      <c r="BBR43" s="30"/>
      <c r="BBS43" s="30"/>
      <c r="BBT43" s="30"/>
      <c r="BBU43" s="30"/>
      <c r="BBV43" s="30"/>
      <c r="BBW43" s="30"/>
      <c r="BBX43" s="30"/>
      <c r="BBY43" s="30"/>
      <c r="BBZ43" s="30"/>
      <c r="BCA43" s="30"/>
      <c r="BCB43" s="30"/>
      <c r="BCC43" s="30"/>
      <c r="BCD43" s="30"/>
      <c r="BCE43" s="30"/>
      <c r="BCF43" s="30"/>
      <c r="BCG43" s="30"/>
      <c r="BCH43" s="30"/>
      <c r="BCI43" s="30"/>
      <c r="BCJ43" s="30"/>
      <c r="BCK43" s="30"/>
      <c r="BCL43" s="30"/>
      <c r="BCM43" s="30"/>
      <c r="BCN43" s="30"/>
      <c r="BCO43" s="30"/>
      <c r="BCP43" s="30"/>
      <c r="BCQ43" s="30"/>
      <c r="BCR43" s="30"/>
      <c r="BCS43" s="30"/>
      <c r="BCT43" s="30"/>
      <c r="BCU43" s="30"/>
      <c r="BCV43" s="30"/>
      <c r="BCW43" s="30"/>
      <c r="BCX43" s="30"/>
      <c r="BCY43" s="30"/>
      <c r="BCZ43" s="30"/>
      <c r="BDA43" s="30"/>
      <c r="BDB43" s="30"/>
      <c r="BDC43" s="30"/>
      <c r="BDD43" s="30"/>
      <c r="BDE43" s="30"/>
      <c r="BDF43" s="30"/>
      <c r="BDG43" s="30"/>
      <c r="BDH43" s="30"/>
      <c r="BDI43" s="30"/>
      <c r="BDJ43" s="30"/>
      <c r="BDK43" s="30"/>
      <c r="BDL43" s="30"/>
      <c r="BDM43" s="30"/>
      <c r="BDN43" s="30"/>
      <c r="BDO43" s="30"/>
      <c r="BDP43" s="30"/>
      <c r="BDQ43" s="30"/>
      <c r="BDR43" s="30"/>
      <c r="BDS43" s="30"/>
      <c r="BDT43" s="30"/>
      <c r="BDU43" s="30"/>
      <c r="BDV43" s="30"/>
      <c r="BDW43" s="30"/>
      <c r="BDX43" s="30"/>
      <c r="BDY43" s="30"/>
      <c r="BDZ43" s="30"/>
      <c r="BEA43" s="30"/>
      <c r="BEB43" s="30"/>
      <c r="BEC43" s="30"/>
      <c r="BED43" s="30"/>
      <c r="BEE43" s="30"/>
      <c r="BEF43" s="30"/>
      <c r="BEG43" s="30"/>
      <c r="BEH43" s="30"/>
      <c r="BEI43" s="30"/>
      <c r="BEJ43" s="30"/>
      <c r="BEK43" s="30"/>
      <c r="BEL43" s="30"/>
      <c r="BEM43" s="30"/>
      <c r="BEN43" s="30"/>
      <c r="BEO43" s="30"/>
      <c r="BEP43" s="30"/>
      <c r="BEQ43" s="30"/>
      <c r="BER43" s="30"/>
      <c r="BES43" s="30"/>
      <c r="BET43" s="30"/>
      <c r="BEU43" s="30"/>
      <c r="BEV43" s="30"/>
      <c r="BEW43" s="30"/>
      <c r="BEX43" s="30"/>
      <c r="BEY43" s="30"/>
      <c r="BEZ43" s="30"/>
      <c r="BFA43" s="30"/>
      <c r="BFB43" s="30"/>
      <c r="BFC43" s="30"/>
      <c r="BFD43" s="30"/>
      <c r="BFE43" s="30"/>
      <c r="BFF43" s="30"/>
      <c r="BFG43" s="30"/>
      <c r="BFH43" s="30"/>
      <c r="BFI43" s="30"/>
      <c r="BFJ43" s="30"/>
      <c r="BFK43" s="30"/>
      <c r="BFL43" s="30"/>
      <c r="BFM43" s="30"/>
      <c r="BFN43" s="30"/>
      <c r="BFO43" s="30"/>
      <c r="BFP43" s="30"/>
      <c r="BFQ43" s="30"/>
      <c r="BFR43" s="30"/>
      <c r="BFS43" s="30"/>
      <c r="BFT43" s="30"/>
      <c r="BFU43" s="30"/>
      <c r="BFV43" s="30"/>
      <c r="BFW43" s="30"/>
      <c r="BFX43" s="30"/>
      <c r="BFY43" s="30"/>
      <c r="BFZ43" s="30"/>
      <c r="BGA43" s="30"/>
      <c r="BGB43" s="30"/>
      <c r="BGC43" s="30"/>
      <c r="BGD43" s="30"/>
      <c r="BGE43" s="30"/>
      <c r="BGF43" s="30"/>
      <c r="BGG43" s="30"/>
      <c r="BGH43" s="30"/>
      <c r="BGI43" s="30"/>
      <c r="BGJ43" s="30"/>
      <c r="BGK43" s="30"/>
      <c r="BGL43" s="30"/>
      <c r="BGM43" s="30"/>
      <c r="BGN43" s="30"/>
      <c r="BGO43" s="30"/>
      <c r="BGP43" s="30"/>
      <c r="BGQ43" s="30"/>
      <c r="BGR43" s="30"/>
      <c r="BGS43" s="30"/>
      <c r="BGT43" s="30"/>
      <c r="BGU43" s="30"/>
      <c r="BGV43" s="30"/>
      <c r="BGW43" s="30"/>
      <c r="BGX43" s="30"/>
      <c r="BGY43" s="30"/>
      <c r="BGZ43" s="30"/>
      <c r="BHA43" s="30"/>
      <c r="BHB43" s="30"/>
      <c r="BHC43" s="30"/>
      <c r="BHD43" s="30"/>
      <c r="BHE43" s="30"/>
      <c r="BHF43" s="30"/>
      <c r="BHG43" s="30"/>
      <c r="BHH43" s="30"/>
      <c r="BHI43" s="30"/>
      <c r="BHJ43" s="30"/>
      <c r="BHK43" s="30"/>
      <c r="BHL43" s="30"/>
      <c r="BHM43" s="30"/>
      <c r="BHN43" s="30"/>
      <c r="BHO43" s="30"/>
      <c r="BHP43" s="30"/>
      <c r="BHQ43" s="30"/>
      <c r="BHR43" s="30"/>
      <c r="BHS43" s="30"/>
      <c r="BHT43" s="30"/>
      <c r="BHU43" s="30"/>
      <c r="BHV43" s="30"/>
      <c r="BHW43" s="30"/>
      <c r="BHX43" s="30"/>
      <c r="BHY43" s="30"/>
      <c r="BHZ43" s="30"/>
      <c r="BIA43" s="30"/>
      <c r="BIB43" s="30"/>
      <c r="BIC43" s="30"/>
      <c r="BID43" s="30"/>
      <c r="BIE43" s="30"/>
      <c r="BIF43" s="30"/>
      <c r="BIG43" s="30"/>
      <c r="BIH43" s="30"/>
      <c r="BII43" s="30"/>
      <c r="BIJ43" s="30"/>
      <c r="BIK43" s="30"/>
      <c r="BIL43" s="30"/>
      <c r="BIM43" s="30"/>
      <c r="BIN43" s="30"/>
      <c r="BIO43" s="30"/>
      <c r="BIP43" s="30"/>
      <c r="BIQ43" s="30"/>
      <c r="BIR43" s="30"/>
      <c r="BIS43" s="30"/>
      <c r="BIT43" s="30"/>
      <c r="BIU43" s="30"/>
      <c r="BIV43" s="30"/>
      <c r="BIW43" s="30"/>
      <c r="BIX43" s="30"/>
      <c r="BIY43" s="30"/>
      <c r="BIZ43" s="30"/>
      <c r="BJA43" s="30"/>
      <c r="BJB43" s="30"/>
      <c r="BJC43" s="30"/>
      <c r="BJD43" s="30"/>
      <c r="BJE43" s="30"/>
      <c r="BJF43" s="30"/>
      <c r="BJG43" s="30"/>
      <c r="BJH43" s="30"/>
      <c r="BJI43" s="30"/>
      <c r="BJJ43" s="30"/>
      <c r="BJK43" s="30"/>
      <c r="BJL43" s="30"/>
      <c r="BJM43" s="30"/>
      <c r="BJN43" s="30"/>
      <c r="BJO43" s="30"/>
      <c r="BJP43" s="30"/>
      <c r="BJQ43" s="30"/>
      <c r="BJR43" s="30"/>
      <c r="BJS43" s="30"/>
      <c r="BJT43" s="30"/>
      <c r="BJU43" s="30"/>
      <c r="BJV43" s="30"/>
      <c r="BJW43" s="30"/>
      <c r="BJX43" s="30"/>
      <c r="BJY43" s="30"/>
      <c r="BJZ43" s="30"/>
      <c r="BKA43" s="30"/>
      <c r="BKB43" s="30"/>
      <c r="BKC43" s="30"/>
      <c r="BKD43" s="30"/>
      <c r="BKE43" s="30"/>
      <c r="BKF43" s="30"/>
      <c r="BKG43" s="30"/>
      <c r="BKH43" s="30"/>
      <c r="BKI43" s="30"/>
      <c r="BKJ43" s="30"/>
      <c r="BKK43" s="30"/>
      <c r="BKL43" s="30"/>
      <c r="BKM43" s="30"/>
      <c r="BKN43" s="30"/>
      <c r="BKO43" s="30"/>
      <c r="BKP43" s="30"/>
      <c r="BKQ43" s="30"/>
      <c r="BKR43" s="30"/>
      <c r="BKS43" s="30"/>
      <c r="BKT43" s="30"/>
      <c r="BKU43" s="30"/>
      <c r="BKV43" s="30"/>
      <c r="BKW43" s="30"/>
      <c r="BKX43" s="30"/>
      <c r="BKY43" s="30"/>
      <c r="BKZ43" s="30"/>
      <c r="BLA43" s="30"/>
      <c r="BLB43" s="30"/>
      <c r="BLC43" s="30"/>
      <c r="BLD43" s="30"/>
      <c r="BLE43" s="30"/>
      <c r="BLF43" s="30"/>
      <c r="BLG43" s="30"/>
      <c r="BLH43" s="30"/>
      <c r="BLI43" s="30"/>
      <c r="BLJ43" s="30"/>
      <c r="BLK43" s="30"/>
      <c r="BLL43" s="30"/>
      <c r="BLM43" s="30"/>
      <c r="BLN43" s="30"/>
      <c r="BLO43" s="30"/>
      <c r="BLP43" s="30"/>
      <c r="BLQ43" s="30"/>
      <c r="BLR43" s="30"/>
      <c r="BLS43" s="30"/>
      <c r="BLT43" s="30"/>
      <c r="BLU43" s="30"/>
      <c r="BLV43" s="30"/>
      <c r="BLW43" s="30"/>
      <c r="BLX43" s="30"/>
      <c r="BLY43" s="30"/>
      <c r="BLZ43" s="30"/>
      <c r="BMA43" s="30"/>
      <c r="BMB43" s="30"/>
      <c r="BMC43" s="30"/>
      <c r="BMD43" s="30"/>
      <c r="BME43" s="30"/>
      <c r="BMF43" s="30"/>
      <c r="BMG43" s="30"/>
      <c r="BMH43" s="30"/>
      <c r="BMI43" s="30"/>
      <c r="BMJ43" s="30"/>
      <c r="BMK43" s="30"/>
      <c r="BML43" s="30"/>
      <c r="BMM43" s="30"/>
      <c r="BMN43" s="30"/>
      <c r="BMO43" s="30"/>
      <c r="BMP43" s="30"/>
      <c r="BMQ43" s="30"/>
      <c r="BMR43" s="30"/>
      <c r="BMS43" s="30"/>
      <c r="BMT43" s="30"/>
      <c r="BMU43" s="30"/>
      <c r="BMV43" s="30"/>
      <c r="BMW43" s="30"/>
      <c r="BMX43" s="30"/>
      <c r="BMY43" s="30"/>
      <c r="BMZ43" s="30"/>
      <c r="BNA43" s="30"/>
      <c r="BNB43" s="30"/>
      <c r="BNC43" s="30"/>
      <c r="BND43" s="30"/>
      <c r="BNE43" s="30"/>
      <c r="BNF43" s="30"/>
      <c r="BNG43" s="30"/>
      <c r="BNH43" s="30"/>
      <c r="BNI43" s="30"/>
      <c r="BNJ43" s="30"/>
      <c r="BNK43" s="30"/>
      <c r="BNL43" s="30"/>
      <c r="BNM43" s="30"/>
      <c r="BNN43" s="30"/>
      <c r="BNO43" s="30"/>
      <c r="BNP43" s="30"/>
      <c r="BNQ43" s="30"/>
      <c r="BNR43" s="30"/>
      <c r="BNS43" s="30"/>
      <c r="BNT43" s="30"/>
      <c r="BNU43" s="30"/>
      <c r="BNV43" s="30"/>
      <c r="BNW43" s="30"/>
      <c r="BNX43" s="30"/>
      <c r="BNY43" s="30"/>
      <c r="BNZ43" s="30"/>
      <c r="BOA43" s="30"/>
      <c r="BOB43" s="30"/>
      <c r="BOC43" s="30"/>
      <c r="BOD43" s="30"/>
      <c r="BOE43" s="30"/>
      <c r="BOF43" s="30"/>
      <c r="BOG43" s="30"/>
      <c r="BOH43" s="30"/>
      <c r="BOI43" s="30"/>
      <c r="BOJ43" s="30"/>
      <c r="BOK43" s="30"/>
      <c r="BOL43" s="30"/>
      <c r="BOM43" s="30"/>
      <c r="BON43" s="30"/>
      <c r="BOO43" s="30"/>
      <c r="BOP43" s="30"/>
      <c r="BOQ43" s="30"/>
      <c r="BOR43" s="30"/>
      <c r="BOS43" s="30"/>
      <c r="BOT43" s="30"/>
      <c r="BOU43" s="30"/>
      <c r="BOV43" s="30"/>
      <c r="BOW43" s="30"/>
      <c r="BOX43" s="30"/>
      <c r="BOY43" s="30"/>
      <c r="BOZ43" s="30"/>
      <c r="BPA43" s="30"/>
      <c r="BPB43" s="30"/>
      <c r="BPC43" s="30"/>
      <c r="BPD43" s="30"/>
      <c r="BPE43" s="30"/>
      <c r="BPF43" s="30"/>
      <c r="BPG43" s="30"/>
      <c r="BPH43" s="30"/>
      <c r="BPI43" s="30"/>
      <c r="BPJ43" s="30"/>
      <c r="BPK43" s="30"/>
      <c r="BPL43" s="30"/>
      <c r="BPM43" s="30"/>
      <c r="BPN43" s="30"/>
      <c r="BPO43" s="30"/>
      <c r="BPP43" s="30"/>
      <c r="BPQ43" s="30"/>
      <c r="BPR43" s="30"/>
      <c r="BPS43" s="30"/>
      <c r="BPT43" s="30"/>
      <c r="BPU43" s="30"/>
      <c r="BPV43" s="30"/>
      <c r="BPW43" s="30"/>
      <c r="BPX43" s="30"/>
      <c r="BPY43" s="30"/>
      <c r="BPZ43" s="30"/>
      <c r="BQA43" s="30"/>
      <c r="BQB43" s="30"/>
      <c r="BQC43" s="30"/>
      <c r="BQD43" s="30"/>
      <c r="BQE43" s="30"/>
      <c r="BQF43" s="30"/>
      <c r="BQG43" s="30"/>
      <c r="BQH43" s="30"/>
      <c r="BQI43" s="30"/>
      <c r="BQJ43" s="30"/>
      <c r="BQK43" s="30"/>
      <c r="BQL43" s="30"/>
      <c r="BQM43" s="30"/>
      <c r="BQN43" s="30"/>
      <c r="BQO43" s="30"/>
      <c r="BQP43" s="30"/>
      <c r="BQQ43" s="30"/>
      <c r="BQR43" s="30"/>
      <c r="BQS43" s="30"/>
      <c r="BQT43" s="30"/>
      <c r="BQU43" s="30"/>
      <c r="BQV43" s="30"/>
      <c r="BQW43" s="30"/>
      <c r="BQX43" s="30"/>
      <c r="BQY43" s="30"/>
      <c r="BQZ43" s="30"/>
      <c r="BRA43" s="30"/>
      <c r="BRB43" s="30"/>
      <c r="BRC43" s="30"/>
      <c r="BRD43" s="30"/>
      <c r="BRE43" s="30"/>
      <c r="BRF43" s="30"/>
      <c r="BRG43" s="30"/>
      <c r="BRH43" s="30"/>
      <c r="BRI43" s="30"/>
      <c r="BRJ43" s="30"/>
      <c r="BRK43" s="30"/>
      <c r="BRL43" s="30"/>
      <c r="BRM43" s="30"/>
      <c r="BRN43" s="30"/>
      <c r="BRO43" s="30"/>
      <c r="BRP43" s="30"/>
      <c r="BRQ43" s="30"/>
      <c r="BRR43" s="30"/>
      <c r="BRS43" s="30"/>
      <c r="BRT43" s="30"/>
      <c r="BRU43" s="30"/>
      <c r="BRV43" s="30"/>
      <c r="BRW43" s="30"/>
      <c r="BRX43" s="30"/>
      <c r="BRY43" s="30"/>
      <c r="BRZ43" s="30"/>
      <c r="BSA43" s="30"/>
      <c r="BSB43" s="30"/>
      <c r="BSC43" s="30"/>
      <c r="BSD43" s="30"/>
      <c r="BSE43" s="30"/>
      <c r="BSF43" s="30"/>
      <c r="BSG43" s="30"/>
      <c r="BSH43" s="30"/>
      <c r="BSI43" s="30"/>
      <c r="BSJ43" s="30"/>
      <c r="BSK43" s="30"/>
      <c r="BSL43" s="30"/>
      <c r="BSM43" s="30"/>
      <c r="BSN43" s="30"/>
      <c r="BSO43" s="30"/>
      <c r="BSP43" s="30"/>
      <c r="BSQ43" s="30"/>
      <c r="BSR43" s="30"/>
      <c r="BSS43" s="30"/>
      <c r="BST43" s="30"/>
      <c r="BSU43" s="30"/>
      <c r="BSV43" s="30"/>
      <c r="BSW43" s="30"/>
      <c r="BSX43" s="30"/>
      <c r="BSY43" s="30"/>
      <c r="BSZ43" s="30"/>
      <c r="BTA43" s="30"/>
      <c r="BTB43" s="30"/>
      <c r="BTC43" s="30"/>
      <c r="BTD43" s="30"/>
      <c r="BTE43" s="30"/>
      <c r="BTF43" s="30"/>
      <c r="BTG43" s="30"/>
      <c r="BTH43" s="30"/>
      <c r="BTI43" s="30"/>
      <c r="BTJ43" s="30"/>
      <c r="BTK43" s="30"/>
      <c r="BTL43" s="30"/>
      <c r="BTM43" s="30"/>
      <c r="BTN43" s="30"/>
      <c r="BTO43" s="30"/>
      <c r="BTP43" s="30"/>
      <c r="BTQ43" s="30"/>
      <c r="BTR43" s="30"/>
      <c r="BTS43" s="30"/>
      <c r="BTT43" s="30"/>
      <c r="BTU43" s="30"/>
      <c r="BTV43" s="30"/>
      <c r="BTW43" s="30"/>
      <c r="BTX43" s="30"/>
      <c r="BTY43" s="30"/>
      <c r="BTZ43" s="30"/>
      <c r="BUA43" s="30"/>
      <c r="BUB43" s="30"/>
      <c r="BUC43" s="30"/>
      <c r="BUD43" s="30"/>
      <c r="BUE43" s="30"/>
      <c r="BUF43" s="30"/>
      <c r="BUG43" s="30"/>
      <c r="BUH43" s="30"/>
      <c r="BUI43" s="30"/>
      <c r="BUJ43" s="30"/>
      <c r="BUK43" s="30"/>
      <c r="BUL43" s="30"/>
      <c r="BUM43" s="30"/>
      <c r="BUN43" s="30"/>
      <c r="BUO43" s="30"/>
      <c r="BUP43" s="30"/>
      <c r="BUQ43" s="30"/>
      <c r="BUR43" s="30"/>
      <c r="BUS43" s="30"/>
      <c r="BUT43" s="30"/>
      <c r="BUU43" s="30"/>
      <c r="BUV43" s="30"/>
      <c r="BUW43" s="30"/>
      <c r="BUX43" s="30"/>
      <c r="BUY43" s="30"/>
      <c r="BUZ43" s="30"/>
      <c r="BVA43" s="30"/>
      <c r="BVB43" s="30"/>
      <c r="BVC43" s="30"/>
      <c r="BVD43" s="30"/>
      <c r="BVE43" s="30"/>
      <c r="BVF43" s="30"/>
      <c r="BVG43" s="30"/>
      <c r="BVH43" s="30"/>
      <c r="BVI43" s="30"/>
      <c r="BVJ43" s="30"/>
      <c r="BVK43" s="30"/>
      <c r="BVL43" s="30"/>
      <c r="BVM43" s="30"/>
      <c r="BVN43" s="30"/>
      <c r="BVO43" s="30"/>
      <c r="BVP43" s="30"/>
      <c r="BVQ43" s="30"/>
      <c r="BVR43" s="30"/>
      <c r="BVS43" s="30"/>
      <c r="BVT43" s="30"/>
      <c r="BVU43" s="30"/>
      <c r="BVV43" s="30"/>
      <c r="BVW43" s="30"/>
      <c r="BVX43" s="30"/>
      <c r="BVY43" s="30"/>
      <c r="BVZ43" s="30"/>
      <c r="BWA43" s="30"/>
      <c r="BWB43" s="30"/>
      <c r="BWC43" s="30"/>
      <c r="BWD43" s="30"/>
      <c r="BWE43" s="30"/>
      <c r="BWF43" s="30"/>
      <c r="BWG43" s="30"/>
      <c r="BWH43" s="30"/>
      <c r="BWI43" s="30"/>
      <c r="BWJ43" s="30"/>
      <c r="BWK43" s="30"/>
      <c r="BWL43" s="30"/>
      <c r="BWM43" s="30"/>
      <c r="BWN43" s="30"/>
      <c r="BWO43" s="30"/>
      <c r="BWP43" s="30"/>
      <c r="BWQ43" s="30"/>
      <c r="BWR43" s="30"/>
      <c r="BWS43" s="30"/>
      <c r="BWT43" s="30"/>
      <c r="BWU43" s="30"/>
      <c r="BWV43" s="30"/>
      <c r="BWW43" s="30"/>
      <c r="BWX43" s="30"/>
      <c r="BWY43" s="30"/>
      <c r="BWZ43" s="30"/>
      <c r="BXA43" s="30"/>
      <c r="BXB43" s="30"/>
      <c r="BXC43" s="30"/>
      <c r="BXD43" s="30"/>
      <c r="BXE43" s="30"/>
      <c r="BXF43" s="30"/>
      <c r="BXG43" s="30"/>
      <c r="BXH43" s="30"/>
      <c r="BXI43" s="30"/>
      <c r="BXJ43" s="30"/>
      <c r="BXK43" s="30"/>
      <c r="BXL43" s="30"/>
      <c r="BXM43" s="30"/>
      <c r="BXN43" s="30"/>
      <c r="BXO43" s="30"/>
      <c r="BXP43" s="30"/>
      <c r="BXQ43" s="30"/>
      <c r="BXR43" s="30"/>
      <c r="BXS43" s="30"/>
      <c r="BXT43" s="30"/>
      <c r="BXU43" s="30"/>
      <c r="BXV43" s="30"/>
      <c r="BXW43" s="30"/>
      <c r="BXX43" s="30"/>
      <c r="BXY43" s="30"/>
      <c r="BXZ43" s="30"/>
      <c r="BYA43" s="30"/>
      <c r="BYB43" s="30"/>
      <c r="BYC43" s="30"/>
      <c r="BYD43" s="30"/>
      <c r="BYE43" s="30"/>
      <c r="BYF43" s="30"/>
      <c r="BYG43" s="30"/>
      <c r="BYH43" s="30"/>
      <c r="BYI43" s="30"/>
      <c r="BYJ43" s="30"/>
      <c r="BYK43" s="30"/>
      <c r="BYL43" s="30"/>
      <c r="BYM43" s="30"/>
      <c r="BYN43" s="30"/>
      <c r="BYO43" s="30"/>
      <c r="BYP43" s="30"/>
      <c r="BYQ43" s="30"/>
      <c r="BYR43" s="30"/>
      <c r="BYS43" s="30"/>
      <c r="BYT43" s="30"/>
      <c r="BYU43" s="30"/>
      <c r="BYV43" s="30"/>
      <c r="BYW43" s="30"/>
      <c r="BYX43" s="30"/>
      <c r="BYY43" s="30"/>
      <c r="BYZ43" s="30"/>
      <c r="BZA43" s="30"/>
      <c r="BZB43" s="30"/>
      <c r="BZC43" s="30"/>
      <c r="BZD43" s="30"/>
      <c r="BZE43" s="30"/>
      <c r="BZF43" s="30"/>
      <c r="BZG43" s="30"/>
      <c r="BZH43" s="30"/>
      <c r="BZI43" s="30"/>
      <c r="BZJ43" s="30"/>
      <c r="BZK43" s="30"/>
      <c r="BZL43" s="30"/>
      <c r="BZM43" s="30"/>
      <c r="BZN43" s="30"/>
      <c r="BZO43" s="30"/>
      <c r="BZP43" s="30"/>
      <c r="BZQ43" s="30"/>
      <c r="BZR43" s="30"/>
      <c r="BZS43" s="30"/>
      <c r="BZT43" s="30"/>
      <c r="BZU43" s="30"/>
      <c r="BZV43" s="30"/>
      <c r="BZW43" s="30"/>
      <c r="BZX43" s="30"/>
      <c r="BZY43" s="30"/>
      <c r="BZZ43" s="30"/>
      <c r="CAA43" s="30"/>
      <c r="CAB43" s="30"/>
      <c r="CAC43" s="30"/>
      <c r="CAD43" s="30"/>
      <c r="CAE43" s="30"/>
      <c r="CAF43" s="30"/>
      <c r="CAG43" s="30"/>
      <c r="CAH43" s="30"/>
      <c r="CAI43" s="30"/>
      <c r="CAJ43" s="30"/>
      <c r="CAK43" s="30"/>
      <c r="CAL43" s="30"/>
      <c r="CAM43" s="30"/>
      <c r="CAN43" s="30"/>
      <c r="CAO43" s="30"/>
      <c r="CAP43" s="30"/>
      <c r="CAQ43" s="30"/>
      <c r="CAR43" s="30"/>
      <c r="CAS43" s="30"/>
      <c r="CAT43" s="30"/>
      <c r="CAU43" s="30"/>
      <c r="CAV43" s="30"/>
      <c r="CAW43" s="30"/>
      <c r="CAX43" s="30"/>
      <c r="CAY43" s="30"/>
      <c r="CAZ43" s="30"/>
      <c r="CBA43" s="30"/>
      <c r="CBB43" s="30"/>
      <c r="CBC43" s="30"/>
      <c r="CBD43" s="30"/>
      <c r="CBE43" s="30"/>
      <c r="CBF43" s="30"/>
      <c r="CBG43" s="30"/>
      <c r="CBH43" s="30"/>
      <c r="CBI43" s="30"/>
      <c r="CBJ43" s="30"/>
      <c r="CBK43" s="30"/>
      <c r="CBL43" s="30"/>
      <c r="CBM43" s="30"/>
      <c r="CBN43" s="30"/>
      <c r="CBO43" s="30"/>
      <c r="CBP43" s="30"/>
      <c r="CBQ43" s="30"/>
      <c r="CBR43" s="30"/>
      <c r="CBS43" s="30"/>
      <c r="CBT43" s="30"/>
      <c r="CBU43" s="30"/>
      <c r="CBV43" s="30"/>
      <c r="CBW43" s="30"/>
      <c r="CBX43" s="30"/>
      <c r="CBY43" s="30"/>
      <c r="CBZ43" s="30"/>
      <c r="CCA43" s="30"/>
      <c r="CCB43" s="30"/>
      <c r="CCC43" s="30"/>
      <c r="CCD43" s="30"/>
      <c r="CCE43" s="30"/>
      <c r="CCF43" s="30"/>
      <c r="CCG43" s="30"/>
      <c r="CCH43" s="30"/>
      <c r="CCI43" s="30"/>
      <c r="CCJ43" s="30"/>
      <c r="CCK43" s="30"/>
      <c r="CCL43" s="30"/>
      <c r="CCM43" s="30"/>
      <c r="CCN43" s="30"/>
      <c r="CCO43" s="30"/>
      <c r="CCP43" s="30"/>
      <c r="CCQ43" s="30"/>
      <c r="CCR43" s="30"/>
      <c r="CCS43" s="30"/>
      <c r="CCT43" s="30"/>
      <c r="CCU43" s="30"/>
      <c r="CCV43" s="30"/>
      <c r="CCW43" s="30"/>
      <c r="CCX43" s="30"/>
      <c r="CCY43" s="30"/>
      <c r="CCZ43" s="30"/>
      <c r="CDA43" s="30"/>
      <c r="CDB43" s="30"/>
      <c r="CDC43" s="30"/>
      <c r="CDD43" s="30"/>
      <c r="CDE43" s="30"/>
      <c r="CDF43" s="30"/>
      <c r="CDG43" s="30"/>
      <c r="CDH43" s="30"/>
      <c r="CDI43" s="30"/>
      <c r="CDJ43" s="30"/>
      <c r="CDK43" s="30"/>
      <c r="CDL43" s="30"/>
      <c r="CDM43" s="30"/>
      <c r="CDN43" s="30"/>
      <c r="CDO43" s="30"/>
      <c r="CDP43" s="30"/>
      <c r="CDQ43" s="30"/>
      <c r="CDR43" s="30"/>
      <c r="CDS43" s="30"/>
      <c r="CDT43" s="30"/>
      <c r="CDU43" s="30"/>
      <c r="CDV43" s="30"/>
      <c r="CDW43" s="30"/>
      <c r="CDX43" s="30"/>
      <c r="CDY43" s="30"/>
      <c r="CDZ43" s="30"/>
      <c r="CEA43" s="30"/>
      <c r="CEB43" s="30"/>
      <c r="CEC43" s="30"/>
      <c r="CED43" s="30"/>
      <c r="CEE43" s="30"/>
      <c r="CEF43" s="30"/>
      <c r="CEG43" s="30"/>
      <c r="CEH43" s="30"/>
      <c r="CEI43" s="30"/>
      <c r="CEJ43" s="30"/>
      <c r="CEK43" s="30"/>
      <c r="CEL43" s="30"/>
      <c r="CEM43" s="30"/>
      <c r="CEN43" s="30"/>
      <c r="CEO43" s="30"/>
      <c r="CEP43" s="30"/>
      <c r="CEQ43" s="30"/>
      <c r="CER43" s="30"/>
      <c r="CES43" s="30"/>
      <c r="CET43" s="30"/>
      <c r="CEU43" s="30"/>
      <c r="CEV43" s="30"/>
      <c r="CEW43" s="30"/>
      <c r="CEX43" s="30"/>
      <c r="CEY43" s="30"/>
      <c r="CEZ43" s="30"/>
      <c r="CFA43" s="30"/>
      <c r="CFB43" s="30"/>
      <c r="CFC43" s="30"/>
      <c r="CFD43" s="30"/>
      <c r="CFE43" s="30"/>
      <c r="CFF43" s="30"/>
      <c r="CFG43" s="30"/>
      <c r="CFH43" s="30"/>
      <c r="CFI43" s="30"/>
      <c r="CFJ43" s="30"/>
      <c r="CFK43" s="30"/>
      <c r="CFL43" s="30"/>
      <c r="CFM43" s="30"/>
      <c r="CFN43" s="30"/>
      <c r="CFO43" s="30"/>
      <c r="CFP43" s="30"/>
      <c r="CFQ43" s="30"/>
      <c r="CFR43" s="30"/>
      <c r="CFS43" s="30"/>
      <c r="CFT43" s="30"/>
      <c r="CFU43" s="30"/>
      <c r="CFV43" s="30"/>
      <c r="CFW43" s="30"/>
      <c r="CFX43" s="30"/>
      <c r="CFY43" s="30"/>
      <c r="CFZ43" s="30"/>
      <c r="CGA43" s="30"/>
      <c r="CGB43" s="30"/>
      <c r="CGC43" s="30"/>
      <c r="CGD43" s="30"/>
      <c r="CGE43" s="30"/>
      <c r="CGF43" s="30"/>
      <c r="CGG43" s="30"/>
      <c r="CGH43" s="30"/>
      <c r="CGI43" s="30"/>
      <c r="CGJ43" s="30"/>
      <c r="CGK43" s="30"/>
      <c r="CGL43" s="30"/>
      <c r="CGM43" s="30"/>
      <c r="CGN43" s="30"/>
      <c r="CGO43" s="30"/>
      <c r="CGP43" s="30"/>
      <c r="CGQ43" s="30"/>
      <c r="CGR43" s="30"/>
      <c r="CGS43" s="30"/>
      <c r="CGT43" s="30"/>
      <c r="CGU43" s="30"/>
      <c r="CGV43" s="30"/>
      <c r="CGW43" s="30"/>
      <c r="CGX43" s="30"/>
      <c r="CGY43" s="30"/>
      <c r="CGZ43" s="30"/>
      <c r="CHA43" s="30"/>
      <c r="CHB43" s="30"/>
      <c r="CHC43" s="30"/>
      <c r="CHD43" s="30"/>
      <c r="CHE43" s="30"/>
      <c r="CHF43" s="30"/>
      <c r="CHG43" s="30"/>
      <c r="CHH43" s="30"/>
      <c r="CHI43" s="30"/>
      <c r="CHJ43" s="30"/>
      <c r="CHK43" s="30"/>
      <c r="CHL43" s="30"/>
      <c r="CHM43" s="30"/>
      <c r="CHN43" s="30"/>
      <c r="CHO43" s="30"/>
      <c r="CHP43" s="30"/>
      <c r="CHQ43" s="30"/>
      <c r="CHR43" s="30"/>
      <c r="CHS43" s="30"/>
      <c r="CHT43" s="30"/>
      <c r="CHU43" s="30"/>
      <c r="CHV43" s="30"/>
      <c r="CHW43" s="30"/>
      <c r="CHX43" s="30"/>
      <c r="CHY43" s="30"/>
      <c r="CHZ43" s="30"/>
      <c r="CIA43" s="30"/>
      <c r="CIB43" s="30"/>
      <c r="CIC43" s="30"/>
      <c r="CID43" s="30"/>
      <c r="CIE43" s="30"/>
      <c r="CIF43" s="30"/>
      <c r="CIG43" s="30"/>
      <c r="CIH43" s="30"/>
      <c r="CII43" s="30"/>
      <c r="CIJ43" s="30"/>
      <c r="CIK43" s="30"/>
      <c r="CIL43" s="30"/>
      <c r="CIM43" s="30"/>
      <c r="CIN43" s="30"/>
      <c r="CIO43" s="30"/>
      <c r="CIP43" s="30"/>
      <c r="CIQ43" s="30"/>
      <c r="CIR43" s="30"/>
      <c r="CIS43" s="30"/>
      <c r="CIT43" s="30"/>
      <c r="CIU43" s="30"/>
      <c r="CIV43" s="30"/>
      <c r="CIW43" s="30"/>
      <c r="CIX43" s="30"/>
      <c r="CIY43" s="30"/>
      <c r="CIZ43" s="30"/>
      <c r="CJA43" s="30"/>
      <c r="CJB43" s="30"/>
      <c r="CJC43" s="30"/>
      <c r="CJD43" s="30"/>
      <c r="CJE43" s="30"/>
      <c r="CJF43" s="30"/>
      <c r="CJG43" s="30"/>
      <c r="CJH43" s="30"/>
      <c r="CJI43" s="30"/>
      <c r="CJJ43" s="30"/>
      <c r="CJK43" s="30"/>
      <c r="CJL43" s="30"/>
      <c r="CJM43" s="30"/>
      <c r="CJN43" s="30"/>
      <c r="CJO43" s="30"/>
      <c r="CJP43" s="30"/>
      <c r="CJQ43" s="30"/>
      <c r="CJR43" s="30"/>
      <c r="CJS43" s="30"/>
      <c r="CJT43" s="30"/>
      <c r="CJU43" s="30"/>
      <c r="CJV43" s="30"/>
      <c r="CJW43" s="30"/>
      <c r="CJX43" s="30"/>
      <c r="CJY43" s="30"/>
      <c r="CJZ43" s="30"/>
      <c r="CKA43" s="30"/>
      <c r="CKB43" s="30"/>
      <c r="CKC43" s="30"/>
      <c r="CKD43" s="30"/>
      <c r="CKE43" s="30"/>
      <c r="CKF43" s="30"/>
      <c r="CKG43" s="30"/>
      <c r="CKH43" s="30"/>
      <c r="CKI43" s="30"/>
      <c r="CKJ43" s="30"/>
      <c r="CKK43" s="30"/>
      <c r="CKL43" s="30"/>
      <c r="CKM43" s="30"/>
      <c r="CKN43" s="30"/>
      <c r="CKO43" s="30"/>
      <c r="CKP43" s="30"/>
      <c r="CKQ43" s="30"/>
      <c r="CKR43" s="30"/>
      <c r="CKS43" s="30"/>
      <c r="CKT43" s="30"/>
      <c r="CKU43" s="30"/>
      <c r="CKV43" s="30"/>
      <c r="CKW43" s="30"/>
      <c r="CKX43" s="30"/>
      <c r="CKY43" s="30"/>
      <c r="CKZ43" s="30"/>
      <c r="CLA43" s="30"/>
      <c r="CLB43" s="30"/>
      <c r="CLC43" s="30"/>
      <c r="CLD43" s="30"/>
      <c r="CLE43" s="30"/>
      <c r="CLF43" s="30"/>
      <c r="CLG43" s="30"/>
      <c r="CLH43" s="30"/>
      <c r="CLI43" s="30"/>
      <c r="CLJ43" s="30"/>
      <c r="CLK43" s="30"/>
      <c r="CLL43" s="30"/>
      <c r="CLM43" s="30"/>
      <c r="CLN43" s="30"/>
      <c r="CLO43" s="30"/>
      <c r="CLP43" s="30"/>
      <c r="CLQ43" s="30"/>
      <c r="CLR43" s="30"/>
      <c r="CLS43" s="30"/>
      <c r="CLT43" s="30"/>
      <c r="CLU43" s="30"/>
      <c r="CLV43" s="30"/>
      <c r="CLW43" s="30"/>
      <c r="CLX43" s="30"/>
      <c r="CLY43" s="30"/>
      <c r="CLZ43" s="30"/>
      <c r="CMA43" s="30"/>
      <c r="CMB43" s="30"/>
      <c r="CMC43" s="30"/>
      <c r="CMD43" s="30"/>
      <c r="CME43" s="30"/>
      <c r="CMF43" s="30"/>
      <c r="CMG43" s="30"/>
      <c r="CMH43" s="30"/>
      <c r="CMI43" s="30"/>
      <c r="CMJ43" s="30"/>
      <c r="CMK43" s="30"/>
      <c r="CML43" s="30"/>
      <c r="CMM43" s="30"/>
      <c r="CMN43" s="30"/>
      <c r="CMO43" s="30"/>
      <c r="CMP43" s="30"/>
      <c r="CMQ43" s="30"/>
      <c r="CMR43" s="30"/>
      <c r="CMS43" s="30"/>
      <c r="CMT43" s="30"/>
      <c r="CMU43" s="30"/>
      <c r="CMV43" s="30"/>
      <c r="CMW43" s="30"/>
      <c r="CMX43" s="30"/>
      <c r="CMY43" s="30"/>
      <c r="CMZ43" s="30"/>
      <c r="CNA43" s="30"/>
      <c r="CNB43" s="30"/>
      <c r="CNC43" s="30"/>
      <c r="CND43" s="30"/>
      <c r="CNE43" s="30"/>
      <c r="CNF43" s="30"/>
      <c r="CNG43" s="30"/>
      <c r="CNH43" s="30"/>
      <c r="CNI43" s="30"/>
      <c r="CNJ43" s="30"/>
      <c r="CNK43" s="30"/>
      <c r="CNL43" s="30"/>
      <c r="CNM43" s="30"/>
      <c r="CNN43" s="30"/>
      <c r="CNO43" s="30"/>
      <c r="CNP43" s="30"/>
      <c r="CNQ43" s="30"/>
      <c r="CNR43" s="30"/>
      <c r="CNS43" s="30"/>
      <c r="CNT43" s="30"/>
      <c r="CNU43" s="30"/>
      <c r="CNV43" s="30"/>
      <c r="CNW43" s="30"/>
      <c r="CNX43" s="30"/>
      <c r="CNY43" s="30"/>
      <c r="CNZ43" s="30"/>
      <c r="COA43" s="30"/>
      <c r="COB43" s="30"/>
      <c r="COC43" s="30"/>
      <c r="COD43" s="30"/>
      <c r="COE43" s="30"/>
      <c r="COF43" s="30"/>
      <c r="COG43" s="30"/>
      <c r="COH43" s="30"/>
      <c r="COI43" s="30"/>
      <c r="COJ43" s="30"/>
      <c r="COK43" s="30"/>
      <c r="COL43" s="30"/>
      <c r="COM43" s="30"/>
      <c r="CON43" s="30"/>
      <c r="COO43" s="30"/>
      <c r="COP43" s="30"/>
      <c r="COQ43" s="30"/>
      <c r="COR43" s="30"/>
      <c r="COS43" s="30"/>
      <c r="COT43" s="30"/>
      <c r="COU43" s="30"/>
      <c r="COV43" s="30"/>
      <c r="COW43" s="30"/>
      <c r="COX43" s="30"/>
      <c r="COY43" s="30"/>
      <c r="COZ43" s="30"/>
      <c r="CPA43" s="30"/>
      <c r="CPB43" s="30"/>
      <c r="CPC43" s="30"/>
      <c r="CPD43" s="30"/>
      <c r="CPE43" s="30"/>
      <c r="CPF43" s="30"/>
      <c r="CPG43" s="30"/>
      <c r="CPH43" s="30"/>
      <c r="CPI43" s="30"/>
      <c r="CPJ43" s="30"/>
      <c r="CPK43" s="30"/>
      <c r="CPL43" s="30"/>
      <c r="CPM43" s="30"/>
      <c r="CPN43" s="30"/>
      <c r="CPO43" s="30"/>
      <c r="CPP43" s="30"/>
      <c r="CPQ43" s="30"/>
      <c r="CPR43" s="30"/>
      <c r="CPS43" s="30"/>
      <c r="CPT43" s="30"/>
      <c r="CPU43" s="30"/>
      <c r="CPV43" s="30"/>
      <c r="CPW43" s="30"/>
      <c r="CPX43" s="30"/>
      <c r="CPY43" s="30"/>
      <c r="CPZ43" s="30"/>
      <c r="CQA43" s="30"/>
      <c r="CQB43" s="30"/>
      <c r="CQC43" s="30"/>
      <c r="CQD43" s="30"/>
      <c r="CQE43" s="30"/>
      <c r="CQF43" s="30"/>
      <c r="CQG43" s="30"/>
      <c r="CQH43" s="30"/>
      <c r="CQI43" s="30"/>
      <c r="CQJ43" s="30"/>
      <c r="CQK43" s="30"/>
      <c r="CQL43" s="30"/>
      <c r="CQM43" s="30"/>
      <c r="CQN43" s="30"/>
      <c r="CQO43" s="30"/>
      <c r="CQP43" s="30"/>
      <c r="CQQ43" s="30"/>
      <c r="CQR43" s="30"/>
      <c r="CQS43" s="30"/>
      <c r="CQT43" s="30"/>
      <c r="CQU43" s="30"/>
      <c r="CQV43" s="30"/>
      <c r="CQW43" s="30"/>
      <c r="CQX43" s="30"/>
      <c r="CQY43" s="30"/>
      <c r="CQZ43" s="30"/>
      <c r="CRA43" s="30"/>
      <c r="CRB43" s="30"/>
      <c r="CRC43" s="30"/>
      <c r="CRD43" s="30"/>
      <c r="CRE43" s="30"/>
      <c r="CRF43" s="30"/>
      <c r="CRG43" s="30"/>
      <c r="CRH43" s="30"/>
      <c r="CRI43" s="30"/>
      <c r="CRJ43" s="30"/>
      <c r="CRK43" s="30"/>
      <c r="CRL43" s="30"/>
      <c r="CRM43" s="30"/>
      <c r="CRN43" s="30"/>
      <c r="CRO43" s="30"/>
      <c r="CRP43" s="30"/>
      <c r="CRQ43" s="30"/>
      <c r="CRR43" s="30"/>
      <c r="CRS43" s="30"/>
      <c r="CRT43" s="30"/>
      <c r="CRU43" s="30"/>
      <c r="CRV43" s="30"/>
      <c r="CRW43" s="30"/>
      <c r="CRX43" s="30"/>
      <c r="CRY43" s="30"/>
      <c r="CRZ43" s="30"/>
      <c r="CSA43" s="30"/>
      <c r="CSB43" s="30"/>
      <c r="CSC43" s="30"/>
      <c r="CSD43" s="30"/>
      <c r="CSE43" s="30"/>
      <c r="CSF43" s="30"/>
      <c r="CSG43" s="30"/>
      <c r="CSH43" s="30"/>
      <c r="CSI43" s="30"/>
      <c r="CSJ43" s="30"/>
      <c r="CSK43" s="30"/>
      <c r="CSL43" s="30"/>
      <c r="CSM43" s="30"/>
      <c r="CSN43" s="30"/>
      <c r="CSO43" s="30"/>
      <c r="CSP43" s="30"/>
      <c r="CSQ43" s="30"/>
      <c r="CSR43" s="30"/>
      <c r="CSS43" s="30"/>
      <c r="CST43" s="30"/>
      <c r="CSU43" s="30"/>
      <c r="CSV43" s="30"/>
      <c r="CSW43" s="30"/>
      <c r="CSX43" s="30"/>
      <c r="CSY43" s="30"/>
      <c r="CSZ43" s="30"/>
      <c r="CTA43" s="30"/>
      <c r="CTB43" s="30"/>
      <c r="CTC43" s="30"/>
      <c r="CTD43" s="30"/>
      <c r="CTE43" s="30"/>
      <c r="CTF43" s="30"/>
      <c r="CTG43" s="30"/>
      <c r="CTH43" s="30"/>
      <c r="CTI43" s="30"/>
      <c r="CTJ43" s="30"/>
      <c r="CTK43" s="30"/>
      <c r="CTL43" s="30"/>
      <c r="CTM43" s="30"/>
      <c r="CTN43" s="30"/>
      <c r="CTO43" s="30"/>
      <c r="CTP43" s="30"/>
      <c r="CTQ43" s="30"/>
      <c r="CTR43" s="30"/>
      <c r="CTS43" s="30"/>
      <c r="CTT43" s="30"/>
      <c r="CTU43" s="30"/>
      <c r="CTV43" s="30"/>
      <c r="CTW43" s="30"/>
      <c r="CTX43" s="30"/>
      <c r="CTY43" s="30"/>
      <c r="CTZ43" s="30"/>
      <c r="CUA43" s="30"/>
      <c r="CUB43" s="30"/>
      <c r="CUC43" s="30"/>
      <c r="CUD43" s="30"/>
      <c r="CUE43" s="30"/>
      <c r="CUF43" s="30"/>
      <c r="CUG43" s="30"/>
      <c r="CUH43" s="30"/>
      <c r="CUI43" s="30"/>
      <c r="CUJ43" s="30"/>
      <c r="CUK43" s="30"/>
      <c r="CUL43" s="30"/>
      <c r="CUM43" s="30"/>
      <c r="CUN43" s="30"/>
      <c r="CUO43" s="30"/>
      <c r="CUP43" s="30"/>
      <c r="CUQ43" s="30"/>
      <c r="CUR43" s="30"/>
      <c r="CUS43" s="30"/>
      <c r="CUT43" s="30"/>
      <c r="CUU43" s="30"/>
      <c r="CUV43" s="30"/>
      <c r="CUW43" s="30"/>
      <c r="CUX43" s="30"/>
      <c r="CUY43" s="30"/>
      <c r="CUZ43" s="30"/>
      <c r="CVA43" s="30"/>
      <c r="CVB43" s="30"/>
      <c r="CVC43" s="30"/>
      <c r="CVD43" s="30"/>
      <c r="CVE43" s="30"/>
      <c r="CVF43" s="30"/>
      <c r="CVG43" s="30"/>
      <c r="CVH43" s="30"/>
      <c r="CVI43" s="30"/>
      <c r="CVJ43" s="30"/>
      <c r="CVK43" s="30"/>
      <c r="CVL43" s="30"/>
      <c r="CVM43" s="30"/>
      <c r="CVN43" s="30"/>
      <c r="CVO43" s="30"/>
      <c r="CVP43" s="30"/>
      <c r="CVQ43" s="30"/>
      <c r="CVR43" s="30"/>
      <c r="CVS43" s="30"/>
      <c r="CVT43" s="30"/>
      <c r="CVU43" s="30"/>
      <c r="CVV43" s="30"/>
      <c r="CVW43" s="30"/>
      <c r="CVX43" s="30"/>
      <c r="CVY43" s="30"/>
      <c r="CVZ43" s="30"/>
      <c r="CWA43" s="30"/>
      <c r="CWB43" s="30"/>
      <c r="CWC43" s="30"/>
      <c r="CWD43" s="30"/>
      <c r="CWE43" s="30"/>
      <c r="CWF43" s="30"/>
      <c r="CWG43" s="30"/>
      <c r="CWH43" s="30"/>
      <c r="CWI43" s="30"/>
      <c r="CWJ43" s="30"/>
      <c r="CWK43" s="30"/>
      <c r="CWL43" s="30"/>
      <c r="CWM43" s="30"/>
      <c r="CWN43" s="30"/>
      <c r="CWO43" s="30"/>
      <c r="CWP43" s="30"/>
      <c r="CWQ43" s="30"/>
      <c r="CWR43" s="30"/>
      <c r="CWS43" s="30"/>
      <c r="CWT43" s="30"/>
      <c r="CWU43" s="30"/>
      <c r="CWV43" s="30"/>
      <c r="CWW43" s="30"/>
      <c r="CWX43" s="30"/>
      <c r="CWY43" s="30"/>
      <c r="CWZ43" s="30"/>
      <c r="CXA43" s="30"/>
      <c r="CXB43" s="30"/>
      <c r="CXC43" s="30"/>
      <c r="CXD43" s="30"/>
      <c r="CXE43" s="30"/>
      <c r="CXF43" s="30"/>
      <c r="CXG43" s="30"/>
      <c r="CXH43" s="30"/>
      <c r="CXI43" s="30"/>
      <c r="CXJ43" s="30"/>
      <c r="CXK43" s="30"/>
      <c r="CXL43" s="30"/>
      <c r="CXM43" s="30"/>
      <c r="CXN43" s="30"/>
      <c r="CXO43" s="30"/>
      <c r="CXP43" s="30"/>
      <c r="CXQ43" s="30"/>
      <c r="CXR43" s="30"/>
      <c r="CXS43" s="30"/>
      <c r="CXT43" s="30"/>
      <c r="CXU43" s="30"/>
      <c r="CXV43" s="30"/>
      <c r="CXW43" s="30"/>
      <c r="CXX43" s="30"/>
      <c r="CXY43" s="30"/>
      <c r="CXZ43" s="30"/>
      <c r="CYA43" s="30"/>
      <c r="CYB43" s="30"/>
      <c r="CYC43" s="30"/>
      <c r="CYD43" s="30"/>
      <c r="CYE43" s="30"/>
      <c r="CYF43" s="30"/>
      <c r="CYG43" s="30"/>
      <c r="CYH43" s="30"/>
      <c r="CYI43" s="30"/>
      <c r="CYJ43" s="30"/>
      <c r="CYK43" s="30"/>
      <c r="CYL43" s="30"/>
      <c r="CYM43" s="30"/>
      <c r="CYN43" s="30"/>
      <c r="CYO43" s="30"/>
      <c r="CYP43" s="30"/>
      <c r="CYQ43" s="30"/>
      <c r="CYR43" s="30"/>
      <c r="CYS43" s="30"/>
      <c r="CYT43" s="30"/>
      <c r="CYU43" s="30"/>
      <c r="CYV43" s="30"/>
      <c r="CYW43" s="30"/>
      <c r="CYX43" s="30"/>
      <c r="CYY43" s="30"/>
      <c r="CYZ43" s="30"/>
      <c r="CZA43" s="30"/>
      <c r="CZB43" s="30"/>
      <c r="CZC43" s="30"/>
      <c r="CZD43" s="30"/>
      <c r="CZE43" s="30"/>
      <c r="CZF43" s="30"/>
      <c r="CZG43" s="30"/>
      <c r="CZH43" s="30"/>
      <c r="CZI43" s="30"/>
      <c r="CZJ43" s="30"/>
      <c r="CZK43" s="30"/>
      <c r="CZL43" s="30"/>
      <c r="CZM43" s="30"/>
      <c r="CZN43" s="30"/>
      <c r="CZO43" s="30"/>
      <c r="CZP43" s="30"/>
      <c r="CZQ43" s="30"/>
      <c r="CZR43" s="30"/>
      <c r="CZS43" s="30"/>
      <c r="CZT43" s="30"/>
      <c r="CZU43" s="30"/>
      <c r="CZV43" s="30"/>
      <c r="CZW43" s="30"/>
      <c r="CZX43" s="30"/>
      <c r="CZY43" s="30"/>
      <c r="CZZ43" s="30"/>
      <c r="DAA43" s="30"/>
      <c r="DAB43" s="30"/>
      <c r="DAC43" s="30"/>
      <c r="DAD43" s="30"/>
      <c r="DAE43" s="30"/>
      <c r="DAF43" s="30"/>
      <c r="DAG43" s="30"/>
      <c r="DAH43" s="30"/>
      <c r="DAI43" s="30"/>
      <c r="DAJ43" s="30"/>
      <c r="DAK43" s="30"/>
      <c r="DAL43" s="30"/>
      <c r="DAM43" s="30"/>
      <c r="DAN43" s="30"/>
      <c r="DAO43" s="30"/>
      <c r="DAP43" s="30"/>
      <c r="DAQ43" s="30"/>
      <c r="DAR43" s="30"/>
      <c r="DAS43" s="30"/>
      <c r="DAT43" s="30"/>
      <c r="DAU43" s="30"/>
      <c r="DAV43" s="30"/>
      <c r="DAW43" s="30"/>
      <c r="DAX43" s="30"/>
      <c r="DAY43" s="30"/>
      <c r="DAZ43" s="30"/>
      <c r="DBA43" s="30"/>
      <c r="DBB43" s="30"/>
      <c r="DBC43" s="30"/>
      <c r="DBD43" s="30"/>
      <c r="DBE43" s="30"/>
      <c r="DBF43" s="30"/>
      <c r="DBG43" s="30"/>
      <c r="DBH43" s="30"/>
      <c r="DBI43" s="30"/>
      <c r="DBJ43" s="30"/>
      <c r="DBK43" s="30"/>
      <c r="DBL43" s="30"/>
      <c r="DBM43" s="30"/>
      <c r="DBN43" s="30"/>
      <c r="DBO43" s="30"/>
      <c r="DBP43" s="30"/>
      <c r="DBQ43" s="30"/>
      <c r="DBR43" s="30"/>
      <c r="DBS43" s="30"/>
      <c r="DBT43" s="30"/>
      <c r="DBU43" s="30"/>
      <c r="DBV43" s="30"/>
      <c r="DBW43" s="30"/>
      <c r="DBX43" s="30"/>
      <c r="DBY43" s="30"/>
      <c r="DBZ43" s="30"/>
      <c r="DCA43" s="30"/>
      <c r="DCB43" s="30"/>
      <c r="DCC43" s="30"/>
      <c r="DCD43" s="30"/>
      <c r="DCE43" s="30"/>
      <c r="DCF43" s="30"/>
      <c r="DCG43" s="30"/>
      <c r="DCH43" s="30"/>
      <c r="DCI43" s="30"/>
      <c r="DCJ43" s="30"/>
      <c r="DCK43" s="30"/>
      <c r="DCL43" s="30"/>
      <c r="DCM43" s="30"/>
      <c r="DCN43" s="30"/>
      <c r="DCO43" s="30"/>
      <c r="DCP43" s="30"/>
      <c r="DCQ43" s="30"/>
      <c r="DCR43" s="30"/>
      <c r="DCS43" s="30"/>
      <c r="DCT43" s="30"/>
      <c r="DCU43" s="30"/>
      <c r="DCV43" s="30"/>
      <c r="DCW43" s="30"/>
      <c r="DCX43" s="30"/>
      <c r="DCY43" s="30"/>
      <c r="DCZ43" s="30"/>
      <c r="DDA43" s="30"/>
      <c r="DDB43" s="30"/>
      <c r="DDC43" s="30"/>
      <c r="DDD43" s="30"/>
      <c r="DDE43" s="30"/>
      <c r="DDF43" s="30"/>
      <c r="DDG43" s="30"/>
      <c r="DDH43" s="30"/>
      <c r="DDI43" s="30"/>
      <c r="DDJ43" s="30"/>
      <c r="DDK43" s="30"/>
      <c r="DDL43" s="30"/>
      <c r="DDM43" s="30"/>
      <c r="DDN43" s="30"/>
      <c r="DDO43" s="30"/>
      <c r="DDP43" s="30"/>
      <c r="DDQ43" s="30"/>
      <c r="DDR43" s="30"/>
      <c r="DDS43" s="30"/>
      <c r="DDT43" s="30"/>
      <c r="DDU43" s="30"/>
      <c r="DDV43" s="30"/>
      <c r="DDW43" s="30"/>
      <c r="DDX43" s="30"/>
      <c r="DDY43" s="30"/>
      <c r="DDZ43" s="30"/>
      <c r="DEA43" s="30"/>
      <c r="DEB43" s="30"/>
      <c r="DEC43" s="30"/>
      <c r="DED43" s="30"/>
      <c r="DEE43" s="30"/>
      <c r="DEF43" s="30"/>
      <c r="DEG43" s="30"/>
      <c r="DEH43" s="30"/>
      <c r="DEI43" s="30"/>
      <c r="DEJ43" s="30"/>
      <c r="DEK43" s="30"/>
      <c r="DEL43" s="30"/>
      <c r="DEM43" s="30"/>
      <c r="DEN43" s="30"/>
      <c r="DEO43" s="30"/>
      <c r="DEP43" s="30"/>
      <c r="DEQ43" s="30"/>
      <c r="DER43" s="30"/>
      <c r="DES43" s="30"/>
      <c r="DET43" s="30"/>
      <c r="DEU43" s="30"/>
      <c r="DEV43" s="30"/>
      <c r="DEW43" s="30"/>
      <c r="DEX43" s="30"/>
      <c r="DEY43" s="30"/>
      <c r="DEZ43" s="30"/>
      <c r="DFA43" s="30"/>
      <c r="DFB43" s="30"/>
      <c r="DFC43" s="30"/>
      <c r="DFD43" s="30"/>
      <c r="DFE43" s="30"/>
      <c r="DFF43" s="30"/>
      <c r="DFG43" s="30"/>
      <c r="DFH43" s="30"/>
      <c r="DFI43" s="30"/>
      <c r="DFJ43" s="30"/>
      <c r="DFK43" s="30"/>
      <c r="DFL43" s="30"/>
      <c r="DFM43" s="30"/>
      <c r="DFN43" s="30"/>
      <c r="DFO43" s="30"/>
      <c r="DFP43" s="30"/>
      <c r="DFQ43" s="30"/>
      <c r="DFR43" s="30"/>
      <c r="DFS43" s="30"/>
      <c r="DFT43" s="30"/>
      <c r="DFU43" s="30"/>
      <c r="DFV43" s="30"/>
      <c r="DFW43" s="30"/>
      <c r="DFX43" s="30"/>
      <c r="DFY43" s="30"/>
      <c r="DFZ43" s="30"/>
      <c r="DGA43" s="30"/>
      <c r="DGB43" s="30"/>
      <c r="DGC43" s="30"/>
      <c r="DGD43" s="30"/>
      <c r="DGE43" s="30"/>
      <c r="DGF43" s="30"/>
      <c r="DGG43" s="30"/>
      <c r="DGH43" s="30"/>
      <c r="DGI43" s="30"/>
      <c r="DGJ43" s="30"/>
      <c r="DGK43" s="30"/>
      <c r="DGL43" s="30"/>
      <c r="DGM43" s="30"/>
      <c r="DGN43" s="30"/>
      <c r="DGO43" s="30"/>
      <c r="DGP43" s="30"/>
      <c r="DGQ43" s="30"/>
      <c r="DGR43" s="30"/>
      <c r="DGS43" s="30"/>
      <c r="DGT43" s="30"/>
      <c r="DGU43" s="30"/>
      <c r="DGV43" s="30"/>
      <c r="DGW43" s="30"/>
      <c r="DGX43" s="30"/>
      <c r="DGY43" s="30"/>
      <c r="DGZ43" s="30"/>
      <c r="DHA43" s="30"/>
      <c r="DHB43" s="30"/>
      <c r="DHC43" s="30"/>
      <c r="DHD43" s="30"/>
      <c r="DHE43" s="30"/>
      <c r="DHF43" s="30"/>
      <c r="DHG43" s="30"/>
      <c r="DHH43" s="30"/>
      <c r="DHI43" s="30"/>
      <c r="DHJ43" s="30"/>
      <c r="DHK43" s="30"/>
      <c r="DHL43" s="30"/>
      <c r="DHM43" s="30"/>
      <c r="DHN43" s="30"/>
      <c r="DHO43" s="30"/>
      <c r="DHP43" s="30"/>
      <c r="DHQ43" s="30"/>
      <c r="DHR43" s="30"/>
      <c r="DHS43" s="30"/>
      <c r="DHT43" s="30"/>
      <c r="DHU43" s="30"/>
      <c r="DHV43" s="30"/>
      <c r="DHW43" s="30"/>
      <c r="DHX43" s="30"/>
      <c r="DHY43" s="30"/>
      <c r="DHZ43" s="30"/>
      <c r="DIA43" s="30"/>
      <c r="DIB43" s="30"/>
      <c r="DIC43" s="30"/>
      <c r="DID43" s="30"/>
      <c r="DIE43" s="30"/>
      <c r="DIF43" s="30"/>
      <c r="DIG43" s="30"/>
      <c r="DIH43" s="30"/>
      <c r="DII43" s="30"/>
      <c r="DIJ43" s="30"/>
      <c r="DIK43" s="30"/>
      <c r="DIL43" s="30"/>
      <c r="DIM43" s="30"/>
      <c r="DIN43" s="30"/>
      <c r="DIO43" s="30"/>
      <c r="DIP43" s="30"/>
      <c r="DIQ43" s="30"/>
      <c r="DIR43" s="30"/>
      <c r="DIS43" s="30"/>
      <c r="DIT43" s="30"/>
      <c r="DIU43" s="30"/>
      <c r="DIV43" s="30"/>
      <c r="DIW43" s="30"/>
      <c r="DIX43" s="30"/>
      <c r="DIY43" s="30"/>
      <c r="DIZ43" s="30"/>
      <c r="DJA43" s="30"/>
      <c r="DJB43" s="30"/>
      <c r="DJC43" s="30"/>
      <c r="DJD43" s="30"/>
      <c r="DJE43" s="30"/>
      <c r="DJF43" s="30"/>
      <c r="DJG43" s="30"/>
      <c r="DJH43" s="30"/>
      <c r="DJI43" s="30"/>
      <c r="DJJ43" s="30"/>
      <c r="DJK43" s="30"/>
      <c r="DJL43" s="30"/>
      <c r="DJM43" s="30"/>
      <c r="DJN43" s="30"/>
      <c r="DJO43" s="30"/>
      <c r="DJP43" s="30"/>
      <c r="DJQ43" s="30"/>
      <c r="DJR43" s="30"/>
      <c r="DJS43" s="30"/>
      <c r="DJT43" s="30"/>
      <c r="DJU43" s="30"/>
      <c r="DJV43" s="30"/>
      <c r="DJW43" s="30"/>
      <c r="DJX43" s="30"/>
      <c r="DJY43" s="30"/>
      <c r="DJZ43" s="30"/>
      <c r="DKA43" s="30"/>
      <c r="DKB43" s="30"/>
      <c r="DKC43" s="30"/>
      <c r="DKD43" s="30"/>
      <c r="DKE43" s="30"/>
      <c r="DKF43" s="30"/>
      <c r="DKG43" s="30"/>
      <c r="DKH43" s="30"/>
      <c r="DKI43" s="30"/>
      <c r="DKJ43" s="30"/>
      <c r="DKK43" s="30"/>
      <c r="DKL43" s="30"/>
      <c r="DKM43" s="30"/>
      <c r="DKN43" s="30"/>
      <c r="DKO43" s="30"/>
      <c r="DKP43" s="30"/>
      <c r="DKQ43" s="30"/>
      <c r="DKR43" s="30"/>
      <c r="DKS43" s="30"/>
      <c r="DKT43" s="30"/>
      <c r="DKU43" s="30"/>
      <c r="DKV43" s="30"/>
      <c r="DKW43" s="30"/>
      <c r="DKX43" s="30"/>
      <c r="DKY43" s="30"/>
      <c r="DKZ43" s="30"/>
      <c r="DLA43" s="30"/>
      <c r="DLB43" s="30"/>
      <c r="DLC43" s="30"/>
      <c r="DLD43" s="30"/>
      <c r="DLE43" s="30"/>
      <c r="DLF43" s="30"/>
      <c r="DLG43" s="30"/>
      <c r="DLH43" s="30"/>
      <c r="DLI43" s="30"/>
      <c r="DLJ43" s="30"/>
      <c r="DLK43" s="30"/>
      <c r="DLL43" s="30"/>
      <c r="DLM43" s="30"/>
      <c r="DLN43" s="30"/>
      <c r="DLO43" s="30"/>
      <c r="DLP43" s="30"/>
      <c r="DLQ43" s="30"/>
      <c r="DLR43" s="30"/>
      <c r="DLS43" s="30"/>
      <c r="DLT43" s="30"/>
      <c r="DLU43" s="30"/>
      <c r="DLV43" s="30"/>
      <c r="DLW43" s="30"/>
      <c r="DLX43" s="30"/>
      <c r="DLY43" s="30"/>
      <c r="DLZ43" s="30"/>
      <c r="DMA43" s="30"/>
      <c r="DMB43" s="30"/>
      <c r="DMC43" s="30"/>
      <c r="DMD43" s="30"/>
      <c r="DME43" s="30"/>
      <c r="DMF43" s="30"/>
      <c r="DMG43" s="30"/>
      <c r="DMH43" s="30"/>
      <c r="DMI43" s="30"/>
      <c r="DMJ43" s="30"/>
      <c r="DMK43" s="30"/>
      <c r="DML43" s="30"/>
      <c r="DMM43" s="30"/>
      <c r="DMN43" s="30"/>
      <c r="DMO43" s="30"/>
      <c r="DMP43" s="30"/>
      <c r="DMQ43" s="30"/>
      <c r="DMR43" s="30"/>
      <c r="DMS43" s="30"/>
      <c r="DMT43" s="30"/>
      <c r="DMU43" s="30"/>
      <c r="DMV43" s="30"/>
      <c r="DMW43" s="30"/>
      <c r="DMX43" s="30"/>
      <c r="DMY43" s="30"/>
      <c r="DMZ43" s="30"/>
      <c r="DNA43" s="30"/>
      <c r="DNB43" s="30"/>
      <c r="DNC43" s="30"/>
      <c r="DND43" s="30"/>
      <c r="DNE43" s="30"/>
      <c r="DNF43" s="30"/>
      <c r="DNG43" s="30"/>
      <c r="DNH43" s="30"/>
      <c r="DNI43" s="30"/>
      <c r="DNJ43" s="30"/>
      <c r="DNK43" s="30"/>
      <c r="DNL43" s="30"/>
      <c r="DNM43" s="30"/>
      <c r="DNN43" s="30"/>
      <c r="DNO43" s="30"/>
      <c r="DNP43" s="30"/>
      <c r="DNQ43" s="30"/>
      <c r="DNR43" s="30"/>
      <c r="DNS43" s="30"/>
      <c r="DNT43" s="30"/>
      <c r="DNU43" s="30"/>
      <c r="DNV43" s="30"/>
      <c r="DNW43" s="30"/>
      <c r="DNX43" s="30"/>
      <c r="DNY43" s="30"/>
      <c r="DNZ43" s="30"/>
      <c r="DOA43" s="30"/>
      <c r="DOB43" s="30"/>
      <c r="DOC43" s="30"/>
      <c r="DOD43" s="30"/>
      <c r="DOE43" s="30"/>
      <c r="DOF43" s="30"/>
      <c r="DOG43" s="30"/>
      <c r="DOH43" s="30"/>
      <c r="DOI43" s="30"/>
      <c r="DOJ43" s="30"/>
      <c r="DOK43" s="30"/>
      <c r="DOL43" s="30"/>
      <c r="DOM43" s="30"/>
      <c r="DON43" s="30"/>
      <c r="DOO43" s="30"/>
      <c r="DOP43" s="30"/>
      <c r="DOQ43" s="30"/>
      <c r="DOR43" s="30"/>
      <c r="DOS43" s="30"/>
      <c r="DOT43" s="30"/>
      <c r="DOU43" s="30"/>
      <c r="DOV43" s="30"/>
      <c r="DOW43" s="30"/>
      <c r="DOX43" s="30"/>
      <c r="DOY43" s="30"/>
      <c r="DOZ43" s="30"/>
      <c r="DPA43" s="30"/>
      <c r="DPB43" s="30"/>
      <c r="DPC43" s="30"/>
      <c r="DPD43" s="30"/>
      <c r="DPE43" s="30"/>
      <c r="DPF43" s="30"/>
      <c r="DPG43" s="30"/>
      <c r="DPH43" s="30"/>
      <c r="DPI43" s="30"/>
      <c r="DPJ43" s="30"/>
      <c r="DPK43" s="30"/>
      <c r="DPL43" s="30"/>
      <c r="DPM43" s="30"/>
      <c r="DPN43" s="30"/>
      <c r="DPO43" s="30"/>
      <c r="DPP43" s="30"/>
      <c r="DPQ43" s="30"/>
      <c r="DPR43" s="30"/>
      <c r="DPS43" s="30"/>
      <c r="DPT43" s="30"/>
      <c r="DPU43" s="30"/>
      <c r="DPV43" s="30"/>
      <c r="DPW43" s="30"/>
      <c r="DPX43" s="30"/>
      <c r="DPY43" s="30"/>
      <c r="DPZ43" s="30"/>
      <c r="DQA43" s="30"/>
      <c r="DQB43" s="30"/>
      <c r="DQC43" s="30"/>
      <c r="DQD43" s="30"/>
      <c r="DQE43" s="30"/>
      <c r="DQF43" s="30"/>
      <c r="DQG43" s="30"/>
      <c r="DQH43" s="30"/>
      <c r="DQI43" s="30"/>
      <c r="DQJ43" s="30"/>
      <c r="DQK43" s="30"/>
      <c r="DQL43" s="30"/>
      <c r="DQM43" s="30"/>
      <c r="DQN43" s="30"/>
      <c r="DQO43" s="30"/>
      <c r="DQP43" s="30"/>
      <c r="DQQ43" s="30"/>
      <c r="DQR43" s="30"/>
      <c r="DQS43" s="30"/>
      <c r="DQT43" s="30"/>
      <c r="DQU43" s="30"/>
      <c r="DQV43" s="30"/>
      <c r="DQW43" s="30"/>
      <c r="DQX43" s="30"/>
      <c r="DQY43" s="30"/>
      <c r="DQZ43" s="30"/>
      <c r="DRA43" s="30"/>
      <c r="DRB43" s="30"/>
      <c r="DRC43" s="30"/>
      <c r="DRD43" s="30"/>
      <c r="DRE43" s="30"/>
      <c r="DRF43" s="30"/>
      <c r="DRG43" s="30"/>
      <c r="DRH43" s="30"/>
      <c r="DRI43" s="30"/>
      <c r="DRJ43" s="30"/>
      <c r="DRK43" s="30"/>
      <c r="DRL43" s="30"/>
      <c r="DRM43" s="30"/>
      <c r="DRN43" s="30"/>
      <c r="DRO43" s="30"/>
      <c r="DRP43" s="30"/>
      <c r="DRQ43" s="30"/>
      <c r="DRR43" s="30"/>
      <c r="DRS43" s="30"/>
      <c r="DRT43" s="30"/>
      <c r="DRU43" s="30"/>
      <c r="DRV43" s="30"/>
      <c r="DRW43" s="30"/>
      <c r="DRX43" s="30"/>
      <c r="DRY43" s="30"/>
      <c r="DRZ43" s="30"/>
      <c r="DSA43" s="30"/>
      <c r="DSB43" s="30"/>
      <c r="DSC43" s="30"/>
      <c r="DSD43" s="30"/>
      <c r="DSE43" s="30"/>
      <c r="DSF43" s="30"/>
      <c r="DSG43" s="30"/>
      <c r="DSH43" s="30"/>
      <c r="DSI43" s="30"/>
      <c r="DSJ43" s="30"/>
      <c r="DSK43" s="30"/>
      <c r="DSL43" s="30"/>
      <c r="DSM43" s="30"/>
      <c r="DSN43" s="30"/>
      <c r="DSO43" s="30"/>
      <c r="DSP43" s="30"/>
      <c r="DSQ43" s="30"/>
      <c r="DSR43" s="30"/>
      <c r="DSS43" s="30"/>
      <c r="DST43" s="30"/>
      <c r="DSU43" s="30"/>
      <c r="DSV43" s="30"/>
      <c r="DSW43" s="30"/>
      <c r="DSX43" s="30"/>
      <c r="DSY43" s="30"/>
      <c r="DSZ43" s="30"/>
      <c r="DTA43" s="30"/>
      <c r="DTB43" s="30"/>
      <c r="DTC43" s="30"/>
      <c r="DTD43" s="30"/>
      <c r="DTE43" s="30"/>
      <c r="DTF43" s="30"/>
      <c r="DTG43" s="30"/>
      <c r="DTH43" s="30"/>
      <c r="DTI43" s="30"/>
      <c r="DTJ43" s="30"/>
      <c r="DTK43" s="30"/>
      <c r="DTL43" s="30"/>
      <c r="DTM43" s="30"/>
      <c r="DTN43" s="30"/>
      <c r="DTO43" s="30"/>
      <c r="DTP43" s="30"/>
      <c r="DTQ43" s="30"/>
      <c r="DTR43" s="30"/>
      <c r="DTS43" s="30"/>
      <c r="DTT43" s="30"/>
      <c r="DTU43" s="30"/>
      <c r="DTV43" s="30"/>
      <c r="DTW43" s="30"/>
      <c r="DTX43" s="30"/>
      <c r="DTY43" s="30"/>
      <c r="DTZ43" s="30"/>
      <c r="DUA43" s="30"/>
      <c r="DUB43" s="30"/>
      <c r="DUC43" s="30"/>
      <c r="DUD43" s="30"/>
      <c r="DUE43" s="30"/>
      <c r="DUF43" s="30"/>
      <c r="DUG43" s="30"/>
      <c r="DUH43" s="30"/>
      <c r="DUI43" s="30"/>
      <c r="DUJ43" s="30"/>
      <c r="DUK43" s="30"/>
      <c r="DUL43" s="30"/>
      <c r="DUM43" s="30"/>
      <c r="DUN43" s="30"/>
      <c r="DUO43" s="30"/>
      <c r="DUP43" s="30"/>
      <c r="DUQ43" s="30"/>
      <c r="DUR43" s="30"/>
      <c r="DUS43" s="30"/>
      <c r="DUT43" s="30"/>
      <c r="DUU43" s="30"/>
      <c r="DUV43" s="30"/>
      <c r="DUW43" s="30"/>
      <c r="DUX43" s="30"/>
      <c r="DUY43" s="30"/>
      <c r="DUZ43" s="30"/>
      <c r="DVA43" s="30"/>
      <c r="DVB43" s="30"/>
      <c r="DVC43" s="30"/>
      <c r="DVD43" s="30"/>
      <c r="DVE43" s="30"/>
      <c r="DVF43" s="30"/>
      <c r="DVG43" s="30"/>
      <c r="DVH43" s="30"/>
      <c r="DVI43" s="30"/>
      <c r="DVJ43" s="30"/>
      <c r="DVK43" s="30"/>
      <c r="DVL43" s="30"/>
      <c r="DVM43" s="30"/>
      <c r="DVN43" s="30"/>
      <c r="DVO43" s="30"/>
      <c r="DVP43" s="30"/>
      <c r="DVQ43" s="30"/>
      <c r="DVR43" s="30"/>
      <c r="DVS43" s="30"/>
      <c r="DVT43" s="30"/>
      <c r="DVU43" s="30"/>
      <c r="DVV43" s="30"/>
      <c r="DVW43" s="30"/>
      <c r="DVX43" s="30"/>
      <c r="DVY43" s="30"/>
      <c r="DVZ43" s="30"/>
      <c r="DWA43" s="30"/>
      <c r="DWB43" s="30"/>
      <c r="DWC43" s="30"/>
      <c r="DWD43" s="30"/>
      <c r="DWE43" s="30"/>
      <c r="DWF43" s="30"/>
      <c r="DWG43" s="30"/>
      <c r="DWH43" s="30"/>
      <c r="DWI43" s="30"/>
      <c r="DWJ43" s="30"/>
      <c r="DWK43" s="30"/>
      <c r="DWL43" s="30"/>
      <c r="DWM43" s="30"/>
      <c r="DWN43" s="30"/>
      <c r="DWO43" s="30"/>
      <c r="DWP43" s="30"/>
      <c r="DWQ43" s="30"/>
      <c r="DWR43" s="30"/>
      <c r="DWS43" s="30"/>
      <c r="DWT43" s="30"/>
      <c r="DWU43" s="30"/>
      <c r="DWV43" s="30"/>
      <c r="DWW43" s="30"/>
      <c r="DWX43" s="30"/>
      <c r="DWY43" s="30"/>
      <c r="DWZ43" s="30"/>
      <c r="DXA43" s="30"/>
      <c r="DXB43" s="30"/>
      <c r="DXC43" s="30"/>
      <c r="DXD43" s="30"/>
      <c r="DXE43" s="30"/>
      <c r="DXF43" s="30"/>
      <c r="DXG43" s="30"/>
      <c r="DXH43" s="30"/>
      <c r="DXI43" s="30"/>
      <c r="DXJ43" s="30"/>
      <c r="DXK43" s="30"/>
      <c r="DXL43" s="30"/>
      <c r="DXM43" s="30"/>
      <c r="DXN43" s="30"/>
      <c r="DXO43" s="30"/>
      <c r="DXP43" s="30"/>
      <c r="DXQ43" s="30"/>
      <c r="DXR43" s="30"/>
      <c r="DXS43" s="30"/>
      <c r="DXT43" s="30"/>
      <c r="DXU43" s="30"/>
      <c r="DXV43" s="30"/>
      <c r="DXW43" s="30"/>
      <c r="DXX43" s="30"/>
      <c r="DXY43" s="30"/>
      <c r="DXZ43" s="30"/>
      <c r="DYA43" s="30"/>
      <c r="DYB43" s="30"/>
      <c r="DYC43" s="30"/>
      <c r="DYD43" s="30"/>
      <c r="DYE43" s="30"/>
      <c r="DYF43" s="30"/>
      <c r="DYG43" s="30"/>
      <c r="DYH43" s="30"/>
      <c r="DYI43" s="30"/>
      <c r="DYJ43" s="30"/>
      <c r="DYK43" s="30"/>
      <c r="DYL43" s="30"/>
      <c r="DYM43" s="30"/>
      <c r="DYN43" s="30"/>
      <c r="DYO43" s="30"/>
      <c r="DYP43" s="30"/>
      <c r="DYQ43" s="30"/>
      <c r="DYR43" s="30"/>
      <c r="DYS43" s="30"/>
      <c r="DYT43" s="30"/>
      <c r="DYU43" s="30"/>
      <c r="DYV43" s="30"/>
      <c r="DYW43" s="30"/>
      <c r="DYX43" s="30"/>
      <c r="DYY43" s="30"/>
      <c r="DYZ43" s="30"/>
      <c r="DZA43" s="30"/>
      <c r="DZB43" s="30"/>
      <c r="DZC43" s="30"/>
      <c r="DZD43" s="30"/>
      <c r="DZE43" s="30"/>
      <c r="DZF43" s="30"/>
      <c r="DZG43" s="30"/>
      <c r="DZH43" s="30"/>
      <c r="DZI43" s="30"/>
      <c r="DZJ43" s="30"/>
      <c r="DZK43" s="30"/>
      <c r="DZL43" s="30"/>
      <c r="DZM43" s="30"/>
      <c r="DZN43" s="30"/>
      <c r="DZO43" s="30"/>
      <c r="DZP43" s="30"/>
      <c r="DZQ43" s="30"/>
      <c r="DZR43" s="30"/>
      <c r="DZS43" s="30"/>
      <c r="DZT43" s="30"/>
      <c r="DZU43" s="30"/>
      <c r="DZV43" s="30"/>
      <c r="DZW43" s="30"/>
      <c r="DZX43" s="30"/>
      <c r="DZY43" s="30"/>
      <c r="DZZ43" s="30"/>
      <c r="EAA43" s="30"/>
      <c r="EAB43" s="30"/>
      <c r="EAC43" s="30"/>
      <c r="EAD43" s="30"/>
      <c r="EAE43" s="30"/>
      <c r="EAF43" s="30"/>
      <c r="EAG43" s="30"/>
      <c r="EAH43" s="30"/>
      <c r="EAI43" s="30"/>
      <c r="EAJ43" s="30"/>
      <c r="EAK43" s="30"/>
      <c r="EAL43" s="30"/>
      <c r="EAM43" s="30"/>
      <c r="EAN43" s="30"/>
      <c r="EAO43" s="30"/>
      <c r="EAP43" s="30"/>
      <c r="EAQ43" s="30"/>
      <c r="EAR43" s="30"/>
      <c r="EAS43" s="30"/>
      <c r="EAT43" s="30"/>
      <c r="EAU43" s="30"/>
      <c r="EAV43" s="30"/>
      <c r="EAW43" s="30"/>
      <c r="EAX43" s="30"/>
      <c r="EAY43" s="30"/>
      <c r="EAZ43" s="30"/>
      <c r="EBA43" s="30"/>
      <c r="EBB43" s="30"/>
      <c r="EBC43" s="30"/>
      <c r="EBD43" s="30"/>
      <c r="EBE43" s="30"/>
      <c r="EBF43" s="30"/>
      <c r="EBG43" s="30"/>
      <c r="EBH43" s="30"/>
      <c r="EBI43" s="30"/>
      <c r="EBJ43" s="30"/>
      <c r="EBK43" s="30"/>
      <c r="EBL43" s="30"/>
      <c r="EBM43" s="30"/>
      <c r="EBN43" s="30"/>
      <c r="EBO43" s="30"/>
      <c r="EBP43" s="30"/>
      <c r="EBQ43" s="30"/>
      <c r="EBR43" s="30"/>
      <c r="EBS43" s="30"/>
      <c r="EBT43" s="30"/>
      <c r="EBU43" s="30"/>
      <c r="EBV43" s="30"/>
      <c r="EBW43" s="30"/>
      <c r="EBX43" s="30"/>
      <c r="EBY43" s="30"/>
      <c r="EBZ43" s="30"/>
      <c r="ECA43" s="30"/>
      <c r="ECB43" s="30"/>
      <c r="ECC43" s="30"/>
      <c r="ECD43" s="30"/>
      <c r="ECE43" s="30"/>
      <c r="ECF43" s="30"/>
      <c r="ECG43" s="30"/>
      <c r="ECH43" s="30"/>
      <c r="ECI43" s="30"/>
      <c r="ECJ43" s="30"/>
      <c r="ECK43" s="30"/>
      <c r="ECL43" s="30"/>
      <c r="ECM43" s="30"/>
      <c r="ECN43" s="30"/>
      <c r="ECO43" s="30"/>
      <c r="ECP43" s="30"/>
      <c r="ECQ43" s="30"/>
      <c r="ECR43" s="30"/>
      <c r="ECS43" s="30"/>
      <c r="ECT43" s="30"/>
      <c r="ECU43" s="30"/>
      <c r="ECV43" s="30"/>
      <c r="ECW43" s="30"/>
      <c r="ECX43" s="30"/>
      <c r="ECY43" s="30"/>
      <c r="ECZ43" s="30"/>
      <c r="EDA43" s="30"/>
      <c r="EDB43" s="30"/>
      <c r="EDC43" s="30"/>
      <c r="EDD43" s="30"/>
      <c r="EDE43" s="30"/>
      <c r="EDF43" s="30"/>
      <c r="EDG43" s="30"/>
      <c r="EDH43" s="30"/>
      <c r="EDI43" s="30"/>
      <c r="EDJ43" s="30"/>
      <c r="EDK43" s="30"/>
      <c r="EDL43" s="30"/>
      <c r="EDM43" s="30"/>
      <c r="EDN43" s="30"/>
      <c r="EDO43" s="30"/>
      <c r="EDP43" s="30"/>
      <c r="EDQ43" s="30"/>
      <c r="EDR43" s="30"/>
      <c r="EDS43" s="30"/>
      <c r="EDT43" s="30"/>
      <c r="EDU43" s="30"/>
      <c r="EDV43" s="30"/>
      <c r="EDW43" s="30"/>
      <c r="EDX43" s="30"/>
      <c r="EDY43" s="30"/>
      <c r="EDZ43" s="30"/>
      <c r="EEA43" s="30"/>
      <c r="EEB43" s="30"/>
      <c r="EEC43" s="30"/>
      <c r="EED43" s="30"/>
      <c r="EEE43" s="30"/>
      <c r="EEF43" s="30"/>
      <c r="EEG43" s="30"/>
      <c r="EEH43" s="30"/>
      <c r="EEI43" s="30"/>
      <c r="EEJ43" s="30"/>
      <c r="EEK43" s="30"/>
      <c r="EEL43" s="30"/>
      <c r="EEM43" s="30"/>
      <c r="EEN43" s="30"/>
      <c r="EEO43" s="30"/>
      <c r="EEP43" s="30"/>
      <c r="EEQ43" s="30"/>
      <c r="EER43" s="30"/>
      <c r="EES43" s="30"/>
      <c r="EET43" s="30"/>
      <c r="EEU43" s="30"/>
      <c r="EEV43" s="30"/>
      <c r="EEW43" s="30"/>
      <c r="EEX43" s="30"/>
      <c r="EEY43" s="30"/>
      <c r="EEZ43" s="30"/>
      <c r="EFA43" s="30"/>
      <c r="EFB43" s="30"/>
      <c r="EFC43" s="30"/>
      <c r="EFD43" s="30"/>
      <c r="EFE43" s="30"/>
      <c r="EFF43" s="30"/>
      <c r="EFG43" s="30"/>
      <c r="EFH43" s="30"/>
      <c r="EFI43" s="30"/>
      <c r="EFJ43" s="30"/>
      <c r="EFK43" s="30"/>
      <c r="EFL43" s="30"/>
      <c r="EFM43" s="30"/>
      <c r="EFN43" s="30"/>
      <c r="EFO43" s="30"/>
      <c r="EFP43" s="30"/>
      <c r="EFQ43" s="30"/>
      <c r="EFR43" s="30"/>
      <c r="EFS43" s="30"/>
      <c r="EFT43" s="30"/>
      <c r="EFU43" s="30"/>
      <c r="EFV43" s="30"/>
      <c r="EFW43" s="30"/>
      <c r="EFX43" s="30"/>
      <c r="EFY43" s="30"/>
      <c r="EFZ43" s="30"/>
      <c r="EGA43" s="30"/>
      <c r="EGB43" s="30"/>
      <c r="EGC43" s="30"/>
      <c r="EGD43" s="30"/>
      <c r="EGE43" s="30"/>
      <c r="EGF43" s="30"/>
      <c r="EGG43" s="30"/>
      <c r="EGH43" s="30"/>
      <c r="EGI43" s="30"/>
      <c r="EGJ43" s="30"/>
      <c r="EGK43" s="30"/>
      <c r="EGL43" s="30"/>
      <c r="EGM43" s="30"/>
      <c r="EGN43" s="30"/>
      <c r="EGO43" s="30"/>
      <c r="EGP43" s="30"/>
      <c r="EGQ43" s="30"/>
      <c r="EGR43" s="30"/>
      <c r="EGS43" s="30"/>
      <c r="EGT43" s="30"/>
      <c r="EGU43" s="30"/>
      <c r="EGV43" s="30"/>
      <c r="EGW43" s="30"/>
      <c r="EGX43" s="30"/>
      <c r="EGY43" s="30"/>
      <c r="EGZ43" s="30"/>
      <c r="EHA43" s="30"/>
      <c r="EHB43" s="30"/>
      <c r="EHC43" s="30"/>
      <c r="EHD43" s="30"/>
      <c r="EHE43" s="30"/>
      <c r="EHF43" s="30"/>
      <c r="EHG43" s="30"/>
      <c r="EHH43" s="30"/>
      <c r="EHI43" s="30"/>
      <c r="EHJ43" s="30"/>
      <c r="EHK43" s="30"/>
      <c r="EHL43" s="30"/>
      <c r="EHM43" s="30"/>
      <c r="EHN43" s="30"/>
      <c r="EHO43" s="30"/>
      <c r="EHP43" s="30"/>
      <c r="EHQ43" s="30"/>
      <c r="EHR43" s="30"/>
      <c r="EHS43" s="30"/>
      <c r="EHT43" s="30"/>
      <c r="EHU43" s="30"/>
      <c r="EHV43" s="30"/>
      <c r="EHW43" s="30"/>
      <c r="EHX43" s="30"/>
      <c r="EHY43" s="30"/>
      <c r="EHZ43" s="30"/>
      <c r="EIA43" s="30"/>
      <c r="EIB43" s="30"/>
      <c r="EIC43" s="30"/>
      <c r="EID43" s="30"/>
      <c r="EIE43" s="30"/>
      <c r="EIF43" s="30"/>
      <c r="EIG43" s="30"/>
      <c r="EIH43" s="30"/>
      <c r="EII43" s="30"/>
      <c r="EIJ43" s="30"/>
      <c r="EIK43" s="30"/>
      <c r="EIL43" s="30"/>
      <c r="EIM43" s="30"/>
      <c r="EIN43" s="30"/>
      <c r="EIO43" s="30"/>
      <c r="EIP43" s="30"/>
      <c r="EIQ43" s="30"/>
      <c r="EIR43" s="30"/>
      <c r="EIS43" s="30"/>
      <c r="EIT43" s="30"/>
      <c r="EIU43" s="30"/>
      <c r="EIV43" s="30"/>
      <c r="EIW43" s="30"/>
      <c r="EIX43" s="30"/>
      <c r="EIY43" s="30"/>
      <c r="EIZ43" s="30"/>
      <c r="EJA43" s="30"/>
      <c r="EJB43" s="30"/>
      <c r="EJC43" s="30"/>
      <c r="EJD43" s="30"/>
      <c r="EJE43" s="30"/>
      <c r="EJF43" s="30"/>
      <c r="EJG43" s="30"/>
      <c r="EJH43" s="30"/>
      <c r="EJI43" s="30"/>
      <c r="EJJ43" s="30"/>
      <c r="EJK43" s="30"/>
      <c r="EJL43" s="30"/>
      <c r="EJM43" s="30"/>
      <c r="EJN43" s="30"/>
      <c r="EJO43" s="30"/>
      <c r="EJP43" s="30"/>
      <c r="EJQ43" s="30"/>
      <c r="EJR43" s="30"/>
      <c r="EJS43" s="30"/>
      <c r="EJT43" s="30"/>
      <c r="EJU43" s="30"/>
      <c r="EJV43" s="30"/>
      <c r="EJW43" s="30"/>
      <c r="EJX43" s="30"/>
      <c r="EJY43" s="30"/>
      <c r="EJZ43" s="30"/>
      <c r="EKA43" s="30"/>
      <c r="EKB43" s="30"/>
      <c r="EKC43" s="30"/>
      <c r="EKD43" s="30"/>
      <c r="EKE43" s="30"/>
      <c r="EKF43" s="30"/>
      <c r="EKG43" s="30"/>
      <c r="EKH43" s="30"/>
      <c r="EKI43" s="30"/>
      <c r="EKJ43" s="30"/>
      <c r="EKK43" s="30"/>
      <c r="EKL43" s="30"/>
      <c r="EKM43" s="30"/>
      <c r="EKN43" s="30"/>
      <c r="EKO43" s="30"/>
      <c r="EKP43" s="30"/>
      <c r="EKQ43" s="30"/>
      <c r="EKR43" s="30"/>
      <c r="EKS43" s="30"/>
      <c r="EKT43" s="30"/>
      <c r="EKU43" s="30"/>
      <c r="EKV43" s="30"/>
      <c r="EKW43" s="30"/>
      <c r="EKX43" s="30"/>
      <c r="EKY43" s="30"/>
      <c r="EKZ43" s="30"/>
      <c r="ELA43" s="30"/>
      <c r="ELB43" s="30"/>
      <c r="ELC43" s="30"/>
      <c r="ELD43" s="30"/>
      <c r="ELE43" s="30"/>
      <c r="ELF43" s="30"/>
      <c r="ELG43" s="30"/>
      <c r="ELH43" s="30"/>
      <c r="ELI43" s="30"/>
      <c r="ELJ43" s="30"/>
      <c r="ELK43" s="30"/>
      <c r="ELL43" s="30"/>
      <c r="ELM43" s="30"/>
      <c r="ELN43" s="30"/>
      <c r="ELO43" s="30"/>
      <c r="ELP43" s="30"/>
      <c r="ELQ43" s="30"/>
      <c r="ELR43" s="30"/>
      <c r="ELS43" s="30"/>
      <c r="ELT43" s="30"/>
      <c r="ELU43" s="30"/>
      <c r="ELV43" s="30"/>
      <c r="ELW43" s="30"/>
      <c r="ELX43" s="30"/>
      <c r="ELY43" s="30"/>
      <c r="ELZ43" s="30"/>
      <c r="EMA43" s="30"/>
      <c r="EMB43" s="30"/>
      <c r="EMC43" s="30"/>
      <c r="EMD43" s="30"/>
      <c r="EME43" s="30"/>
      <c r="EMF43" s="30"/>
      <c r="EMG43" s="30"/>
      <c r="EMH43" s="30"/>
      <c r="EMI43" s="30"/>
      <c r="EMJ43" s="30"/>
      <c r="EMK43" s="30"/>
      <c r="EML43" s="30"/>
      <c r="EMM43" s="30"/>
      <c r="EMN43" s="30"/>
      <c r="EMO43" s="30"/>
      <c r="EMP43" s="30"/>
      <c r="EMQ43" s="30"/>
      <c r="EMR43" s="30"/>
      <c r="EMS43" s="30"/>
      <c r="EMT43" s="30"/>
      <c r="EMU43" s="30"/>
      <c r="EMV43" s="30"/>
      <c r="EMW43" s="30"/>
      <c r="EMX43" s="30"/>
      <c r="EMY43" s="30"/>
      <c r="EMZ43" s="30"/>
      <c r="ENA43" s="30"/>
      <c r="ENB43" s="30"/>
      <c r="ENC43" s="30"/>
      <c r="END43" s="30"/>
      <c r="ENE43" s="30"/>
      <c r="ENF43" s="30"/>
      <c r="ENG43" s="30"/>
      <c r="ENH43" s="30"/>
      <c r="ENI43" s="30"/>
      <c r="ENJ43" s="30"/>
      <c r="ENK43" s="30"/>
      <c r="ENL43" s="30"/>
      <c r="ENM43" s="30"/>
      <c r="ENN43" s="30"/>
      <c r="ENO43" s="30"/>
      <c r="ENP43" s="30"/>
      <c r="ENQ43" s="30"/>
      <c r="ENR43" s="30"/>
      <c r="ENS43" s="30"/>
      <c r="ENT43" s="30"/>
      <c r="ENU43" s="30"/>
      <c r="ENV43" s="30"/>
      <c r="ENW43" s="30"/>
      <c r="ENX43" s="30"/>
      <c r="ENY43" s="30"/>
      <c r="ENZ43" s="30"/>
      <c r="EOA43" s="30"/>
      <c r="EOB43" s="30"/>
      <c r="EOC43" s="30"/>
      <c r="EOD43" s="30"/>
      <c r="EOE43" s="30"/>
      <c r="EOF43" s="30"/>
      <c r="EOG43" s="30"/>
      <c r="EOH43" s="30"/>
      <c r="EOI43" s="30"/>
      <c r="EOJ43" s="30"/>
      <c r="EOK43" s="30"/>
      <c r="EOL43" s="30"/>
      <c r="EOM43" s="30"/>
      <c r="EON43" s="30"/>
      <c r="EOO43" s="30"/>
      <c r="EOP43" s="30"/>
      <c r="EOQ43" s="30"/>
      <c r="EOR43" s="30"/>
      <c r="EOS43" s="30"/>
      <c r="EOT43" s="30"/>
      <c r="EOU43" s="30"/>
      <c r="EOV43" s="30"/>
      <c r="EOW43" s="30"/>
      <c r="EOX43" s="30"/>
      <c r="EOY43" s="30"/>
      <c r="EOZ43" s="30"/>
      <c r="EPA43" s="30"/>
      <c r="EPB43" s="30"/>
      <c r="EPC43" s="30"/>
      <c r="EPD43" s="30"/>
      <c r="EPE43" s="30"/>
      <c r="EPF43" s="30"/>
      <c r="EPG43" s="30"/>
      <c r="EPH43" s="30"/>
      <c r="EPI43" s="30"/>
      <c r="EPJ43" s="30"/>
      <c r="EPK43" s="30"/>
      <c r="EPL43" s="30"/>
      <c r="EPM43" s="30"/>
      <c r="EPN43" s="30"/>
      <c r="EPO43" s="30"/>
      <c r="EPP43" s="30"/>
      <c r="EPQ43" s="30"/>
      <c r="EPR43" s="30"/>
      <c r="EPS43" s="30"/>
      <c r="EPT43" s="30"/>
      <c r="EPU43" s="30"/>
      <c r="EPV43" s="30"/>
      <c r="EPW43" s="30"/>
      <c r="EPX43" s="30"/>
      <c r="EPY43" s="30"/>
      <c r="EPZ43" s="30"/>
      <c r="EQA43" s="30"/>
      <c r="EQB43" s="30"/>
      <c r="EQC43" s="30"/>
      <c r="EQD43" s="30"/>
      <c r="EQE43" s="30"/>
      <c r="EQF43" s="30"/>
      <c r="EQG43" s="30"/>
      <c r="EQH43" s="30"/>
      <c r="EQI43" s="30"/>
      <c r="EQJ43" s="30"/>
      <c r="EQK43" s="30"/>
      <c r="EQL43" s="30"/>
      <c r="EQM43" s="30"/>
      <c r="EQN43" s="30"/>
      <c r="EQO43" s="30"/>
      <c r="EQP43" s="30"/>
      <c r="EQQ43" s="30"/>
      <c r="EQR43" s="30"/>
      <c r="EQS43" s="30"/>
      <c r="EQT43" s="30"/>
      <c r="EQU43" s="30"/>
      <c r="EQV43" s="30"/>
      <c r="EQW43" s="30"/>
      <c r="EQX43" s="30"/>
      <c r="EQY43" s="30"/>
      <c r="EQZ43" s="30"/>
      <c r="ERA43" s="30"/>
      <c r="ERB43" s="30"/>
      <c r="ERC43" s="30"/>
      <c r="ERD43" s="30"/>
      <c r="ERE43" s="30"/>
      <c r="ERF43" s="30"/>
      <c r="ERG43" s="30"/>
      <c r="ERH43" s="30"/>
      <c r="ERI43" s="30"/>
      <c r="ERJ43" s="30"/>
      <c r="ERK43" s="30"/>
      <c r="ERL43" s="30"/>
      <c r="ERM43" s="30"/>
      <c r="ERN43" s="30"/>
      <c r="ERO43" s="30"/>
      <c r="ERP43" s="30"/>
      <c r="ERQ43" s="30"/>
      <c r="ERR43" s="30"/>
      <c r="ERS43" s="30"/>
      <c r="ERT43" s="30"/>
      <c r="ERU43" s="30"/>
      <c r="ERV43" s="30"/>
      <c r="ERW43" s="30"/>
      <c r="ERX43" s="30"/>
      <c r="ERY43" s="30"/>
      <c r="ERZ43" s="30"/>
      <c r="ESA43" s="30"/>
      <c r="ESB43" s="30"/>
      <c r="ESC43" s="30"/>
      <c r="ESD43" s="30"/>
      <c r="ESE43" s="30"/>
      <c r="ESF43" s="30"/>
      <c r="ESG43" s="30"/>
      <c r="ESH43" s="30"/>
      <c r="ESI43" s="30"/>
      <c r="ESJ43" s="30"/>
      <c r="ESK43" s="30"/>
      <c r="ESL43" s="30"/>
      <c r="ESM43" s="30"/>
      <c r="ESN43" s="30"/>
      <c r="ESO43" s="30"/>
      <c r="ESP43" s="30"/>
      <c r="ESQ43" s="30"/>
      <c r="ESR43" s="30"/>
      <c r="ESS43" s="30"/>
      <c r="EST43" s="30"/>
      <c r="ESU43" s="30"/>
      <c r="ESV43" s="30"/>
      <c r="ESW43" s="30"/>
      <c r="ESX43" s="30"/>
      <c r="ESY43" s="30"/>
      <c r="ESZ43" s="30"/>
      <c r="ETA43" s="30"/>
      <c r="ETB43" s="30"/>
      <c r="ETC43" s="30"/>
      <c r="ETD43" s="30"/>
      <c r="ETE43" s="30"/>
      <c r="ETF43" s="30"/>
      <c r="ETG43" s="30"/>
      <c r="ETH43" s="30"/>
      <c r="ETI43" s="30"/>
      <c r="ETJ43" s="30"/>
      <c r="ETK43" s="30"/>
      <c r="ETL43" s="30"/>
      <c r="ETM43" s="30"/>
      <c r="ETN43" s="30"/>
      <c r="ETO43" s="30"/>
      <c r="ETP43" s="30"/>
      <c r="ETQ43" s="30"/>
      <c r="ETR43" s="30"/>
      <c r="ETS43" s="30"/>
      <c r="ETT43" s="30"/>
      <c r="ETU43" s="30"/>
      <c r="ETV43" s="30"/>
      <c r="ETW43" s="30"/>
      <c r="ETX43" s="30"/>
      <c r="ETY43" s="30"/>
      <c r="ETZ43" s="30"/>
      <c r="EUA43" s="30"/>
      <c r="EUB43" s="30"/>
      <c r="EUC43" s="30"/>
      <c r="EUD43" s="30"/>
      <c r="EUE43" s="30"/>
      <c r="EUF43" s="30"/>
      <c r="EUG43" s="30"/>
      <c r="EUH43" s="30"/>
      <c r="EUI43" s="30"/>
      <c r="EUJ43" s="30"/>
      <c r="EUK43" s="30"/>
      <c r="EUL43" s="30"/>
      <c r="EUM43" s="30"/>
      <c r="EUN43" s="30"/>
      <c r="EUO43" s="30"/>
      <c r="EUP43" s="30"/>
      <c r="EUQ43" s="30"/>
      <c r="EUR43" s="30"/>
      <c r="EUS43" s="30"/>
      <c r="EUT43" s="30"/>
      <c r="EUU43" s="30"/>
      <c r="EUV43" s="30"/>
      <c r="EUW43" s="30"/>
      <c r="EUX43" s="30"/>
      <c r="EUY43" s="30"/>
      <c r="EUZ43" s="30"/>
      <c r="EVA43" s="30"/>
      <c r="EVB43" s="30"/>
      <c r="EVC43" s="30"/>
      <c r="EVD43" s="30"/>
      <c r="EVE43" s="30"/>
      <c r="EVF43" s="30"/>
      <c r="EVG43" s="30"/>
      <c r="EVH43" s="30"/>
      <c r="EVI43" s="30"/>
      <c r="EVJ43" s="30"/>
      <c r="EVK43" s="30"/>
      <c r="EVL43" s="30"/>
      <c r="EVM43" s="30"/>
      <c r="EVN43" s="30"/>
      <c r="EVO43" s="30"/>
      <c r="EVP43" s="30"/>
      <c r="EVQ43" s="30"/>
      <c r="EVR43" s="30"/>
      <c r="EVS43" s="30"/>
      <c r="EVT43" s="30"/>
      <c r="EVU43" s="30"/>
      <c r="EVV43" s="30"/>
      <c r="EVW43" s="30"/>
      <c r="EVX43" s="30"/>
      <c r="EVY43" s="30"/>
      <c r="EVZ43" s="30"/>
      <c r="EWA43" s="30"/>
      <c r="EWB43" s="30"/>
      <c r="EWC43" s="30"/>
      <c r="EWD43" s="30"/>
      <c r="EWE43" s="30"/>
      <c r="EWF43" s="30"/>
      <c r="EWG43" s="30"/>
      <c r="EWH43" s="30"/>
      <c r="EWI43" s="30"/>
      <c r="EWJ43" s="30"/>
      <c r="EWK43" s="30"/>
      <c r="EWL43" s="30"/>
      <c r="EWM43" s="30"/>
      <c r="EWN43" s="30"/>
      <c r="EWO43" s="30"/>
      <c r="EWP43" s="30"/>
      <c r="EWQ43" s="30"/>
      <c r="EWR43" s="30"/>
      <c r="EWS43" s="30"/>
      <c r="EWT43" s="30"/>
      <c r="EWU43" s="30"/>
      <c r="EWV43" s="30"/>
      <c r="EWW43" s="30"/>
      <c r="EWX43" s="30"/>
      <c r="EWY43" s="30"/>
      <c r="EWZ43" s="30"/>
      <c r="EXA43" s="30"/>
      <c r="EXB43" s="30"/>
      <c r="EXC43" s="30"/>
      <c r="EXD43" s="30"/>
      <c r="EXE43" s="30"/>
      <c r="EXF43" s="30"/>
      <c r="EXG43" s="30"/>
      <c r="EXH43" s="30"/>
      <c r="EXI43" s="30"/>
      <c r="EXJ43" s="30"/>
      <c r="EXK43" s="30"/>
      <c r="EXL43" s="30"/>
      <c r="EXM43" s="30"/>
      <c r="EXN43" s="30"/>
      <c r="EXO43" s="30"/>
      <c r="EXP43" s="30"/>
      <c r="EXQ43" s="30"/>
      <c r="EXR43" s="30"/>
      <c r="EXS43" s="30"/>
      <c r="EXT43" s="30"/>
      <c r="EXU43" s="30"/>
      <c r="EXV43" s="30"/>
      <c r="EXW43" s="30"/>
      <c r="EXX43" s="30"/>
      <c r="EXY43" s="30"/>
      <c r="EXZ43" s="30"/>
      <c r="EYA43" s="30"/>
      <c r="EYB43" s="30"/>
      <c r="EYC43" s="30"/>
      <c r="EYD43" s="30"/>
      <c r="EYE43" s="30"/>
      <c r="EYF43" s="30"/>
      <c r="EYG43" s="30"/>
      <c r="EYH43" s="30"/>
      <c r="EYI43" s="30"/>
      <c r="EYJ43" s="30"/>
      <c r="EYK43" s="30"/>
      <c r="EYL43" s="30"/>
      <c r="EYM43" s="30"/>
      <c r="EYN43" s="30"/>
      <c r="EYO43" s="30"/>
      <c r="EYP43" s="30"/>
      <c r="EYQ43" s="30"/>
      <c r="EYR43" s="30"/>
      <c r="EYS43" s="30"/>
      <c r="EYT43" s="30"/>
      <c r="EYU43" s="30"/>
      <c r="EYV43" s="30"/>
      <c r="EYW43" s="30"/>
      <c r="EYX43" s="30"/>
      <c r="EYY43" s="30"/>
      <c r="EYZ43" s="30"/>
      <c r="EZA43" s="30"/>
      <c r="EZB43" s="30"/>
      <c r="EZC43" s="30"/>
      <c r="EZD43" s="30"/>
      <c r="EZE43" s="30"/>
      <c r="EZF43" s="30"/>
      <c r="EZG43" s="30"/>
      <c r="EZH43" s="30"/>
      <c r="EZI43" s="30"/>
      <c r="EZJ43" s="30"/>
      <c r="EZK43" s="30"/>
      <c r="EZL43" s="30"/>
      <c r="EZM43" s="30"/>
      <c r="EZN43" s="30"/>
      <c r="EZO43" s="30"/>
      <c r="EZP43" s="30"/>
      <c r="EZQ43" s="30"/>
      <c r="EZR43" s="30"/>
      <c r="EZS43" s="30"/>
      <c r="EZT43" s="30"/>
      <c r="EZU43" s="30"/>
      <c r="EZV43" s="30"/>
      <c r="EZW43" s="30"/>
      <c r="EZX43" s="30"/>
      <c r="EZY43" s="30"/>
      <c r="EZZ43" s="30"/>
      <c r="FAA43" s="30"/>
      <c r="FAB43" s="30"/>
      <c r="FAC43" s="30"/>
      <c r="FAD43" s="30"/>
      <c r="FAE43" s="30"/>
      <c r="FAF43" s="30"/>
      <c r="FAG43" s="30"/>
      <c r="FAH43" s="30"/>
      <c r="FAI43" s="30"/>
      <c r="FAJ43" s="30"/>
      <c r="FAK43" s="30"/>
      <c r="FAL43" s="30"/>
      <c r="FAM43" s="30"/>
      <c r="FAN43" s="30"/>
      <c r="FAO43" s="30"/>
      <c r="FAP43" s="30"/>
      <c r="FAQ43" s="30"/>
      <c r="FAR43" s="30"/>
      <c r="FAS43" s="30"/>
      <c r="FAT43" s="30"/>
      <c r="FAU43" s="30"/>
      <c r="FAV43" s="30"/>
      <c r="FAW43" s="30"/>
      <c r="FAX43" s="30"/>
      <c r="FAY43" s="30"/>
      <c r="FAZ43" s="30"/>
      <c r="FBA43" s="30"/>
      <c r="FBB43" s="30"/>
      <c r="FBC43" s="30"/>
      <c r="FBD43" s="30"/>
      <c r="FBE43" s="30"/>
      <c r="FBF43" s="30"/>
      <c r="FBG43" s="30"/>
      <c r="FBH43" s="30"/>
      <c r="FBI43" s="30"/>
      <c r="FBJ43" s="30"/>
      <c r="FBK43" s="30"/>
      <c r="FBL43" s="30"/>
      <c r="FBM43" s="30"/>
      <c r="FBN43" s="30"/>
      <c r="FBO43" s="30"/>
      <c r="FBP43" s="30"/>
      <c r="FBQ43" s="30"/>
      <c r="FBR43" s="30"/>
      <c r="FBS43" s="30"/>
      <c r="FBT43" s="30"/>
      <c r="FBU43" s="30"/>
      <c r="FBV43" s="30"/>
      <c r="FBW43" s="30"/>
      <c r="FBX43" s="30"/>
      <c r="FBY43" s="30"/>
      <c r="FBZ43" s="30"/>
      <c r="FCA43" s="30"/>
      <c r="FCB43" s="30"/>
      <c r="FCC43" s="30"/>
      <c r="FCD43" s="30"/>
      <c r="FCE43" s="30"/>
      <c r="FCF43" s="30"/>
      <c r="FCG43" s="30"/>
      <c r="FCH43" s="30"/>
      <c r="FCI43" s="30"/>
      <c r="FCJ43" s="30"/>
      <c r="FCK43" s="30"/>
      <c r="FCL43" s="30"/>
      <c r="FCM43" s="30"/>
      <c r="FCN43" s="30"/>
      <c r="FCO43" s="30"/>
      <c r="FCP43" s="30"/>
      <c r="FCQ43" s="30"/>
      <c r="FCR43" s="30"/>
      <c r="FCS43" s="30"/>
      <c r="FCT43" s="30"/>
      <c r="FCU43" s="30"/>
      <c r="FCV43" s="30"/>
      <c r="FCW43" s="30"/>
      <c r="FCX43" s="30"/>
      <c r="FCY43" s="30"/>
      <c r="FCZ43" s="30"/>
      <c r="FDA43" s="30"/>
      <c r="FDB43" s="30"/>
      <c r="FDC43" s="30"/>
      <c r="FDD43" s="30"/>
      <c r="FDE43" s="30"/>
      <c r="FDF43" s="30"/>
      <c r="FDG43" s="30"/>
      <c r="FDH43" s="30"/>
      <c r="FDI43" s="30"/>
      <c r="FDJ43" s="30"/>
      <c r="FDK43" s="30"/>
      <c r="FDL43" s="30"/>
      <c r="FDM43" s="30"/>
      <c r="FDN43" s="30"/>
      <c r="FDO43" s="30"/>
      <c r="FDP43" s="30"/>
      <c r="FDQ43" s="30"/>
      <c r="FDR43" s="30"/>
      <c r="FDS43" s="30"/>
      <c r="FDT43" s="30"/>
      <c r="FDU43" s="30"/>
      <c r="FDV43" s="30"/>
      <c r="FDW43" s="30"/>
      <c r="FDX43" s="30"/>
      <c r="FDY43" s="30"/>
      <c r="FDZ43" s="30"/>
      <c r="FEA43" s="30"/>
      <c r="FEB43" s="30"/>
      <c r="FEC43" s="30"/>
      <c r="FED43" s="30"/>
      <c r="FEE43" s="30"/>
      <c r="FEF43" s="30"/>
      <c r="FEG43" s="30"/>
      <c r="FEH43" s="30"/>
      <c r="FEI43" s="30"/>
      <c r="FEJ43" s="30"/>
      <c r="FEK43" s="30"/>
      <c r="FEL43" s="30"/>
      <c r="FEM43" s="30"/>
      <c r="FEN43" s="30"/>
      <c r="FEO43" s="30"/>
      <c r="FEP43" s="30"/>
      <c r="FEQ43" s="30"/>
      <c r="FER43" s="30"/>
      <c r="FES43" s="30"/>
      <c r="FET43" s="30"/>
      <c r="FEU43" s="30"/>
      <c r="FEV43" s="30"/>
      <c r="FEW43" s="30"/>
      <c r="FEX43" s="30"/>
      <c r="FEY43" s="30"/>
      <c r="FEZ43" s="30"/>
      <c r="FFA43" s="30"/>
      <c r="FFB43" s="30"/>
      <c r="FFC43" s="30"/>
      <c r="FFD43" s="30"/>
      <c r="FFE43" s="30"/>
      <c r="FFF43" s="30"/>
      <c r="FFG43" s="30"/>
      <c r="FFH43" s="30"/>
      <c r="FFI43" s="30"/>
      <c r="FFJ43" s="30"/>
      <c r="FFK43" s="30"/>
      <c r="FFL43" s="30"/>
      <c r="FFM43" s="30"/>
      <c r="FFN43" s="30"/>
      <c r="FFO43" s="30"/>
      <c r="FFP43" s="30"/>
      <c r="FFQ43" s="30"/>
      <c r="FFR43" s="30"/>
      <c r="FFS43" s="30"/>
      <c r="FFT43" s="30"/>
      <c r="FFU43" s="30"/>
      <c r="FFV43" s="30"/>
      <c r="FFW43" s="30"/>
      <c r="FFX43" s="30"/>
      <c r="FFY43" s="30"/>
      <c r="FFZ43" s="30"/>
      <c r="FGA43" s="30"/>
      <c r="FGB43" s="30"/>
      <c r="FGC43" s="30"/>
      <c r="FGD43" s="30"/>
      <c r="FGE43" s="30"/>
      <c r="FGF43" s="30"/>
      <c r="FGG43" s="30"/>
      <c r="FGH43" s="30"/>
      <c r="FGI43" s="30"/>
      <c r="FGJ43" s="30"/>
      <c r="FGK43" s="30"/>
      <c r="FGL43" s="30"/>
      <c r="FGM43" s="30"/>
      <c r="FGN43" s="30"/>
      <c r="FGO43" s="30"/>
      <c r="FGP43" s="30"/>
      <c r="FGQ43" s="30"/>
      <c r="FGR43" s="30"/>
      <c r="FGS43" s="30"/>
      <c r="FGT43" s="30"/>
      <c r="FGU43" s="30"/>
      <c r="FGV43" s="30"/>
      <c r="FGW43" s="30"/>
      <c r="FGX43" s="30"/>
      <c r="FGY43" s="30"/>
      <c r="FGZ43" s="30"/>
      <c r="FHA43" s="30"/>
      <c r="FHB43" s="30"/>
      <c r="FHC43" s="30"/>
      <c r="FHD43" s="30"/>
      <c r="FHE43" s="30"/>
      <c r="FHF43" s="30"/>
      <c r="FHG43" s="30"/>
      <c r="FHH43" s="30"/>
      <c r="FHI43" s="30"/>
      <c r="FHJ43" s="30"/>
      <c r="FHK43" s="30"/>
      <c r="FHL43" s="30"/>
      <c r="FHM43" s="30"/>
      <c r="FHN43" s="30"/>
      <c r="FHO43" s="30"/>
      <c r="FHP43" s="30"/>
      <c r="FHQ43" s="30"/>
      <c r="FHR43" s="30"/>
      <c r="FHS43" s="30"/>
      <c r="FHT43" s="30"/>
      <c r="FHU43" s="30"/>
      <c r="FHV43" s="30"/>
      <c r="FHW43" s="30"/>
      <c r="FHX43" s="30"/>
      <c r="FHY43" s="30"/>
      <c r="FHZ43" s="30"/>
      <c r="FIA43" s="30"/>
      <c r="FIB43" s="30"/>
      <c r="FIC43" s="30"/>
      <c r="FID43" s="30"/>
      <c r="FIE43" s="30"/>
      <c r="FIF43" s="30"/>
      <c r="FIG43" s="30"/>
      <c r="FIH43" s="30"/>
      <c r="FII43" s="30"/>
      <c r="FIJ43" s="30"/>
      <c r="FIK43" s="30"/>
      <c r="FIL43" s="30"/>
      <c r="FIM43" s="30"/>
      <c r="FIN43" s="30"/>
      <c r="FIO43" s="30"/>
      <c r="FIP43" s="30"/>
      <c r="FIQ43" s="30"/>
      <c r="FIR43" s="30"/>
      <c r="FIS43" s="30"/>
      <c r="FIT43" s="30"/>
      <c r="FIU43" s="30"/>
      <c r="FIV43" s="30"/>
      <c r="FIW43" s="30"/>
      <c r="FIX43" s="30"/>
      <c r="FIY43" s="30"/>
      <c r="FIZ43" s="30"/>
      <c r="FJA43" s="30"/>
      <c r="FJB43" s="30"/>
      <c r="FJC43" s="30"/>
      <c r="FJD43" s="30"/>
      <c r="FJE43" s="30"/>
      <c r="FJF43" s="30"/>
      <c r="FJG43" s="30"/>
      <c r="FJH43" s="30"/>
      <c r="FJI43" s="30"/>
      <c r="FJJ43" s="30"/>
      <c r="FJK43" s="30"/>
      <c r="FJL43" s="30"/>
      <c r="FJM43" s="30"/>
      <c r="FJN43" s="30"/>
      <c r="FJO43" s="30"/>
      <c r="FJP43" s="30"/>
      <c r="FJQ43" s="30"/>
      <c r="FJR43" s="30"/>
      <c r="FJS43" s="30"/>
      <c r="FJT43" s="30"/>
      <c r="FJU43" s="30"/>
      <c r="FJV43" s="30"/>
      <c r="FJW43" s="30"/>
      <c r="FJX43" s="30"/>
      <c r="FJY43" s="30"/>
      <c r="FJZ43" s="30"/>
      <c r="FKA43" s="30"/>
      <c r="FKB43" s="30"/>
      <c r="FKC43" s="30"/>
      <c r="FKD43" s="30"/>
      <c r="FKE43" s="30"/>
      <c r="FKF43" s="30"/>
      <c r="FKG43" s="30"/>
      <c r="FKH43" s="30"/>
      <c r="FKI43" s="30"/>
      <c r="FKJ43" s="30"/>
      <c r="FKK43" s="30"/>
      <c r="FKL43" s="30"/>
      <c r="FKM43" s="30"/>
      <c r="FKN43" s="30"/>
      <c r="FKO43" s="30"/>
      <c r="FKP43" s="30"/>
      <c r="FKQ43" s="30"/>
      <c r="FKR43" s="30"/>
      <c r="FKS43" s="30"/>
      <c r="FKT43" s="30"/>
      <c r="FKU43" s="30"/>
      <c r="FKV43" s="30"/>
      <c r="FKW43" s="30"/>
      <c r="FKX43" s="30"/>
      <c r="FKY43" s="30"/>
      <c r="FKZ43" s="30"/>
      <c r="FLA43" s="30"/>
      <c r="FLB43" s="30"/>
      <c r="FLC43" s="30"/>
      <c r="FLD43" s="30"/>
      <c r="FLE43" s="30"/>
      <c r="FLF43" s="30"/>
      <c r="FLG43" s="30"/>
      <c r="FLH43" s="30"/>
      <c r="FLI43" s="30"/>
      <c r="FLJ43" s="30"/>
      <c r="FLK43" s="30"/>
      <c r="FLL43" s="30"/>
      <c r="FLM43" s="30"/>
      <c r="FLN43" s="30"/>
      <c r="FLO43" s="30"/>
      <c r="FLP43" s="30"/>
      <c r="FLQ43" s="30"/>
      <c r="FLR43" s="30"/>
      <c r="FLS43" s="30"/>
      <c r="FLT43" s="30"/>
      <c r="FLU43" s="30"/>
      <c r="FLV43" s="30"/>
      <c r="FLW43" s="30"/>
      <c r="FLX43" s="30"/>
      <c r="FLY43" s="30"/>
      <c r="FLZ43" s="30"/>
      <c r="FMA43" s="30"/>
      <c r="FMB43" s="30"/>
      <c r="FMC43" s="30"/>
      <c r="FMD43" s="30"/>
      <c r="FME43" s="30"/>
      <c r="FMF43" s="30"/>
      <c r="FMG43" s="30"/>
      <c r="FMH43" s="30"/>
      <c r="FMI43" s="30"/>
      <c r="FMJ43" s="30"/>
      <c r="FMK43" s="30"/>
      <c r="FML43" s="30"/>
      <c r="FMM43" s="30"/>
      <c r="FMN43" s="30"/>
      <c r="FMO43" s="30"/>
      <c r="FMP43" s="30"/>
      <c r="FMQ43" s="30"/>
      <c r="FMR43" s="30"/>
      <c r="FMS43" s="30"/>
      <c r="FMT43" s="30"/>
      <c r="FMU43" s="30"/>
      <c r="FMV43" s="30"/>
      <c r="FMW43" s="30"/>
      <c r="FMX43" s="30"/>
      <c r="FMY43" s="30"/>
      <c r="FMZ43" s="30"/>
      <c r="FNA43" s="30"/>
      <c r="FNB43" s="30"/>
      <c r="FNC43" s="30"/>
      <c r="FND43" s="30"/>
      <c r="FNE43" s="30"/>
      <c r="FNF43" s="30"/>
      <c r="FNG43" s="30"/>
      <c r="FNH43" s="30"/>
      <c r="FNI43" s="30"/>
      <c r="FNJ43" s="30"/>
      <c r="FNK43" s="30"/>
      <c r="FNL43" s="30"/>
      <c r="FNM43" s="30"/>
      <c r="FNN43" s="30"/>
      <c r="FNO43" s="30"/>
      <c r="FNP43" s="30"/>
      <c r="FNQ43" s="30"/>
      <c r="FNR43" s="30"/>
      <c r="FNS43" s="30"/>
      <c r="FNT43" s="30"/>
      <c r="FNU43" s="30"/>
      <c r="FNV43" s="30"/>
      <c r="FNW43" s="30"/>
      <c r="FNX43" s="30"/>
      <c r="FNY43" s="30"/>
      <c r="FNZ43" s="30"/>
      <c r="FOA43" s="30"/>
      <c r="FOB43" s="30"/>
      <c r="FOC43" s="30"/>
      <c r="FOD43" s="30"/>
      <c r="FOE43" s="30"/>
      <c r="FOF43" s="30"/>
      <c r="FOG43" s="30"/>
      <c r="FOH43" s="30"/>
      <c r="FOI43" s="30"/>
      <c r="FOJ43" s="30"/>
      <c r="FOK43" s="30"/>
      <c r="FOL43" s="30"/>
      <c r="FOM43" s="30"/>
      <c r="FON43" s="30"/>
      <c r="FOO43" s="30"/>
      <c r="FOP43" s="30"/>
      <c r="FOQ43" s="30"/>
      <c r="FOR43" s="30"/>
      <c r="FOS43" s="30"/>
      <c r="FOT43" s="30"/>
      <c r="FOU43" s="30"/>
      <c r="FOV43" s="30"/>
      <c r="FOW43" s="30"/>
      <c r="FOX43" s="30"/>
      <c r="FOY43" s="30"/>
      <c r="FOZ43" s="30"/>
      <c r="FPA43" s="30"/>
      <c r="FPB43" s="30"/>
      <c r="FPC43" s="30"/>
      <c r="FPD43" s="30"/>
      <c r="FPE43" s="30"/>
      <c r="FPF43" s="30"/>
      <c r="FPG43" s="30"/>
      <c r="FPH43" s="30"/>
      <c r="FPI43" s="30"/>
      <c r="FPJ43" s="30"/>
      <c r="FPK43" s="30"/>
      <c r="FPL43" s="30"/>
      <c r="FPM43" s="30"/>
      <c r="FPN43" s="30"/>
      <c r="FPO43" s="30"/>
      <c r="FPP43" s="30"/>
      <c r="FPQ43" s="30"/>
      <c r="FPR43" s="30"/>
      <c r="FPS43" s="30"/>
      <c r="FPT43" s="30"/>
      <c r="FPU43" s="30"/>
      <c r="FPV43" s="30"/>
      <c r="FPW43" s="30"/>
      <c r="FPX43" s="30"/>
      <c r="FPY43" s="30"/>
      <c r="FPZ43" s="30"/>
      <c r="FQA43" s="30"/>
      <c r="FQB43" s="30"/>
      <c r="FQC43" s="30"/>
      <c r="FQD43" s="30"/>
      <c r="FQE43" s="30"/>
      <c r="FQF43" s="30"/>
      <c r="FQG43" s="30"/>
      <c r="FQH43" s="30"/>
      <c r="FQI43" s="30"/>
      <c r="FQJ43" s="30"/>
      <c r="FQK43" s="30"/>
      <c r="FQL43" s="30"/>
      <c r="FQM43" s="30"/>
      <c r="FQN43" s="30"/>
      <c r="FQO43" s="30"/>
      <c r="FQP43" s="30"/>
      <c r="FQQ43" s="30"/>
      <c r="FQR43" s="30"/>
      <c r="FQS43" s="30"/>
      <c r="FQT43" s="30"/>
      <c r="FQU43" s="30"/>
      <c r="FQV43" s="30"/>
      <c r="FQW43" s="30"/>
      <c r="FQX43" s="30"/>
      <c r="FQY43" s="30"/>
      <c r="FQZ43" s="30"/>
      <c r="FRA43" s="30"/>
      <c r="FRB43" s="30"/>
      <c r="FRC43" s="30"/>
      <c r="FRD43" s="30"/>
      <c r="FRE43" s="30"/>
      <c r="FRF43" s="30"/>
      <c r="FRG43" s="30"/>
      <c r="FRH43" s="30"/>
      <c r="FRI43" s="30"/>
      <c r="FRJ43" s="30"/>
      <c r="FRK43" s="30"/>
      <c r="FRL43" s="30"/>
      <c r="FRM43" s="30"/>
      <c r="FRN43" s="30"/>
      <c r="FRO43" s="30"/>
      <c r="FRP43" s="30"/>
      <c r="FRQ43" s="30"/>
      <c r="FRR43" s="30"/>
      <c r="FRS43" s="30"/>
      <c r="FRT43" s="30"/>
      <c r="FRU43" s="30"/>
      <c r="FRV43" s="30"/>
      <c r="FRW43" s="30"/>
      <c r="FRX43" s="30"/>
      <c r="FRY43" s="30"/>
      <c r="FRZ43" s="30"/>
      <c r="FSA43" s="30"/>
      <c r="FSB43" s="30"/>
      <c r="FSC43" s="30"/>
      <c r="FSD43" s="30"/>
      <c r="FSE43" s="30"/>
      <c r="FSF43" s="30"/>
      <c r="FSG43" s="30"/>
      <c r="FSH43" s="30"/>
      <c r="FSI43" s="30"/>
      <c r="FSJ43" s="30"/>
      <c r="FSK43" s="30"/>
      <c r="FSL43" s="30"/>
      <c r="FSM43" s="30"/>
      <c r="FSN43" s="30"/>
      <c r="FSO43" s="30"/>
      <c r="FSP43" s="30"/>
      <c r="FSQ43" s="30"/>
      <c r="FSR43" s="30"/>
      <c r="FSS43" s="30"/>
      <c r="FST43" s="30"/>
      <c r="FSU43" s="30"/>
      <c r="FSV43" s="30"/>
      <c r="FSW43" s="30"/>
      <c r="FSX43" s="30"/>
      <c r="FSY43" s="30"/>
      <c r="FSZ43" s="30"/>
      <c r="FTA43" s="30"/>
      <c r="FTB43" s="30"/>
      <c r="FTC43" s="30"/>
      <c r="FTD43" s="30"/>
      <c r="FTE43" s="30"/>
      <c r="FTF43" s="30"/>
      <c r="FTG43" s="30"/>
      <c r="FTH43" s="30"/>
      <c r="FTI43" s="30"/>
      <c r="FTJ43" s="30"/>
      <c r="FTK43" s="30"/>
      <c r="FTL43" s="30"/>
      <c r="FTM43" s="30"/>
      <c r="FTN43" s="30"/>
      <c r="FTO43" s="30"/>
      <c r="FTP43" s="30"/>
      <c r="FTQ43" s="30"/>
      <c r="FTR43" s="30"/>
      <c r="FTS43" s="30"/>
      <c r="FTT43" s="30"/>
      <c r="FTU43" s="30"/>
      <c r="FTV43" s="30"/>
      <c r="FTW43" s="30"/>
      <c r="FTX43" s="30"/>
      <c r="FTY43" s="30"/>
      <c r="FTZ43" s="30"/>
      <c r="FUA43" s="30"/>
      <c r="FUB43" s="30"/>
      <c r="FUC43" s="30"/>
      <c r="FUD43" s="30"/>
      <c r="FUE43" s="30"/>
      <c r="FUF43" s="30"/>
      <c r="FUG43" s="30"/>
      <c r="FUH43" s="30"/>
      <c r="FUI43" s="30"/>
      <c r="FUJ43" s="30"/>
      <c r="FUK43" s="30"/>
      <c r="FUL43" s="30"/>
      <c r="FUM43" s="30"/>
      <c r="FUN43" s="30"/>
      <c r="FUO43" s="30"/>
      <c r="FUP43" s="30"/>
      <c r="FUQ43" s="30"/>
      <c r="FUR43" s="30"/>
      <c r="FUS43" s="30"/>
      <c r="FUT43" s="30"/>
      <c r="FUU43" s="30"/>
      <c r="FUV43" s="30"/>
      <c r="FUW43" s="30"/>
      <c r="FUX43" s="30"/>
      <c r="FUY43" s="30"/>
      <c r="FUZ43" s="30"/>
      <c r="FVA43" s="30"/>
      <c r="FVB43" s="30"/>
      <c r="FVC43" s="30"/>
      <c r="FVD43" s="30"/>
      <c r="FVE43" s="30"/>
      <c r="FVF43" s="30"/>
      <c r="FVG43" s="30"/>
      <c r="FVH43" s="30"/>
      <c r="FVI43" s="30"/>
      <c r="FVJ43" s="30"/>
      <c r="FVK43" s="30"/>
      <c r="FVL43" s="30"/>
      <c r="FVM43" s="30"/>
      <c r="FVN43" s="30"/>
      <c r="FVO43" s="30"/>
      <c r="FVP43" s="30"/>
      <c r="FVQ43" s="30"/>
      <c r="FVR43" s="30"/>
      <c r="FVS43" s="30"/>
      <c r="FVT43" s="30"/>
      <c r="FVU43" s="30"/>
      <c r="FVV43" s="30"/>
      <c r="FVW43" s="30"/>
      <c r="FVX43" s="30"/>
      <c r="FVY43" s="30"/>
      <c r="FVZ43" s="30"/>
      <c r="FWA43" s="30"/>
      <c r="FWB43" s="30"/>
      <c r="FWC43" s="30"/>
      <c r="FWD43" s="30"/>
      <c r="FWE43" s="30"/>
      <c r="FWF43" s="30"/>
      <c r="FWG43" s="30"/>
      <c r="FWH43" s="30"/>
      <c r="FWI43" s="30"/>
      <c r="FWJ43" s="30"/>
      <c r="FWK43" s="30"/>
      <c r="FWL43" s="30"/>
      <c r="FWM43" s="30"/>
      <c r="FWN43" s="30"/>
      <c r="FWO43" s="30"/>
      <c r="FWP43" s="30"/>
      <c r="FWQ43" s="30"/>
      <c r="FWR43" s="30"/>
      <c r="FWS43" s="30"/>
      <c r="FWT43" s="30"/>
      <c r="FWU43" s="30"/>
      <c r="FWV43" s="30"/>
      <c r="FWW43" s="30"/>
      <c r="FWX43" s="30"/>
      <c r="FWY43" s="30"/>
      <c r="FWZ43" s="30"/>
      <c r="FXA43" s="30"/>
      <c r="FXB43" s="30"/>
      <c r="FXC43" s="30"/>
      <c r="FXD43" s="30"/>
      <c r="FXE43" s="30"/>
      <c r="FXF43" s="30"/>
      <c r="FXG43" s="30"/>
      <c r="FXH43" s="30"/>
      <c r="FXI43" s="30"/>
      <c r="FXJ43" s="30"/>
      <c r="FXK43" s="30"/>
      <c r="FXL43" s="30"/>
      <c r="FXM43" s="30"/>
      <c r="FXN43" s="30"/>
      <c r="FXO43" s="30"/>
      <c r="FXP43" s="30"/>
      <c r="FXQ43" s="30"/>
      <c r="FXR43" s="30"/>
      <c r="FXS43" s="30"/>
      <c r="FXT43" s="30"/>
      <c r="FXU43" s="30"/>
      <c r="FXV43" s="30"/>
      <c r="FXW43" s="30"/>
      <c r="FXX43" s="30"/>
      <c r="FXY43" s="30"/>
      <c r="FXZ43" s="30"/>
      <c r="FYA43" s="30"/>
      <c r="FYB43" s="30"/>
      <c r="FYC43" s="30"/>
      <c r="FYD43" s="30"/>
      <c r="FYE43" s="30"/>
      <c r="FYF43" s="30"/>
      <c r="FYG43" s="30"/>
      <c r="FYH43" s="30"/>
      <c r="FYI43" s="30"/>
      <c r="FYJ43" s="30"/>
      <c r="FYK43" s="30"/>
      <c r="FYL43" s="30"/>
      <c r="FYM43" s="30"/>
      <c r="FYN43" s="30"/>
      <c r="FYO43" s="30"/>
      <c r="FYP43" s="30"/>
      <c r="FYQ43" s="30"/>
      <c r="FYR43" s="30"/>
      <c r="FYS43" s="30"/>
      <c r="FYT43" s="30"/>
      <c r="FYU43" s="30"/>
      <c r="FYV43" s="30"/>
      <c r="FYW43" s="30"/>
      <c r="FYX43" s="30"/>
      <c r="FYY43" s="30"/>
      <c r="FYZ43" s="30"/>
      <c r="FZA43" s="30"/>
      <c r="FZB43" s="30"/>
      <c r="FZC43" s="30"/>
      <c r="FZD43" s="30"/>
      <c r="FZE43" s="30"/>
      <c r="FZF43" s="30"/>
      <c r="FZG43" s="30"/>
      <c r="FZH43" s="30"/>
      <c r="FZI43" s="30"/>
      <c r="FZJ43" s="30"/>
      <c r="FZK43" s="30"/>
      <c r="FZL43" s="30"/>
      <c r="FZM43" s="30"/>
      <c r="FZN43" s="30"/>
      <c r="FZO43" s="30"/>
      <c r="FZP43" s="30"/>
      <c r="FZQ43" s="30"/>
      <c r="FZR43" s="30"/>
      <c r="FZS43" s="30"/>
      <c r="FZT43" s="30"/>
      <c r="FZU43" s="30"/>
      <c r="FZV43" s="30"/>
      <c r="FZW43" s="30"/>
      <c r="FZX43" s="30"/>
      <c r="FZY43" s="30"/>
      <c r="FZZ43" s="30"/>
      <c r="GAA43" s="30"/>
      <c r="GAB43" s="30"/>
      <c r="GAC43" s="30"/>
      <c r="GAD43" s="30"/>
      <c r="GAE43" s="30"/>
      <c r="GAF43" s="30"/>
      <c r="GAG43" s="30"/>
      <c r="GAH43" s="30"/>
      <c r="GAI43" s="30"/>
      <c r="GAJ43" s="30"/>
      <c r="GAK43" s="30"/>
      <c r="GAL43" s="30"/>
      <c r="GAM43" s="30"/>
      <c r="GAN43" s="30"/>
      <c r="GAO43" s="30"/>
      <c r="GAP43" s="30"/>
      <c r="GAQ43" s="30"/>
      <c r="GAR43" s="30"/>
      <c r="GAS43" s="30"/>
      <c r="GAT43" s="30"/>
      <c r="GAU43" s="30"/>
      <c r="GAV43" s="30"/>
      <c r="GAW43" s="30"/>
      <c r="GAX43" s="30"/>
      <c r="GAY43" s="30"/>
      <c r="GAZ43" s="30"/>
      <c r="GBA43" s="30"/>
      <c r="GBB43" s="30"/>
      <c r="GBC43" s="30"/>
      <c r="GBD43" s="30"/>
      <c r="GBE43" s="30"/>
      <c r="GBF43" s="30"/>
      <c r="GBG43" s="30"/>
      <c r="GBH43" s="30"/>
      <c r="GBI43" s="30"/>
      <c r="GBJ43" s="30"/>
      <c r="GBK43" s="30"/>
      <c r="GBL43" s="30"/>
      <c r="GBM43" s="30"/>
      <c r="GBN43" s="30"/>
      <c r="GBO43" s="30"/>
      <c r="GBP43" s="30"/>
      <c r="GBQ43" s="30"/>
      <c r="GBR43" s="30"/>
      <c r="GBS43" s="30"/>
      <c r="GBT43" s="30"/>
      <c r="GBU43" s="30"/>
      <c r="GBV43" s="30"/>
      <c r="GBW43" s="30"/>
      <c r="GBX43" s="30"/>
      <c r="GBY43" s="30"/>
      <c r="GBZ43" s="30"/>
      <c r="GCA43" s="30"/>
      <c r="GCB43" s="30"/>
      <c r="GCC43" s="30"/>
      <c r="GCD43" s="30"/>
      <c r="GCE43" s="30"/>
      <c r="GCF43" s="30"/>
      <c r="GCG43" s="30"/>
      <c r="GCH43" s="30"/>
      <c r="GCI43" s="30"/>
      <c r="GCJ43" s="30"/>
      <c r="GCK43" s="30"/>
      <c r="GCL43" s="30"/>
      <c r="GCM43" s="30"/>
      <c r="GCN43" s="30"/>
      <c r="GCO43" s="30"/>
      <c r="GCP43" s="30"/>
      <c r="GCQ43" s="30"/>
      <c r="GCR43" s="30"/>
      <c r="GCS43" s="30"/>
      <c r="GCT43" s="30"/>
      <c r="GCU43" s="30"/>
      <c r="GCV43" s="30"/>
      <c r="GCW43" s="30"/>
      <c r="GCX43" s="30"/>
      <c r="GCY43" s="30"/>
      <c r="GCZ43" s="30"/>
      <c r="GDA43" s="30"/>
      <c r="GDB43" s="30"/>
      <c r="GDC43" s="30"/>
      <c r="GDD43" s="30"/>
      <c r="GDE43" s="30"/>
      <c r="GDF43" s="30"/>
      <c r="GDG43" s="30"/>
      <c r="GDH43" s="30"/>
      <c r="GDI43" s="30"/>
      <c r="GDJ43" s="30"/>
      <c r="GDK43" s="30"/>
      <c r="GDL43" s="30"/>
      <c r="GDM43" s="30"/>
      <c r="GDN43" s="30"/>
      <c r="GDO43" s="30"/>
      <c r="GDP43" s="30"/>
      <c r="GDQ43" s="30"/>
      <c r="GDR43" s="30"/>
      <c r="GDS43" s="30"/>
      <c r="GDT43" s="30"/>
      <c r="GDU43" s="30"/>
      <c r="GDV43" s="30"/>
      <c r="GDW43" s="30"/>
      <c r="GDX43" s="30"/>
      <c r="GDY43" s="30"/>
      <c r="GDZ43" s="30"/>
      <c r="GEA43" s="30"/>
      <c r="GEB43" s="30"/>
      <c r="GEC43" s="30"/>
      <c r="GED43" s="30"/>
      <c r="GEE43" s="30"/>
      <c r="GEF43" s="30"/>
      <c r="GEG43" s="30"/>
      <c r="GEH43" s="30"/>
      <c r="GEI43" s="30"/>
      <c r="GEJ43" s="30"/>
      <c r="GEK43" s="30"/>
      <c r="GEL43" s="30"/>
      <c r="GEM43" s="30"/>
      <c r="GEN43" s="30"/>
      <c r="GEO43" s="30"/>
      <c r="GEP43" s="30"/>
      <c r="GEQ43" s="30"/>
      <c r="GER43" s="30"/>
      <c r="GES43" s="30"/>
      <c r="GET43" s="30"/>
      <c r="GEU43" s="30"/>
      <c r="GEV43" s="30"/>
      <c r="GEW43" s="30"/>
      <c r="GEX43" s="30"/>
      <c r="GEY43" s="30"/>
      <c r="GEZ43" s="30"/>
      <c r="GFA43" s="30"/>
      <c r="GFB43" s="30"/>
      <c r="GFC43" s="30"/>
      <c r="GFD43" s="30"/>
      <c r="GFE43" s="30"/>
      <c r="GFF43" s="30"/>
      <c r="GFG43" s="30"/>
      <c r="GFH43" s="30"/>
      <c r="GFI43" s="30"/>
      <c r="GFJ43" s="30"/>
      <c r="GFK43" s="30"/>
      <c r="GFL43" s="30"/>
      <c r="GFM43" s="30"/>
      <c r="GFN43" s="30"/>
      <c r="GFO43" s="30"/>
      <c r="GFP43" s="30"/>
      <c r="GFQ43" s="30"/>
      <c r="GFR43" s="30"/>
      <c r="GFS43" s="30"/>
      <c r="GFT43" s="30"/>
      <c r="GFU43" s="30"/>
      <c r="GFV43" s="30"/>
      <c r="GFW43" s="30"/>
      <c r="GFX43" s="30"/>
      <c r="GFY43" s="30"/>
      <c r="GFZ43" s="30"/>
      <c r="GGA43" s="30"/>
      <c r="GGB43" s="30"/>
      <c r="GGC43" s="30"/>
      <c r="GGD43" s="30"/>
      <c r="GGE43" s="30"/>
      <c r="GGF43" s="30"/>
      <c r="GGG43" s="30"/>
      <c r="GGH43" s="30"/>
      <c r="GGI43" s="30"/>
      <c r="GGJ43" s="30"/>
      <c r="GGK43" s="30"/>
      <c r="GGL43" s="30"/>
      <c r="GGM43" s="30"/>
      <c r="GGN43" s="30"/>
      <c r="GGO43" s="30"/>
      <c r="GGP43" s="30"/>
      <c r="GGQ43" s="30"/>
      <c r="GGR43" s="30"/>
      <c r="GGS43" s="30"/>
      <c r="GGT43" s="30"/>
      <c r="GGU43" s="30"/>
      <c r="GGV43" s="30"/>
      <c r="GGW43" s="30"/>
      <c r="GGX43" s="30"/>
      <c r="GGY43" s="30"/>
      <c r="GGZ43" s="30"/>
      <c r="GHA43" s="30"/>
      <c r="GHB43" s="30"/>
      <c r="GHC43" s="30"/>
      <c r="GHD43" s="30"/>
      <c r="GHE43" s="30"/>
      <c r="GHF43" s="30"/>
      <c r="GHG43" s="30"/>
      <c r="GHH43" s="30"/>
      <c r="GHI43" s="30"/>
      <c r="GHJ43" s="30"/>
      <c r="GHK43" s="30"/>
      <c r="GHL43" s="30"/>
      <c r="GHM43" s="30"/>
      <c r="GHN43" s="30"/>
      <c r="GHO43" s="30"/>
      <c r="GHP43" s="30"/>
      <c r="GHQ43" s="30"/>
      <c r="GHR43" s="30"/>
      <c r="GHS43" s="30"/>
      <c r="GHT43" s="30"/>
      <c r="GHU43" s="30"/>
      <c r="GHV43" s="30"/>
      <c r="GHW43" s="30"/>
      <c r="GHX43" s="30"/>
      <c r="GHY43" s="30"/>
      <c r="GHZ43" s="30"/>
      <c r="GIA43" s="30"/>
      <c r="GIB43" s="30"/>
      <c r="GIC43" s="30"/>
      <c r="GID43" s="30"/>
      <c r="GIE43" s="30"/>
      <c r="GIF43" s="30"/>
      <c r="GIG43" s="30"/>
      <c r="GIH43" s="30"/>
      <c r="GII43" s="30"/>
      <c r="GIJ43" s="30"/>
      <c r="GIK43" s="30"/>
      <c r="GIL43" s="30"/>
      <c r="GIM43" s="30"/>
      <c r="GIN43" s="30"/>
      <c r="GIO43" s="30"/>
      <c r="GIP43" s="30"/>
      <c r="GIQ43" s="30"/>
      <c r="GIR43" s="30"/>
      <c r="GIS43" s="30"/>
      <c r="GIT43" s="30"/>
      <c r="GIU43" s="30"/>
      <c r="GIV43" s="30"/>
      <c r="GIW43" s="30"/>
      <c r="GIX43" s="30"/>
      <c r="GIY43" s="30"/>
      <c r="GIZ43" s="30"/>
      <c r="GJA43" s="30"/>
      <c r="GJB43" s="30"/>
      <c r="GJC43" s="30"/>
      <c r="GJD43" s="30"/>
      <c r="GJE43" s="30"/>
      <c r="GJF43" s="30"/>
      <c r="GJG43" s="30"/>
      <c r="GJH43" s="30"/>
      <c r="GJI43" s="30"/>
      <c r="GJJ43" s="30"/>
      <c r="GJK43" s="30"/>
      <c r="GJL43" s="30"/>
      <c r="GJM43" s="30"/>
      <c r="GJN43" s="30"/>
      <c r="GJO43" s="30"/>
      <c r="GJP43" s="30"/>
      <c r="GJQ43" s="30"/>
      <c r="GJR43" s="30"/>
      <c r="GJS43" s="30"/>
      <c r="GJT43" s="30"/>
      <c r="GJU43" s="30"/>
      <c r="GJV43" s="30"/>
      <c r="GJW43" s="30"/>
      <c r="GJX43" s="30"/>
      <c r="GJY43" s="30"/>
      <c r="GJZ43" s="30"/>
      <c r="GKA43" s="30"/>
      <c r="GKB43" s="30"/>
      <c r="GKC43" s="30"/>
      <c r="GKD43" s="30"/>
      <c r="GKE43" s="30"/>
      <c r="GKF43" s="30"/>
      <c r="GKG43" s="30"/>
      <c r="GKH43" s="30"/>
      <c r="GKI43" s="30"/>
      <c r="GKJ43" s="30"/>
      <c r="GKK43" s="30"/>
      <c r="GKL43" s="30"/>
      <c r="GKM43" s="30"/>
      <c r="GKN43" s="30"/>
      <c r="GKO43" s="30"/>
      <c r="GKP43" s="30"/>
      <c r="GKQ43" s="30"/>
      <c r="GKR43" s="30"/>
      <c r="GKS43" s="30"/>
      <c r="GKT43" s="30"/>
      <c r="GKU43" s="30"/>
      <c r="GKV43" s="30"/>
      <c r="GKW43" s="30"/>
      <c r="GKX43" s="30"/>
      <c r="GKY43" s="30"/>
      <c r="GKZ43" s="30"/>
      <c r="GLA43" s="30"/>
      <c r="GLB43" s="30"/>
      <c r="GLC43" s="30"/>
      <c r="GLD43" s="30"/>
      <c r="GLE43" s="30"/>
      <c r="GLF43" s="30"/>
      <c r="GLG43" s="30"/>
      <c r="GLH43" s="30"/>
      <c r="GLI43" s="30"/>
      <c r="GLJ43" s="30"/>
      <c r="GLK43" s="30"/>
      <c r="GLL43" s="30"/>
      <c r="GLM43" s="30"/>
      <c r="GLN43" s="30"/>
      <c r="GLO43" s="30"/>
      <c r="GLP43" s="30"/>
      <c r="GLQ43" s="30"/>
      <c r="GLR43" s="30"/>
      <c r="GLS43" s="30"/>
      <c r="GLT43" s="30"/>
      <c r="GLU43" s="30"/>
      <c r="GLV43" s="30"/>
      <c r="GLW43" s="30"/>
      <c r="GLX43" s="30"/>
      <c r="GLY43" s="30"/>
      <c r="GLZ43" s="30"/>
      <c r="GMA43" s="30"/>
      <c r="GMB43" s="30"/>
      <c r="GMC43" s="30"/>
      <c r="GMD43" s="30"/>
      <c r="GME43" s="30"/>
      <c r="GMF43" s="30"/>
      <c r="GMG43" s="30"/>
      <c r="GMH43" s="30"/>
      <c r="GMI43" s="30"/>
      <c r="GMJ43" s="30"/>
      <c r="GMK43" s="30"/>
      <c r="GML43" s="30"/>
      <c r="GMM43" s="30"/>
      <c r="GMN43" s="30"/>
      <c r="GMO43" s="30"/>
      <c r="GMP43" s="30"/>
      <c r="GMQ43" s="30"/>
      <c r="GMR43" s="30"/>
      <c r="GMS43" s="30"/>
      <c r="GMT43" s="30"/>
      <c r="GMU43" s="30"/>
      <c r="GMV43" s="30"/>
      <c r="GMW43" s="30"/>
      <c r="GMX43" s="30"/>
      <c r="GMY43" s="30"/>
      <c r="GMZ43" s="30"/>
      <c r="GNA43" s="30"/>
      <c r="GNB43" s="30"/>
      <c r="GNC43" s="30"/>
      <c r="GND43" s="30"/>
      <c r="GNE43" s="30"/>
      <c r="GNF43" s="30"/>
      <c r="GNG43" s="30"/>
      <c r="GNH43" s="30"/>
      <c r="GNI43" s="30"/>
      <c r="GNJ43" s="30"/>
      <c r="GNK43" s="30"/>
      <c r="GNL43" s="30"/>
      <c r="GNM43" s="30"/>
      <c r="GNN43" s="30"/>
      <c r="GNO43" s="30"/>
      <c r="GNP43" s="30"/>
      <c r="GNQ43" s="30"/>
      <c r="GNR43" s="30"/>
      <c r="GNS43" s="30"/>
      <c r="GNT43" s="30"/>
      <c r="GNU43" s="30"/>
      <c r="GNV43" s="30"/>
      <c r="GNW43" s="30"/>
      <c r="GNX43" s="30"/>
      <c r="GNY43" s="30"/>
      <c r="GNZ43" s="30"/>
      <c r="GOA43" s="30"/>
      <c r="GOB43" s="30"/>
      <c r="GOC43" s="30"/>
      <c r="GOD43" s="30"/>
      <c r="GOE43" s="30"/>
      <c r="GOF43" s="30"/>
      <c r="GOG43" s="30"/>
      <c r="GOH43" s="30"/>
      <c r="GOI43" s="30"/>
      <c r="GOJ43" s="30"/>
      <c r="GOK43" s="30"/>
      <c r="GOL43" s="30"/>
      <c r="GOM43" s="30"/>
      <c r="GON43" s="30"/>
      <c r="GOO43" s="30"/>
      <c r="GOP43" s="30"/>
      <c r="GOQ43" s="30"/>
      <c r="GOR43" s="30"/>
      <c r="GOS43" s="30"/>
      <c r="GOT43" s="30"/>
      <c r="GOU43" s="30"/>
      <c r="GOV43" s="30"/>
      <c r="GOW43" s="30"/>
      <c r="GOX43" s="30"/>
      <c r="GOY43" s="30"/>
      <c r="GOZ43" s="30"/>
      <c r="GPA43" s="30"/>
      <c r="GPB43" s="30"/>
      <c r="GPC43" s="30"/>
      <c r="GPD43" s="30"/>
      <c r="GPE43" s="30"/>
      <c r="GPF43" s="30"/>
      <c r="GPG43" s="30"/>
      <c r="GPH43" s="30"/>
      <c r="GPI43" s="30"/>
      <c r="GPJ43" s="30"/>
      <c r="GPK43" s="30"/>
      <c r="GPL43" s="30"/>
      <c r="GPM43" s="30"/>
      <c r="GPN43" s="30"/>
      <c r="GPO43" s="30"/>
      <c r="GPP43" s="30"/>
      <c r="GPQ43" s="30"/>
      <c r="GPR43" s="30"/>
      <c r="GPS43" s="30"/>
      <c r="GPT43" s="30"/>
      <c r="GPU43" s="30"/>
      <c r="GPV43" s="30"/>
      <c r="GPW43" s="30"/>
      <c r="GPX43" s="30"/>
      <c r="GPY43" s="30"/>
      <c r="GPZ43" s="30"/>
      <c r="GQA43" s="30"/>
      <c r="GQB43" s="30"/>
      <c r="GQC43" s="30"/>
      <c r="GQD43" s="30"/>
      <c r="GQE43" s="30"/>
      <c r="GQF43" s="30"/>
      <c r="GQG43" s="30"/>
      <c r="GQH43" s="30"/>
      <c r="GQI43" s="30"/>
      <c r="GQJ43" s="30"/>
      <c r="GQK43" s="30"/>
      <c r="GQL43" s="30"/>
      <c r="GQM43" s="30"/>
      <c r="GQN43" s="30"/>
      <c r="GQO43" s="30"/>
      <c r="GQP43" s="30"/>
      <c r="GQQ43" s="30"/>
      <c r="GQR43" s="30"/>
      <c r="GQS43" s="30"/>
      <c r="GQT43" s="30"/>
      <c r="GQU43" s="30"/>
      <c r="GQV43" s="30"/>
      <c r="GQW43" s="30"/>
      <c r="GQX43" s="30"/>
      <c r="GQY43" s="30"/>
      <c r="GQZ43" s="30"/>
      <c r="GRA43" s="30"/>
      <c r="GRB43" s="30"/>
      <c r="GRC43" s="30"/>
      <c r="GRD43" s="30"/>
      <c r="GRE43" s="30"/>
      <c r="GRF43" s="30"/>
      <c r="GRG43" s="30"/>
      <c r="GRH43" s="30"/>
      <c r="GRI43" s="30"/>
      <c r="GRJ43" s="30"/>
      <c r="GRK43" s="30"/>
      <c r="GRL43" s="30"/>
      <c r="GRM43" s="30"/>
      <c r="GRN43" s="30"/>
      <c r="GRO43" s="30"/>
      <c r="GRP43" s="30"/>
      <c r="GRQ43" s="30"/>
      <c r="GRR43" s="30"/>
      <c r="GRS43" s="30"/>
      <c r="GRT43" s="30"/>
      <c r="GRU43" s="30"/>
      <c r="GRV43" s="30"/>
      <c r="GRW43" s="30"/>
      <c r="GRX43" s="30"/>
      <c r="GRY43" s="30"/>
      <c r="GRZ43" s="30"/>
      <c r="GSA43" s="30"/>
      <c r="GSB43" s="30"/>
      <c r="GSC43" s="30"/>
      <c r="GSD43" s="30"/>
      <c r="GSE43" s="30"/>
      <c r="GSF43" s="30"/>
      <c r="GSG43" s="30"/>
      <c r="GSH43" s="30"/>
      <c r="GSI43" s="30"/>
      <c r="GSJ43" s="30"/>
      <c r="GSK43" s="30"/>
      <c r="GSL43" s="30"/>
      <c r="GSM43" s="30"/>
      <c r="GSN43" s="30"/>
      <c r="GSO43" s="30"/>
      <c r="GSP43" s="30"/>
      <c r="GSQ43" s="30"/>
      <c r="GSR43" s="30"/>
      <c r="GSS43" s="30"/>
      <c r="GST43" s="30"/>
      <c r="GSU43" s="30"/>
      <c r="GSV43" s="30"/>
      <c r="GSW43" s="30"/>
      <c r="GSX43" s="30"/>
      <c r="GSY43" s="30"/>
      <c r="GSZ43" s="30"/>
      <c r="GTA43" s="30"/>
      <c r="GTB43" s="30"/>
      <c r="GTC43" s="30"/>
      <c r="GTD43" s="30"/>
      <c r="GTE43" s="30"/>
      <c r="GTF43" s="30"/>
      <c r="GTG43" s="30"/>
      <c r="GTH43" s="30"/>
      <c r="GTI43" s="30"/>
      <c r="GTJ43" s="30"/>
      <c r="GTK43" s="30"/>
      <c r="GTL43" s="30"/>
      <c r="GTM43" s="30"/>
      <c r="GTN43" s="30"/>
      <c r="GTO43" s="30"/>
      <c r="GTP43" s="30"/>
      <c r="GTQ43" s="30"/>
      <c r="GTR43" s="30"/>
      <c r="GTS43" s="30"/>
      <c r="GTT43" s="30"/>
      <c r="GTU43" s="30"/>
      <c r="GTV43" s="30"/>
      <c r="GTW43" s="30"/>
      <c r="GTX43" s="30"/>
      <c r="GTY43" s="30"/>
      <c r="GTZ43" s="30"/>
      <c r="GUA43" s="30"/>
      <c r="GUB43" s="30"/>
      <c r="GUC43" s="30"/>
      <c r="GUD43" s="30"/>
      <c r="GUE43" s="30"/>
      <c r="GUF43" s="30"/>
      <c r="GUG43" s="30"/>
      <c r="GUH43" s="30"/>
      <c r="GUI43" s="30"/>
      <c r="GUJ43" s="30"/>
      <c r="GUK43" s="30"/>
      <c r="GUL43" s="30"/>
      <c r="GUM43" s="30"/>
      <c r="GUN43" s="30"/>
      <c r="GUO43" s="30"/>
      <c r="GUP43" s="30"/>
      <c r="GUQ43" s="30"/>
      <c r="GUR43" s="30"/>
      <c r="GUS43" s="30"/>
      <c r="GUT43" s="30"/>
      <c r="GUU43" s="30"/>
      <c r="GUV43" s="30"/>
      <c r="GUW43" s="30"/>
      <c r="GUX43" s="30"/>
      <c r="GUY43" s="30"/>
      <c r="GUZ43" s="30"/>
      <c r="GVA43" s="30"/>
      <c r="GVB43" s="30"/>
      <c r="GVC43" s="30"/>
      <c r="GVD43" s="30"/>
      <c r="GVE43" s="30"/>
      <c r="GVF43" s="30"/>
      <c r="GVG43" s="30"/>
      <c r="GVH43" s="30"/>
      <c r="GVI43" s="30"/>
      <c r="GVJ43" s="30"/>
      <c r="GVK43" s="30"/>
      <c r="GVL43" s="30"/>
      <c r="GVM43" s="30"/>
      <c r="GVN43" s="30"/>
      <c r="GVO43" s="30"/>
      <c r="GVP43" s="30"/>
      <c r="GVQ43" s="30"/>
      <c r="GVR43" s="30"/>
      <c r="GVS43" s="30"/>
      <c r="GVT43" s="30"/>
      <c r="GVU43" s="30"/>
      <c r="GVV43" s="30"/>
      <c r="GVW43" s="30"/>
      <c r="GVX43" s="30"/>
      <c r="GVY43" s="30"/>
      <c r="GVZ43" s="30"/>
      <c r="GWA43" s="30"/>
      <c r="GWB43" s="30"/>
      <c r="GWC43" s="30"/>
      <c r="GWD43" s="30"/>
      <c r="GWE43" s="30"/>
      <c r="GWF43" s="30"/>
      <c r="GWG43" s="30"/>
      <c r="GWH43" s="30"/>
      <c r="GWI43" s="30"/>
      <c r="GWJ43" s="30"/>
      <c r="GWK43" s="30"/>
      <c r="GWL43" s="30"/>
      <c r="GWM43" s="30"/>
      <c r="GWN43" s="30"/>
      <c r="GWO43" s="30"/>
      <c r="GWP43" s="30"/>
      <c r="GWQ43" s="30"/>
      <c r="GWR43" s="30"/>
      <c r="GWS43" s="30"/>
      <c r="GWT43" s="30"/>
      <c r="GWU43" s="30"/>
      <c r="GWV43" s="30"/>
      <c r="GWW43" s="30"/>
      <c r="GWX43" s="30"/>
      <c r="GWY43" s="30"/>
      <c r="GWZ43" s="30"/>
      <c r="GXA43" s="30"/>
      <c r="GXB43" s="30"/>
      <c r="GXC43" s="30"/>
      <c r="GXD43" s="30"/>
      <c r="GXE43" s="30"/>
      <c r="GXF43" s="30"/>
      <c r="GXG43" s="30"/>
      <c r="GXH43" s="30"/>
      <c r="GXI43" s="30"/>
      <c r="GXJ43" s="30"/>
      <c r="GXK43" s="30"/>
      <c r="GXL43" s="30"/>
      <c r="GXM43" s="30"/>
      <c r="GXN43" s="30"/>
      <c r="GXO43" s="30"/>
      <c r="GXP43" s="30"/>
      <c r="GXQ43" s="30"/>
      <c r="GXR43" s="30"/>
      <c r="GXS43" s="30"/>
      <c r="GXT43" s="30"/>
      <c r="GXU43" s="30"/>
      <c r="GXV43" s="30"/>
      <c r="GXW43" s="30"/>
      <c r="GXX43" s="30"/>
      <c r="GXY43" s="30"/>
      <c r="GXZ43" s="30"/>
      <c r="GYA43" s="30"/>
      <c r="GYB43" s="30"/>
      <c r="GYC43" s="30"/>
      <c r="GYD43" s="30"/>
      <c r="GYE43" s="30"/>
      <c r="GYF43" s="30"/>
      <c r="GYG43" s="30"/>
      <c r="GYH43" s="30"/>
      <c r="GYI43" s="30"/>
      <c r="GYJ43" s="30"/>
      <c r="GYK43" s="30"/>
      <c r="GYL43" s="30"/>
      <c r="GYM43" s="30"/>
      <c r="GYN43" s="30"/>
      <c r="GYO43" s="30"/>
      <c r="GYP43" s="30"/>
      <c r="GYQ43" s="30"/>
      <c r="GYR43" s="30"/>
      <c r="GYS43" s="30"/>
      <c r="GYT43" s="30"/>
      <c r="GYU43" s="30"/>
      <c r="GYV43" s="30"/>
      <c r="GYW43" s="30"/>
      <c r="GYX43" s="30"/>
      <c r="GYY43" s="30"/>
      <c r="GYZ43" s="30"/>
      <c r="GZA43" s="30"/>
      <c r="GZB43" s="30"/>
      <c r="GZC43" s="30"/>
      <c r="GZD43" s="30"/>
      <c r="GZE43" s="30"/>
      <c r="GZF43" s="30"/>
      <c r="GZG43" s="30"/>
      <c r="GZH43" s="30"/>
      <c r="GZI43" s="30"/>
      <c r="GZJ43" s="30"/>
      <c r="GZK43" s="30"/>
      <c r="GZL43" s="30"/>
      <c r="GZM43" s="30"/>
      <c r="GZN43" s="30"/>
      <c r="GZO43" s="30"/>
      <c r="GZP43" s="30"/>
      <c r="GZQ43" s="30"/>
      <c r="GZR43" s="30"/>
      <c r="GZS43" s="30"/>
      <c r="GZT43" s="30"/>
      <c r="GZU43" s="30"/>
      <c r="GZV43" s="30"/>
      <c r="GZW43" s="30"/>
      <c r="GZX43" s="30"/>
      <c r="GZY43" s="30"/>
      <c r="GZZ43" s="30"/>
      <c r="HAA43" s="30"/>
      <c r="HAB43" s="30"/>
      <c r="HAC43" s="30"/>
      <c r="HAD43" s="30"/>
      <c r="HAE43" s="30"/>
      <c r="HAF43" s="30"/>
      <c r="HAG43" s="30"/>
      <c r="HAH43" s="30"/>
      <c r="HAI43" s="30"/>
      <c r="HAJ43" s="30"/>
      <c r="HAK43" s="30"/>
      <c r="HAL43" s="30"/>
      <c r="HAM43" s="30"/>
      <c r="HAN43" s="30"/>
      <c r="HAO43" s="30"/>
      <c r="HAP43" s="30"/>
      <c r="HAQ43" s="30"/>
      <c r="HAR43" s="30"/>
      <c r="HAS43" s="30"/>
      <c r="HAT43" s="30"/>
      <c r="HAU43" s="30"/>
      <c r="HAV43" s="30"/>
      <c r="HAW43" s="30"/>
      <c r="HAX43" s="30"/>
      <c r="HAY43" s="30"/>
      <c r="HAZ43" s="30"/>
      <c r="HBA43" s="30"/>
      <c r="HBB43" s="30"/>
      <c r="HBC43" s="30"/>
      <c r="HBD43" s="30"/>
      <c r="HBE43" s="30"/>
      <c r="HBF43" s="30"/>
      <c r="HBG43" s="30"/>
      <c r="HBH43" s="30"/>
      <c r="HBI43" s="30"/>
      <c r="HBJ43" s="30"/>
      <c r="HBK43" s="30"/>
      <c r="HBL43" s="30"/>
      <c r="HBM43" s="30"/>
      <c r="HBN43" s="30"/>
      <c r="HBO43" s="30"/>
      <c r="HBP43" s="30"/>
      <c r="HBQ43" s="30"/>
      <c r="HBR43" s="30"/>
      <c r="HBS43" s="30"/>
      <c r="HBT43" s="30"/>
      <c r="HBU43" s="30"/>
      <c r="HBV43" s="30"/>
      <c r="HBW43" s="30"/>
      <c r="HBX43" s="30"/>
      <c r="HBY43" s="30"/>
      <c r="HBZ43" s="30"/>
      <c r="HCA43" s="30"/>
      <c r="HCB43" s="30"/>
      <c r="HCC43" s="30"/>
      <c r="HCD43" s="30"/>
      <c r="HCE43" s="30"/>
      <c r="HCF43" s="30"/>
      <c r="HCG43" s="30"/>
      <c r="HCH43" s="30"/>
      <c r="HCI43" s="30"/>
      <c r="HCJ43" s="30"/>
      <c r="HCK43" s="30"/>
      <c r="HCL43" s="30"/>
      <c r="HCM43" s="30"/>
      <c r="HCN43" s="30"/>
      <c r="HCO43" s="30"/>
      <c r="HCP43" s="30"/>
      <c r="HCQ43" s="30"/>
      <c r="HCR43" s="30"/>
      <c r="HCS43" s="30"/>
      <c r="HCT43" s="30"/>
      <c r="HCU43" s="30"/>
      <c r="HCV43" s="30"/>
      <c r="HCW43" s="30"/>
      <c r="HCX43" s="30"/>
      <c r="HCY43" s="30"/>
      <c r="HCZ43" s="30"/>
      <c r="HDA43" s="30"/>
      <c r="HDB43" s="30"/>
      <c r="HDC43" s="30"/>
      <c r="HDD43" s="30"/>
      <c r="HDE43" s="30"/>
      <c r="HDF43" s="30"/>
      <c r="HDG43" s="30"/>
      <c r="HDH43" s="30"/>
      <c r="HDI43" s="30"/>
      <c r="HDJ43" s="30"/>
      <c r="HDK43" s="30"/>
      <c r="HDL43" s="30"/>
      <c r="HDM43" s="30"/>
      <c r="HDN43" s="30"/>
      <c r="HDO43" s="30"/>
      <c r="HDP43" s="30"/>
      <c r="HDQ43" s="30"/>
      <c r="HDR43" s="30"/>
      <c r="HDS43" s="30"/>
      <c r="HDT43" s="30"/>
      <c r="HDU43" s="30"/>
      <c r="HDV43" s="30"/>
      <c r="HDW43" s="30"/>
      <c r="HDX43" s="30"/>
      <c r="HDY43" s="30"/>
      <c r="HDZ43" s="30"/>
      <c r="HEA43" s="30"/>
      <c r="HEB43" s="30"/>
      <c r="HEC43" s="30"/>
      <c r="HED43" s="30"/>
      <c r="HEE43" s="30"/>
      <c r="HEF43" s="30"/>
      <c r="HEG43" s="30"/>
      <c r="HEH43" s="30"/>
      <c r="HEI43" s="30"/>
      <c r="HEJ43" s="30"/>
      <c r="HEK43" s="30"/>
      <c r="HEL43" s="30"/>
      <c r="HEM43" s="30"/>
      <c r="HEN43" s="30"/>
      <c r="HEO43" s="30"/>
      <c r="HEP43" s="30"/>
      <c r="HEQ43" s="30"/>
      <c r="HER43" s="30"/>
      <c r="HES43" s="30"/>
      <c r="HET43" s="30"/>
      <c r="HEU43" s="30"/>
      <c r="HEV43" s="30"/>
      <c r="HEW43" s="30"/>
      <c r="HEX43" s="30"/>
      <c r="HEY43" s="30"/>
      <c r="HEZ43" s="30"/>
      <c r="HFA43" s="30"/>
      <c r="HFB43" s="30"/>
      <c r="HFC43" s="30"/>
      <c r="HFD43" s="30"/>
      <c r="HFE43" s="30"/>
      <c r="HFF43" s="30"/>
      <c r="HFG43" s="30"/>
      <c r="HFH43" s="30"/>
      <c r="HFI43" s="30"/>
      <c r="HFJ43" s="30"/>
      <c r="HFK43" s="30"/>
      <c r="HFL43" s="30"/>
      <c r="HFM43" s="30"/>
      <c r="HFN43" s="30"/>
      <c r="HFO43" s="30"/>
      <c r="HFP43" s="30"/>
      <c r="HFQ43" s="30"/>
      <c r="HFR43" s="30"/>
      <c r="HFS43" s="30"/>
      <c r="HFT43" s="30"/>
      <c r="HFU43" s="30"/>
      <c r="HFV43" s="30"/>
      <c r="HFW43" s="30"/>
      <c r="HFX43" s="30"/>
      <c r="HFY43" s="30"/>
      <c r="HFZ43" s="30"/>
      <c r="HGA43" s="30"/>
      <c r="HGB43" s="30"/>
      <c r="HGC43" s="30"/>
      <c r="HGD43" s="30"/>
      <c r="HGE43" s="30"/>
      <c r="HGF43" s="30"/>
      <c r="HGG43" s="30"/>
      <c r="HGH43" s="30"/>
      <c r="HGI43" s="30"/>
      <c r="HGJ43" s="30"/>
      <c r="HGK43" s="30"/>
      <c r="HGL43" s="30"/>
      <c r="HGM43" s="30"/>
      <c r="HGN43" s="30"/>
      <c r="HGO43" s="30"/>
      <c r="HGP43" s="30"/>
      <c r="HGQ43" s="30"/>
      <c r="HGR43" s="30"/>
      <c r="HGS43" s="30"/>
      <c r="HGT43" s="30"/>
      <c r="HGU43" s="30"/>
      <c r="HGV43" s="30"/>
      <c r="HGW43" s="30"/>
      <c r="HGX43" s="30"/>
      <c r="HGY43" s="30"/>
      <c r="HGZ43" s="30"/>
      <c r="HHA43" s="30"/>
      <c r="HHB43" s="30"/>
      <c r="HHC43" s="30"/>
      <c r="HHD43" s="30"/>
      <c r="HHE43" s="30"/>
      <c r="HHF43" s="30"/>
      <c r="HHG43" s="30"/>
      <c r="HHH43" s="30"/>
      <c r="HHI43" s="30"/>
      <c r="HHJ43" s="30"/>
      <c r="HHK43" s="30"/>
      <c r="HHL43" s="30"/>
      <c r="HHM43" s="30"/>
      <c r="HHN43" s="30"/>
      <c r="HHO43" s="30"/>
      <c r="HHP43" s="30"/>
      <c r="HHQ43" s="30"/>
      <c r="HHR43" s="30"/>
      <c r="HHS43" s="30"/>
      <c r="HHT43" s="30"/>
      <c r="HHU43" s="30"/>
      <c r="HHV43" s="30"/>
      <c r="HHW43" s="30"/>
      <c r="HHX43" s="30"/>
      <c r="HHY43" s="30"/>
      <c r="HHZ43" s="30"/>
      <c r="HIA43" s="30"/>
      <c r="HIB43" s="30"/>
      <c r="HIC43" s="30"/>
      <c r="HID43" s="30"/>
      <c r="HIE43" s="30"/>
      <c r="HIF43" s="30"/>
      <c r="HIG43" s="30"/>
      <c r="HIH43" s="30"/>
      <c r="HII43" s="30"/>
      <c r="HIJ43" s="30"/>
      <c r="HIK43" s="30"/>
      <c r="HIL43" s="30"/>
      <c r="HIM43" s="30"/>
      <c r="HIN43" s="30"/>
      <c r="HIO43" s="30"/>
      <c r="HIP43" s="30"/>
      <c r="HIQ43" s="30"/>
      <c r="HIR43" s="30"/>
      <c r="HIS43" s="30"/>
      <c r="HIT43" s="30"/>
      <c r="HIU43" s="30"/>
      <c r="HIV43" s="30"/>
      <c r="HIW43" s="30"/>
      <c r="HIX43" s="30"/>
      <c r="HIY43" s="30"/>
      <c r="HIZ43" s="30"/>
      <c r="HJA43" s="30"/>
      <c r="HJB43" s="30"/>
      <c r="HJC43" s="30"/>
      <c r="HJD43" s="30"/>
      <c r="HJE43" s="30"/>
      <c r="HJF43" s="30"/>
      <c r="HJG43" s="30"/>
      <c r="HJH43" s="30"/>
      <c r="HJI43" s="30"/>
      <c r="HJJ43" s="30"/>
      <c r="HJK43" s="30"/>
      <c r="HJL43" s="30"/>
      <c r="HJM43" s="30"/>
      <c r="HJN43" s="30"/>
      <c r="HJO43" s="30"/>
      <c r="HJP43" s="30"/>
      <c r="HJQ43" s="30"/>
      <c r="HJR43" s="30"/>
      <c r="HJS43" s="30"/>
      <c r="HJT43" s="30"/>
      <c r="HJU43" s="30"/>
      <c r="HJV43" s="30"/>
      <c r="HJW43" s="30"/>
      <c r="HJX43" s="30"/>
      <c r="HJY43" s="30"/>
      <c r="HJZ43" s="30"/>
      <c r="HKA43" s="30"/>
      <c r="HKB43" s="30"/>
      <c r="HKC43" s="30"/>
      <c r="HKD43" s="30"/>
      <c r="HKE43" s="30"/>
      <c r="HKF43" s="30"/>
      <c r="HKG43" s="30"/>
      <c r="HKH43" s="30"/>
      <c r="HKI43" s="30"/>
      <c r="HKJ43" s="30"/>
      <c r="HKK43" s="30"/>
      <c r="HKL43" s="30"/>
      <c r="HKM43" s="30"/>
      <c r="HKN43" s="30"/>
      <c r="HKO43" s="30"/>
      <c r="HKP43" s="30"/>
      <c r="HKQ43" s="30"/>
      <c r="HKR43" s="30"/>
      <c r="HKS43" s="30"/>
      <c r="HKT43" s="30"/>
      <c r="HKU43" s="30"/>
      <c r="HKV43" s="30"/>
      <c r="HKW43" s="30"/>
      <c r="HKX43" s="30"/>
      <c r="HKY43" s="30"/>
      <c r="HKZ43" s="30"/>
      <c r="HLA43" s="30"/>
      <c r="HLB43" s="30"/>
      <c r="HLC43" s="30"/>
      <c r="HLD43" s="30"/>
      <c r="HLE43" s="30"/>
      <c r="HLF43" s="30"/>
      <c r="HLG43" s="30"/>
      <c r="HLH43" s="30"/>
      <c r="HLI43" s="30"/>
      <c r="HLJ43" s="30"/>
      <c r="HLK43" s="30"/>
      <c r="HLL43" s="30"/>
      <c r="HLM43" s="30"/>
      <c r="HLN43" s="30"/>
      <c r="HLO43" s="30"/>
      <c r="HLP43" s="30"/>
      <c r="HLQ43" s="30"/>
      <c r="HLR43" s="30"/>
      <c r="HLS43" s="30"/>
      <c r="HLT43" s="30"/>
      <c r="HLU43" s="30"/>
      <c r="HLV43" s="30"/>
      <c r="HLW43" s="30"/>
      <c r="HLX43" s="30"/>
      <c r="HLY43" s="30"/>
      <c r="HLZ43" s="30"/>
      <c r="HMA43" s="30"/>
      <c r="HMB43" s="30"/>
      <c r="HMC43" s="30"/>
      <c r="HMD43" s="30"/>
      <c r="HME43" s="30"/>
      <c r="HMF43" s="30"/>
      <c r="HMG43" s="30"/>
      <c r="HMH43" s="30"/>
      <c r="HMI43" s="30"/>
      <c r="HMJ43" s="30"/>
      <c r="HMK43" s="30"/>
      <c r="HML43" s="30"/>
      <c r="HMM43" s="30"/>
      <c r="HMN43" s="30"/>
      <c r="HMO43" s="30"/>
      <c r="HMP43" s="30"/>
      <c r="HMQ43" s="30"/>
      <c r="HMR43" s="30"/>
      <c r="HMS43" s="30"/>
      <c r="HMT43" s="30"/>
      <c r="HMU43" s="30"/>
      <c r="HMV43" s="30"/>
      <c r="HMW43" s="30"/>
      <c r="HMX43" s="30"/>
      <c r="HMY43" s="30"/>
      <c r="HMZ43" s="30"/>
      <c r="HNA43" s="30"/>
      <c r="HNB43" s="30"/>
      <c r="HNC43" s="30"/>
      <c r="HND43" s="30"/>
      <c r="HNE43" s="30"/>
      <c r="HNF43" s="30"/>
      <c r="HNG43" s="30"/>
      <c r="HNH43" s="30"/>
      <c r="HNI43" s="30"/>
      <c r="HNJ43" s="30"/>
      <c r="HNK43" s="30"/>
      <c r="HNL43" s="30"/>
      <c r="HNM43" s="30"/>
      <c r="HNN43" s="30"/>
      <c r="HNO43" s="30"/>
      <c r="HNP43" s="30"/>
      <c r="HNQ43" s="30"/>
      <c r="HNR43" s="30"/>
      <c r="HNS43" s="30"/>
      <c r="HNT43" s="30"/>
      <c r="HNU43" s="30"/>
      <c r="HNV43" s="30"/>
      <c r="HNW43" s="30"/>
      <c r="HNX43" s="30"/>
      <c r="HNY43" s="30"/>
      <c r="HNZ43" s="30"/>
      <c r="HOA43" s="30"/>
      <c r="HOB43" s="30"/>
      <c r="HOC43" s="30"/>
      <c r="HOD43" s="30"/>
      <c r="HOE43" s="30"/>
      <c r="HOF43" s="30"/>
      <c r="HOG43" s="30"/>
      <c r="HOH43" s="30"/>
      <c r="HOI43" s="30"/>
      <c r="HOJ43" s="30"/>
      <c r="HOK43" s="30"/>
      <c r="HOL43" s="30"/>
      <c r="HOM43" s="30"/>
      <c r="HON43" s="30"/>
      <c r="HOO43" s="30"/>
      <c r="HOP43" s="30"/>
      <c r="HOQ43" s="30"/>
      <c r="HOR43" s="30"/>
      <c r="HOS43" s="30"/>
      <c r="HOT43" s="30"/>
      <c r="HOU43" s="30"/>
      <c r="HOV43" s="30"/>
      <c r="HOW43" s="30"/>
      <c r="HOX43" s="30"/>
      <c r="HOY43" s="30"/>
      <c r="HOZ43" s="30"/>
      <c r="HPA43" s="30"/>
      <c r="HPB43" s="30"/>
      <c r="HPC43" s="30"/>
      <c r="HPD43" s="30"/>
      <c r="HPE43" s="30"/>
      <c r="HPF43" s="30"/>
      <c r="HPG43" s="30"/>
      <c r="HPH43" s="30"/>
      <c r="HPI43" s="30"/>
      <c r="HPJ43" s="30"/>
      <c r="HPK43" s="30"/>
      <c r="HPL43" s="30"/>
      <c r="HPM43" s="30"/>
      <c r="HPN43" s="30"/>
      <c r="HPO43" s="30"/>
      <c r="HPP43" s="30"/>
      <c r="HPQ43" s="30"/>
      <c r="HPR43" s="30"/>
      <c r="HPS43" s="30"/>
      <c r="HPT43" s="30"/>
      <c r="HPU43" s="30"/>
      <c r="HPV43" s="30"/>
      <c r="HPW43" s="30"/>
      <c r="HPX43" s="30"/>
      <c r="HPY43" s="30"/>
      <c r="HPZ43" s="30"/>
      <c r="HQA43" s="30"/>
      <c r="HQB43" s="30"/>
      <c r="HQC43" s="30"/>
      <c r="HQD43" s="30"/>
      <c r="HQE43" s="30"/>
      <c r="HQF43" s="30"/>
      <c r="HQG43" s="30"/>
      <c r="HQH43" s="30"/>
      <c r="HQI43" s="30"/>
      <c r="HQJ43" s="30"/>
      <c r="HQK43" s="30"/>
      <c r="HQL43" s="30"/>
      <c r="HQM43" s="30"/>
      <c r="HQN43" s="30"/>
      <c r="HQO43" s="30"/>
      <c r="HQP43" s="30"/>
      <c r="HQQ43" s="30"/>
      <c r="HQR43" s="30"/>
      <c r="HQS43" s="30"/>
      <c r="HQT43" s="30"/>
      <c r="HQU43" s="30"/>
      <c r="HQV43" s="30"/>
      <c r="HQW43" s="30"/>
      <c r="HQX43" s="30"/>
      <c r="HQY43" s="30"/>
      <c r="HQZ43" s="30"/>
      <c r="HRA43" s="30"/>
      <c r="HRB43" s="30"/>
      <c r="HRC43" s="30"/>
      <c r="HRD43" s="30"/>
      <c r="HRE43" s="30"/>
      <c r="HRF43" s="30"/>
      <c r="HRG43" s="30"/>
      <c r="HRH43" s="30"/>
      <c r="HRI43" s="30"/>
      <c r="HRJ43" s="30"/>
      <c r="HRK43" s="30"/>
      <c r="HRL43" s="30"/>
      <c r="HRM43" s="30"/>
      <c r="HRN43" s="30"/>
      <c r="HRO43" s="30"/>
      <c r="HRP43" s="30"/>
      <c r="HRQ43" s="30"/>
      <c r="HRR43" s="30"/>
      <c r="HRS43" s="30"/>
      <c r="HRT43" s="30"/>
      <c r="HRU43" s="30"/>
      <c r="HRV43" s="30"/>
      <c r="HRW43" s="30"/>
      <c r="HRX43" s="30"/>
      <c r="HRY43" s="30"/>
      <c r="HRZ43" s="30"/>
      <c r="HSA43" s="30"/>
      <c r="HSB43" s="30"/>
      <c r="HSC43" s="30"/>
      <c r="HSD43" s="30"/>
      <c r="HSE43" s="30"/>
      <c r="HSF43" s="30"/>
      <c r="HSG43" s="30"/>
      <c r="HSH43" s="30"/>
      <c r="HSI43" s="30"/>
      <c r="HSJ43" s="30"/>
      <c r="HSK43" s="30"/>
      <c r="HSL43" s="30"/>
      <c r="HSM43" s="30"/>
      <c r="HSN43" s="30"/>
      <c r="HSO43" s="30"/>
      <c r="HSP43" s="30"/>
      <c r="HSQ43" s="30"/>
      <c r="HSR43" s="30"/>
      <c r="HSS43" s="30"/>
      <c r="HST43" s="30"/>
      <c r="HSU43" s="30"/>
      <c r="HSV43" s="30"/>
      <c r="HSW43" s="30"/>
      <c r="HSX43" s="30"/>
      <c r="HSY43" s="30"/>
      <c r="HSZ43" s="30"/>
      <c r="HTA43" s="30"/>
      <c r="HTB43" s="30"/>
      <c r="HTC43" s="30"/>
      <c r="HTD43" s="30"/>
      <c r="HTE43" s="30"/>
      <c r="HTF43" s="30"/>
      <c r="HTG43" s="30"/>
      <c r="HTH43" s="30"/>
      <c r="HTI43" s="30"/>
      <c r="HTJ43" s="30"/>
      <c r="HTK43" s="30"/>
      <c r="HTL43" s="30"/>
      <c r="HTM43" s="30"/>
      <c r="HTN43" s="30"/>
      <c r="HTO43" s="30"/>
      <c r="HTP43" s="30"/>
      <c r="HTQ43" s="30"/>
      <c r="HTR43" s="30"/>
      <c r="HTS43" s="30"/>
      <c r="HTT43" s="30"/>
      <c r="HTU43" s="30"/>
      <c r="HTV43" s="30"/>
      <c r="HTW43" s="30"/>
      <c r="HTX43" s="30"/>
      <c r="HTY43" s="30"/>
      <c r="HTZ43" s="30"/>
      <c r="HUA43" s="30"/>
      <c r="HUB43" s="30"/>
      <c r="HUC43" s="30"/>
      <c r="HUD43" s="30"/>
      <c r="HUE43" s="30"/>
      <c r="HUF43" s="30"/>
      <c r="HUG43" s="30"/>
      <c r="HUH43" s="30"/>
      <c r="HUI43" s="30"/>
      <c r="HUJ43" s="30"/>
      <c r="HUK43" s="30"/>
      <c r="HUL43" s="30"/>
      <c r="HUM43" s="30"/>
      <c r="HUN43" s="30"/>
      <c r="HUO43" s="30"/>
      <c r="HUP43" s="30"/>
      <c r="HUQ43" s="30"/>
      <c r="HUR43" s="30"/>
      <c r="HUS43" s="30"/>
      <c r="HUT43" s="30"/>
      <c r="HUU43" s="30"/>
      <c r="HUV43" s="30"/>
      <c r="HUW43" s="30"/>
      <c r="HUX43" s="30"/>
      <c r="HUY43" s="30"/>
      <c r="HUZ43" s="30"/>
      <c r="HVA43" s="30"/>
      <c r="HVB43" s="30"/>
      <c r="HVC43" s="30"/>
      <c r="HVD43" s="30"/>
      <c r="HVE43" s="30"/>
      <c r="HVF43" s="30"/>
      <c r="HVG43" s="30"/>
      <c r="HVH43" s="30"/>
      <c r="HVI43" s="30"/>
      <c r="HVJ43" s="30"/>
      <c r="HVK43" s="30"/>
      <c r="HVL43" s="30"/>
      <c r="HVM43" s="30"/>
      <c r="HVN43" s="30"/>
      <c r="HVO43" s="30"/>
      <c r="HVP43" s="30"/>
      <c r="HVQ43" s="30"/>
      <c r="HVR43" s="30"/>
      <c r="HVS43" s="30"/>
      <c r="HVT43" s="30"/>
      <c r="HVU43" s="30"/>
      <c r="HVV43" s="30"/>
      <c r="HVW43" s="30"/>
      <c r="HVX43" s="30"/>
      <c r="HVY43" s="30"/>
      <c r="HVZ43" s="30"/>
      <c r="HWA43" s="30"/>
      <c r="HWB43" s="30"/>
      <c r="HWC43" s="30"/>
      <c r="HWD43" s="30"/>
      <c r="HWE43" s="30"/>
      <c r="HWF43" s="30"/>
      <c r="HWG43" s="30"/>
      <c r="HWH43" s="30"/>
      <c r="HWI43" s="30"/>
      <c r="HWJ43" s="30"/>
      <c r="HWK43" s="30"/>
      <c r="HWL43" s="30"/>
      <c r="HWM43" s="30"/>
      <c r="HWN43" s="30"/>
      <c r="HWO43" s="30"/>
      <c r="HWP43" s="30"/>
      <c r="HWQ43" s="30"/>
      <c r="HWR43" s="30"/>
      <c r="HWS43" s="30"/>
      <c r="HWT43" s="30"/>
      <c r="HWU43" s="30"/>
      <c r="HWV43" s="30"/>
      <c r="HWW43" s="30"/>
      <c r="HWX43" s="30"/>
      <c r="HWY43" s="30"/>
      <c r="HWZ43" s="30"/>
      <c r="HXA43" s="30"/>
      <c r="HXB43" s="30"/>
      <c r="HXC43" s="30"/>
      <c r="HXD43" s="30"/>
      <c r="HXE43" s="30"/>
      <c r="HXF43" s="30"/>
      <c r="HXG43" s="30"/>
      <c r="HXH43" s="30"/>
      <c r="HXI43" s="30"/>
      <c r="HXJ43" s="30"/>
      <c r="HXK43" s="30"/>
      <c r="HXL43" s="30"/>
      <c r="HXM43" s="30"/>
      <c r="HXN43" s="30"/>
      <c r="HXO43" s="30"/>
      <c r="HXP43" s="30"/>
      <c r="HXQ43" s="30"/>
      <c r="HXR43" s="30"/>
      <c r="HXS43" s="30"/>
      <c r="HXT43" s="30"/>
      <c r="HXU43" s="30"/>
      <c r="HXV43" s="30"/>
      <c r="HXW43" s="30"/>
      <c r="HXX43" s="30"/>
      <c r="HXY43" s="30"/>
      <c r="HXZ43" s="30"/>
      <c r="HYA43" s="30"/>
      <c r="HYB43" s="30"/>
      <c r="HYC43" s="30"/>
      <c r="HYD43" s="30"/>
      <c r="HYE43" s="30"/>
      <c r="HYF43" s="30"/>
      <c r="HYG43" s="30"/>
      <c r="HYH43" s="30"/>
      <c r="HYI43" s="30"/>
      <c r="HYJ43" s="30"/>
      <c r="HYK43" s="30"/>
      <c r="HYL43" s="30"/>
      <c r="HYM43" s="30"/>
      <c r="HYN43" s="30"/>
      <c r="HYO43" s="30"/>
      <c r="HYP43" s="30"/>
      <c r="HYQ43" s="30"/>
      <c r="HYR43" s="30"/>
      <c r="HYS43" s="30"/>
      <c r="HYT43" s="30"/>
      <c r="HYU43" s="30"/>
      <c r="HYV43" s="30"/>
      <c r="HYW43" s="30"/>
      <c r="HYX43" s="30"/>
      <c r="HYY43" s="30"/>
      <c r="HYZ43" s="30"/>
      <c r="HZA43" s="30"/>
      <c r="HZB43" s="30"/>
      <c r="HZC43" s="30"/>
      <c r="HZD43" s="30"/>
      <c r="HZE43" s="30"/>
      <c r="HZF43" s="30"/>
      <c r="HZG43" s="30"/>
      <c r="HZH43" s="30"/>
      <c r="HZI43" s="30"/>
      <c r="HZJ43" s="30"/>
      <c r="HZK43" s="30"/>
      <c r="HZL43" s="30"/>
      <c r="HZM43" s="30"/>
      <c r="HZN43" s="30"/>
      <c r="HZO43" s="30"/>
      <c r="HZP43" s="30"/>
      <c r="HZQ43" s="30"/>
      <c r="HZR43" s="30"/>
      <c r="HZS43" s="30"/>
      <c r="HZT43" s="30"/>
      <c r="HZU43" s="30"/>
      <c r="HZV43" s="30"/>
      <c r="HZW43" s="30"/>
      <c r="HZX43" s="30"/>
      <c r="HZY43" s="30"/>
      <c r="HZZ43" s="30"/>
      <c r="IAA43" s="30"/>
      <c r="IAB43" s="30"/>
      <c r="IAC43" s="30"/>
      <c r="IAD43" s="30"/>
      <c r="IAE43" s="30"/>
      <c r="IAF43" s="30"/>
      <c r="IAG43" s="30"/>
      <c r="IAH43" s="30"/>
      <c r="IAI43" s="30"/>
      <c r="IAJ43" s="30"/>
      <c r="IAK43" s="30"/>
      <c r="IAL43" s="30"/>
      <c r="IAM43" s="30"/>
      <c r="IAN43" s="30"/>
      <c r="IAO43" s="30"/>
      <c r="IAP43" s="30"/>
      <c r="IAQ43" s="30"/>
      <c r="IAR43" s="30"/>
      <c r="IAS43" s="30"/>
      <c r="IAT43" s="30"/>
      <c r="IAU43" s="30"/>
      <c r="IAV43" s="30"/>
      <c r="IAW43" s="30"/>
      <c r="IAX43" s="30"/>
      <c r="IAY43" s="30"/>
      <c r="IAZ43" s="30"/>
      <c r="IBA43" s="30"/>
      <c r="IBB43" s="30"/>
      <c r="IBC43" s="30"/>
      <c r="IBD43" s="30"/>
      <c r="IBE43" s="30"/>
      <c r="IBF43" s="30"/>
      <c r="IBG43" s="30"/>
      <c r="IBH43" s="30"/>
      <c r="IBI43" s="30"/>
      <c r="IBJ43" s="30"/>
      <c r="IBK43" s="30"/>
      <c r="IBL43" s="30"/>
      <c r="IBM43" s="30"/>
      <c r="IBN43" s="30"/>
      <c r="IBO43" s="30"/>
      <c r="IBP43" s="30"/>
      <c r="IBQ43" s="30"/>
      <c r="IBR43" s="30"/>
      <c r="IBS43" s="30"/>
      <c r="IBT43" s="30"/>
      <c r="IBU43" s="30"/>
      <c r="IBV43" s="30"/>
      <c r="IBW43" s="30"/>
      <c r="IBX43" s="30"/>
      <c r="IBY43" s="30"/>
      <c r="IBZ43" s="30"/>
      <c r="ICA43" s="30"/>
      <c r="ICB43" s="30"/>
      <c r="ICC43" s="30"/>
      <c r="ICD43" s="30"/>
      <c r="ICE43" s="30"/>
      <c r="ICF43" s="30"/>
      <c r="ICG43" s="30"/>
      <c r="ICH43" s="30"/>
      <c r="ICI43" s="30"/>
      <c r="ICJ43" s="30"/>
      <c r="ICK43" s="30"/>
      <c r="ICL43" s="30"/>
      <c r="ICM43" s="30"/>
      <c r="ICN43" s="30"/>
      <c r="ICO43" s="30"/>
      <c r="ICP43" s="30"/>
      <c r="ICQ43" s="30"/>
      <c r="ICR43" s="30"/>
      <c r="ICS43" s="30"/>
      <c r="ICT43" s="30"/>
      <c r="ICU43" s="30"/>
      <c r="ICV43" s="30"/>
      <c r="ICW43" s="30"/>
      <c r="ICX43" s="30"/>
      <c r="ICY43" s="30"/>
      <c r="ICZ43" s="30"/>
      <c r="IDA43" s="30"/>
      <c r="IDB43" s="30"/>
      <c r="IDC43" s="30"/>
      <c r="IDD43" s="30"/>
      <c r="IDE43" s="30"/>
      <c r="IDF43" s="30"/>
      <c r="IDG43" s="30"/>
      <c r="IDH43" s="30"/>
      <c r="IDI43" s="30"/>
      <c r="IDJ43" s="30"/>
      <c r="IDK43" s="30"/>
      <c r="IDL43" s="30"/>
      <c r="IDM43" s="30"/>
      <c r="IDN43" s="30"/>
      <c r="IDO43" s="30"/>
      <c r="IDP43" s="30"/>
      <c r="IDQ43" s="30"/>
      <c r="IDR43" s="30"/>
      <c r="IDS43" s="30"/>
      <c r="IDT43" s="30"/>
      <c r="IDU43" s="30"/>
      <c r="IDV43" s="30"/>
      <c r="IDW43" s="30"/>
      <c r="IDX43" s="30"/>
      <c r="IDY43" s="30"/>
      <c r="IDZ43" s="30"/>
      <c r="IEA43" s="30"/>
      <c r="IEB43" s="30"/>
      <c r="IEC43" s="30"/>
      <c r="IED43" s="30"/>
      <c r="IEE43" s="30"/>
      <c r="IEF43" s="30"/>
      <c r="IEG43" s="30"/>
      <c r="IEH43" s="30"/>
      <c r="IEI43" s="30"/>
      <c r="IEJ43" s="30"/>
      <c r="IEK43" s="30"/>
      <c r="IEL43" s="30"/>
      <c r="IEM43" s="30"/>
      <c r="IEN43" s="30"/>
      <c r="IEO43" s="30"/>
      <c r="IEP43" s="30"/>
      <c r="IEQ43" s="30"/>
      <c r="IER43" s="30"/>
      <c r="IES43" s="30"/>
      <c r="IET43" s="30"/>
      <c r="IEU43" s="30"/>
      <c r="IEV43" s="30"/>
      <c r="IEW43" s="30"/>
      <c r="IEX43" s="30"/>
      <c r="IEY43" s="30"/>
      <c r="IEZ43" s="30"/>
      <c r="IFA43" s="30"/>
      <c r="IFB43" s="30"/>
      <c r="IFC43" s="30"/>
      <c r="IFD43" s="30"/>
      <c r="IFE43" s="30"/>
      <c r="IFF43" s="30"/>
      <c r="IFG43" s="30"/>
      <c r="IFH43" s="30"/>
      <c r="IFI43" s="30"/>
      <c r="IFJ43" s="30"/>
      <c r="IFK43" s="30"/>
      <c r="IFL43" s="30"/>
      <c r="IFM43" s="30"/>
      <c r="IFN43" s="30"/>
      <c r="IFO43" s="30"/>
      <c r="IFP43" s="30"/>
      <c r="IFQ43" s="30"/>
      <c r="IFR43" s="30"/>
      <c r="IFS43" s="30"/>
      <c r="IFT43" s="30"/>
      <c r="IFU43" s="30"/>
      <c r="IFV43" s="30"/>
      <c r="IFW43" s="30"/>
      <c r="IFX43" s="30"/>
      <c r="IFY43" s="30"/>
      <c r="IFZ43" s="30"/>
      <c r="IGA43" s="30"/>
      <c r="IGB43" s="30"/>
      <c r="IGC43" s="30"/>
      <c r="IGD43" s="30"/>
      <c r="IGE43" s="30"/>
      <c r="IGF43" s="30"/>
      <c r="IGG43" s="30"/>
      <c r="IGH43" s="30"/>
      <c r="IGI43" s="30"/>
      <c r="IGJ43" s="30"/>
      <c r="IGK43" s="30"/>
      <c r="IGL43" s="30"/>
      <c r="IGM43" s="30"/>
      <c r="IGN43" s="30"/>
      <c r="IGO43" s="30"/>
      <c r="IGP43" s="30"/>
      <c r="IGQ43" s="30"/>
      <c r="IGR43" s="30"/>
      <c r="IGS43" s="30"/>
      <c r="IGT43" s="30"/>
      <c r="IGU43" s="30"/>
      <c r="IGV43" s="30"/>
      <c r="IGW43" s="30"/>
      <c r="IGX43" s="30"/>
      <c r="IGY43" s="30"/>
      <c r="IGZ43" s="30"/>
      <c r="IHA43" s="30"/>
      <c r="IHB43" s="30"/>
      <c r="IHC43" s="30"/>
      <c r="IHD43" s="30"/>
      <c r="IHE43" s="30"/>
      <c r="IHF43" s="30"/>
      <c r="IHG43" s="30"/>
      <c r="IHH43" s="30"/>
      <c r="IHI43" s="30"/>
      <c r="IHJ43" s="30"/>
      <c r="IHK43" s="30"/>
      <c r="IHL43" s="30"/>
      <c r="IHM43" s="30"/>
      <c r="IHN43" s="30"/>
      <c r="IHO43" s="30"/>
      <c r="IHP43" s="30"/>
      <c r="IHQ43" s="30"/>
      <c r="IHR43" s="30"/>
      <c r="IHS43" s="30"/>
      <c r="IHT43" s="30"/>
      <c r="IHU43" s="30"/>
      <c r="IHV43" s="30"/>
      <c r="IHW43" s="30"/>
      <c r="IHX43" s="30"/>
      <c r="IHY43" s="30"/>
      <c r="IHZ43" s="30"/>
      <c r="IIA43" s="30"/>
      <c r="IIB43" s="30"/>
      <c r="IIC43" s="30"/>
      <c r="IID43" s="30"/>
      <c r="IIE43" s="30"/>
      <c r="IIF43" s="30"/>
      <c r="IIG43" s="30"/>
      <c r="IIH43" s="30"/>
      <c r="III43" s="30"/>
      <c r="IIJ43" s="30"/>
      <c r="IIK43" s="30"/>
      <c r="IIL43" s="30"/>
      <c r="IIM43" s="30"/>
      <c r="IIN43" s="30"/>
      <c r="IIO43" s="30"/>
      <c r="IIP43" s="30"/>
      <c r="IIQ43" s="30"/>
      <c r="IIR43" s="30"/>
      <c r="IIS43" s="30"/>
      <c r="IIT43" s="30"/>
      <c r="IIU43" s="30"/>
      <c r="IIV43" s="30"/>
      <c r="IIW43" s="30"/>
      <c r="IIX43" s="30"/>
      <c r="IIY43" s="30"/>
      <c r="IIZ43" s="30"/>
      <c r="IJA43" s="30"/>
      <c r="IJB43" s="30"/>
      <c r="IJC43" s="30"/>
      <c r="IJD43" s="30"/>
      <c r="IJE43" s="30"/>
      <c r="IJF43" s="30"/>
      <c r="IJG43" s="30"/>
      <c r="IJH43" s="30"/>
      <c r="IJI43" s="30"/>
      <c r="IJJ43" s="30"/>
      <c r="IJK43" s="30"/>
      <c r="IJL43" s="30"/>
      <c r="IJM43" s="30"/>
      <c r="IJN43" s="30"/>
      <c r="IJO43" s="30"/>
      <c r="IJP43" s="30"/>
      <c r="IJQ43" s="30"/>
      <c r="IJR43" s="30"/>
      <c r="IJS43" s="30"/>
      <c r="IJT43" s="30"/>
      <c r="IJU43" s="30"/>
      <c r="IJV43" s="30"/>
      <c r="IJW43" s="30"/>
      <c r="IJX43" s="30"/>
      <c r="IJY43" s="30"/>
      <c r="IJZ43" s="30"/>
      <c r="IKA43" s="30"/>
      <c r="IKB43" s="30"/>
      <c r="IKC43" s="30"/>
      <c r="IKD43" s="30"/>
      <c r="IKE43" s="30"/>
      <c r="IKF43" s="30"/>
      <c r="IKG43" s="30"/>
      <c r="IKH43" s="30"/>
      <c r="IKI43" s="30"/>
      <c r="IKJ43" s="30"/>
      <c r="IKK43" s="30"/>
      <c r="IKL43" s="30"/>
      <c r="IKM43" s="30"/>
      <c r="IKN43" s="30"/>
      <c r="IKO43" s="30"/>
      <c r="IKP43" s="30"/>
      <c r="IKQ43" s="30"/>
      <c r="IKR43" s="30"/>
      <c r="IKS43" s="30"/>
      <c r="IKT43" s="30"/>
      <c r="IKU43" s="30"/>
      <c r="IKV43" s="30"/>
      <c r="IKW43" s="30"/>
      <c r="IKX43" s="30"/>
      <c r="IKY43" s="30"/>
      <c r="IKZ43" s="30"/>
      <c r="ILA43" s="30"/>
      <c r="ILB43" s="30"/>
      <c r="ILC43" s="30"/>
      <c r="ILD43" s="30"/>
      <c r="ILE43" s="30"/>
      <c r="ILF43" s="30"/>
      <c r="ILG43" s="30"/>
      <c r="ILH43" s="30"/>
      <c r="ILI43" s="30"/>
      <c r="ILJ43" s="30"/>
      <c r="ILK43" s="30"/>
      <c r="ILL43" s="30"/>
      <c r="ILM43" s="30"/>
      <c r="ILN43" s="30"/>
      <c r="ILO43" s="30"/>
      <c r="ILP43" s="30"/>
      <c r="ILQ43" s="30"/>
      <c r="ILR43" s="30"/>
      <c r="ILS43" s="30"/>
      <c r="ILT43" s="30"/>
      <c r="ILU43" s="30"/>
      <c r="ILV43" s="30"/>
      <c r="ILW43" s="30"/>
      <c r="ILX43" s="30"/>
      <c r="ILY43" s="30"/>
      <c r="ILZ43" s="30"/>
      <c r="IMA43" s="30"/>
      <c r="IMB43" s="30"/>
      <c r="IMC43" s="30"/>
      <c r="IMD43" s="30"/>
      <c r="IME43" s="30"/>
      <c r="IMF43" s="30"/>
      <c r="IMG43" s="30"/>
      <c r="IMH43" s="30"/>
      <c r="IMI43" s="30"/>
      <c r="IMJ43" s="30"/>
      <c r="IMK43" s="30"/>
      <c r="IML43" s="30"/>
      <c r="IMM43" s="30"/>
      <c r="IMN43" s="30"/>
      <c r="IMO43" s="30"/>
      <c r="IMP43" s="30"/>
      <c r="IMQ43" s="30"/>
      <c r="IMR43" s="30"/>
      <c r="IMS43" s="30"/>
      <c r="IMT43" s="30"/>
      <c r="IMU43" s="30"/>
      <c r="IMV43" s="30"/>
      <c r="IMW43" s="30"/>
      <c r="IMX43" s="30"/>
      <c r="IMY43" s="30"/>
      <c r="IMZ43" s="30"/>
      <c r="INA43" s="30"/>
      <c r="INB43" s="30"/>
      <c r="INC43" s="30"/>
      <c r="IND43" s="30"/>
      <c r="INE43" s="30"/>
      <c r="INF43" s="30"/>
      <c r="ING43" s="30"/>
      <c r="INH43" s="30"/>
      <c r="INI43" s="30"/>
      <c r="INJ43" s="30"/>
      <c r="INK43" s="30"/>
      <c r="INL43" s="30"/>
      <c r="INM43" s="30"/>
      <c r="INN43" s="30"/>
      <c r="INO43" s="30"/>
      <c r="INP43" s="30"/>
      <c r="INQ43" s="30"/>
      <c r="INR43" s="30"/>
      <c r="INS43" s="30"/>
      <c r="INT43" s="30"/>
      <c r="INU43" s="30"/>
      <c r="INV43" s="30"/>
      <c r="INW43" s="30"/>
      <c r="INX43" s="30"/>
      <c r="INY43" s="30"/>
      <c r="INZ43" s="30"/>
      <c r="IOA43" s="30"/>
      <c r="IOB43" s="30"/>
      <c r="IOC43" s="30"/>
      <c r="IOD43" s="30"/>
      <c r="IOE43" s="30"/>
      <c r="IOF43" s="30"/>
      <c r="IOG43" s="30"/>
      <c r="IOH43" s="30"/>
      <c r="IOI43" s="30"/>
      <c r="IOJ43" s="30"/>
      <c r="IOK43" s="30"/>
      <c r="IOL43" s="30"/>
      <c r="IOM43" s="30"/>
      <c r="ION43" s="30"/>
      <c r="IOO43" s="30"/>
      <c r="IOP43" s="30"/>
      <c r="IOQ43" s="30"/>
      <c r="IOR43" s="30"/>
      <c r="IOS43" s="30"/>
      <c r="IOT43" s="30"/>
      <c r="IOU43" s="30"/>
      <c r="IOV43" s="30"/>
      <c r="IOW43" s="30"/>
      <c r="IOX43" s="30"/>
      <c r="IOY43" s="30"/>
      <c r="IOZ43" s="30"/>
      <c r="IPA43" s="30"/>
      <c r="IPB43" s="30"/>
      <c r="IPC43" s="30"/>
      <c r="IPD43" s="30"/>
      <c r="IPE43" s="30"/>
      <c r="IPF43" s="30"/>
      <c r="IPG43" s="30"/>
      <c r="IPH43" s="30"/>
      <c r="IPI43" s="30"/>
      <c r="IPJ43" s="30"/>
      <c r="IPK43" s="30"/>
      <c r="IPL43" s="30"/>
      <c r="IPM43" s="30"/>
      <c r="IPN43" s="30"/>
      <c r="IPO43" s="30"/>
      <c r="IPP43" s="30"/>
      <c r="IPQ43" s="30"/>
      <c r="IPR43" s="30"/>
      <c r="IPS43" s="30"/>
      <c r="IPT43" s="30"/>
      <c r="IPU43" s="30"/>
      <c r="IPV43" s="30"/>
      <c r="IPW43" s="30"/>
      <c r="IPX43" s="30"/>
      <c r="IPY43" s="30"/>
      <c r="IPZ43" s="30"/>
      <c r="IQA43" s="30"/>
      <c r="IQB43" s="30"/>
      <c r="IQC43" s="30"/>
      <c r="IQD43" s="30"/>
      <c r="IQE43" s="30"/>
      <c r="IQF43" s="30"/>
      <c r="IQG43" s="30"/>
      <c r="IQH43" s="30"/>
      <c r="IQI43" s="30"/>
      <c r="IQJ43" s="30"/>
      <c r="IQK43" s="30"/>
      <c r="IQL43" s="30"/>
      <c r="IQM43" s="30"/>
      <c r="IQN43" s="30"/>
      <c r="IQO43" s="30"/>
      <c r="IQP43" s="30"/>
      <c r="IQQ43" s="30"/>
      <c r="IQR43" s="30"/>
      <c r="IQS43" s="30"/>
      <c r="IQT43" s="30"/>
      <c r="IQU43" s="30"/>
      <c r="IQV43" s="30"/>
      <c r="IQW43" s="30"/>
      <c r="IQX43" s="30"/>
      <c r="IQY43" s="30"/>
      <c r="IQZ43" s="30"/>
      <c r="IRA43" s="30"/>
      <c r="IRB43" s="30"/>
      <c r="IRC43" s="30"/>
      <c r="IRD43" s="30"/>
      <c r="IRE43" s="30"/>
      <c r="IRF43" s="30"/>
      <c r="IRG43" s="30"/>
      <c r="IRH43" s="30"/>
      <c r="IRI43" s="30"/>
      <c r="IRJ43" s="30"/>
      <c r="IRK43" s="30"/>
      <c r="IRL43" s="30"/>
      <c r="IRM43" s="30"/>
      <c r="IRN43" s="30"/>
      <c r="IRO43" s="30"/>
      <c r="IRP43" s="30"/>
      <c r="IRQ43" s="30"/>
      <c r="IRR43" s="30"/>
      <c r="IRS43" s="30"/>
      <c r="IRT43" s="30"/>
      <c r="IRU43" s="30"/>
      <c r="IRV43" s="30"/>
      <c r="IRW43" s="30"/>
      <c r="IRX43" s="30"/>
      <c r="IRY43" s="30"/>
      <c r="IRZ43" s="30"/>
      <c r="ISA43" s="30"/>
      <c r="ISB43" s="30"/>
      <c r="ISC43" s="30"/>
      <c r="ISD43" s="30"/>
      <c r="ISE43" s="30"/>
      <c r="ISF43" s="30"/>
      <c r="ISG43" s="30"/>
      <c r="ISH43" s="30"/>
      <c r="ISI43" s="30"/>
      <c r="ISJ43" s="30"/>
      <c r="ISK43" s="30"/>
      <c r="ISL43" s="30"/>
      <c r="ISM43" s="30"/>
      <c r="ISN43" s="30"/>
      <c r="ISO43" s="30"/>
      <c r="ISP43" s="30"/>
      <c r="ISQ43" s="30"/>
      <c r="ISR43" s="30"/>
      <c r="ISS43" s="30"/>
      <c r="IST43" s="30"/>
      <c r="ISU43" s="30"/>
      <c r="ISV43" s="30"/>
      <c r="ISW43" s="30"/>
      <c r="ISX43" s="30"/>
      <c r="ISY43" s="30"/>
      <c r="ISZ43" s="30"/>
      <c r="ITA43" s="30"/>
      <c r="ITB43" s="30"/>
      <c r="ITC43" s="30"/>
      <c r="ITD43" s="30"/>
      <c r="ITE43" s="30"/>
      <c r="ITF43" s="30"/>
      <c r="ITG43" s="30"/>
      <c r="ITH43" s="30"/>
      <c r="ITI43" s="30"/>
      <c r="ITJ43" s="30"/>
      <c r="ITK43" s="30"/>
      <c r="ITL43" s="30"/>
      <c r="ITM43" s="30"/>
      <c r="ITN43" s="30"/>
      <c r="ITO43" s="30"/>
      <c r="ITP43" s="30"/>
      <c r="ITQ43" s="30"/>
      <c r="ITR43" s="30"/>
      <c r="ITS43" s="30"/>
      <c r="ITT43" s="30"/>
      <c r="ITU43" s="30"/>
      <c r="ITV43" s="30"/>
      <c r="ITW43" s="30"/>
      <c r="ITX43" s="30"/>
      <c r="ITY43" s="30"/>
      <c r="ITZ43" s="30"/>
      <c r="IUA43" s="30"/>
      <c r="IUB43" s="30"/>
      <c r="IUC43" s="30"/>
      <c r="IUD43" s="30"/>
      <c r="IUE43" s="30"/>
      <c r="IUF43" s="30"/>
      <c r="IUG43" s="30"/>
      <c r="IUH43" s="30"/>
      <c r="IUI43" s="30"/>
      <c r="IUJ43" s="30"/>
      <c r="IUK43" s="30"/>
      <c r="IUL43" s="30"/>
      <c r="IUM43" s="30"/>
      <c r="IUN43" s="30"/>
      <c r="IUO43" s="30"/>
      <c r="IUP43" s="30"/>
      <c r="IUQ43" s="30"/>
      <c r="IUR43" s="30"/>
      <c r="IUS43" s="30"/>
      <c r="IUT43" s="30"/>
      <c r="IUU43" s="30"/>
      <c r="IUV43" s="30"/>
      <c r="IUW43" s="30"/>
      <c r="IUX43" s="30"/>
      <c r="IUY43" s="30"/>
      <c r="IUZ43" s="30"/>
      <c r="IVA43" s="30"/>
      <c r="IVB43" s="30"/>
      <c r="IVC43" s="30"/>
      <c r="IVD43" s="30"/>
      <c r="IVE43" s="30"/>
      <c r="IVF43" s="30"/>
      <c r="IVG43" s="30"/>
      <c r="IVH43" s="30"/>
      <c r="IVI43" s="30"/>
      <c r="IVJ43" s="30"/>
      <c r="IVK43" s="30"/>
      <c r="IVL43" s="30"/>
      <c r="IVM43" s="30"/>
      <c r="IVN43" s="30"/>
      <c r="IVO43" s="30"/>
      <c r="IVP43" s="30"/>
      <c r="IVQ43" s="30"/>
      <c r="IVR43" s="30"/>
      <c r="IVS43" s="30"/>
      <c r="IVT43" s="30"/>
      <c r="IVU43" s="30"/>
      <c r="IVV43" s="30"/>
      <c r="IVW43" s="30"/>
      <c r="IVX43" s="30"/>
      <c r="IVY43" s="30"/>
      <c r="IVZ43" s="30"/>
      <c r="IWA43" s="30"/>
      <c r="IWB43" s="30"/>
      <c r="IWC43" s="30"/>
      <c r="IWD43" s="30"/>
      <c r="IWE43" s="30"/>
      <c r="IWF43" s="30"/>
      <c r="IWG43" s="30"/>
      <c r="IWH43" s="30"/>
      <c r="IWI43" s="30"/>
      <c r="IWJ43" s="30"/>
      <c r="IWK43" s="30"/>
      <c r="IWL43" s="30"/>
      <c r="IWM43" s="30"/>
      <c r="IWN43" s="30"/>
      <c r="IWO43" s="30"/>
      <c r="IWP43" s="30"/>
      <c r="IWQ43" s="30"/>
      <c r="IWR43" s="30"/>
      <c r="IWS43" s="30"/>
      <c r="IWT43" s="30"/>
      <c r="IWU43" s="30"/>
      <c r="IWV43" s="30"/>
      <c r="IWW43" s="30"/>
      <c r="IWX43" s="30"/>
      <c r="IWY43" s="30"/>
      <c r="IWZ43" s="30"/>
      <c r="IXA43" s="30"/>
      <c r="IXB43" s="30"/>
      <c r="IXC43" s="30"/>
      <c r="IXD43" s="30"/>
      <c r="IXE43" s="30"/>
      <c r="IXF43" s="30"/>
      <c r="IXG43" s="30"/>
      <c r="IXH43" s="30"/>
      <c r="IXI43" s="30"/>
      <c r="IXJ43" s="30"/>
      <c r="IXK43" s="30"/>
      <c r="IXL43" s="30"/>
      <c r="IXM43" s="30"/>
      <c r="IXN43" s="30"/>
      <c r="IXO43" s="30"/>
      <c r="IXP43" s="30"/>
      <c r="IXQ43" s="30"/>
      <c r="IXR43" s="30"/>
      <c r="IXS43" s="30"/>
      <c r="IXT43" s="30"/>
      <c r="IXU43" s="30"/>
      <c r="IXV43" s="30"/>
      <c r="IXW43" s="30"/>
      <c r="IXX43" s="30"/>
      <c r="IXY43" s="30"/>
      <c r="IXZ43" s="30"/>
      <c r="IYA43" s="30"/>
      <c r="IYB43" s="30"/>
      <c r="IYC43" s="30"/>
      <c r="IYD43" s="30"/>
      <c r="IYE43" s="30"/>
      <c r="IYF43" s="30"/>
      <c r="IYG43" s="30"/>
      <c r="IYH43" s="30"/>
      <c r="IYI43" s="30"/>
      <c r="IYJ43" s="30"/>
      <c r="IYK43" s="30"/>
      <c r="IYL43" s="30"/>
      <c r="IYM43" s="30"/>
      <c r="IYN43" s="30"/>
      <c r="IYO43" s="30"/>
      <c r="IYP43" s="30"/>
      <c r="IYQ43" s="30"/>
      <c r="IYR43" s="30"/>
      <c r="IYS43" s="30"/>
      <c r="IYT43" s="30"/>
      <c r="IYU43" s="30"/>
      <c r="IYV43" s="30"/>
      <c r="IYW43" s="30"/>
      <c r="IYX43" s="30"/>
      <c r="IYY43" s="30"/>
      <c r="IYZ43" s="30"/>
      <c r="IZA43" s="30"/>
      <c r="IZB43" s="30"/>
      <c r="IZC43" s="30"/>
      <c r="IZD43" s="30"/>
      <c r="IZE43" s="30"/>
      <c r="IZF43" s="30"/>
      <c r="IZG43" s="30"/>
      <c r="IZH43" s="30"/>
      <c r="IZI43" s="30"/>
      <c r="IZJ43" s="30"/>
      <c r="IZK43" s="30"/>
      <c r="IZL43" s="30"/>
      <c r="IZM43" s="30"/>
      <c r="IZN43" s="30"/>
      <c r="IZO43" s="30"/>
      <c r="IZP43" s="30"/>
      <c r="IZQ43" s="30"/>
      <c r="IZR43" s="30"/>
      <c r="IZS43" s="30"/>
      <c r="IZT43" s="30"/>
      <c r="IZU43" s="30"/>
      <c r="IZV43" s="30"/>
      <c r="IZW43" s="30"/>
      <c r="IZX43" s="30"/>
      <c r="IZY43" s="30"/>
      <c r="IZZ43" s="30"/>
      <c r="JAA43" s="30"/>
      <c r="JAB43" s="30"/>
      <c r="JAC43" s="30"/>
      <c r="JAD43" s="30"/>
      <c r="JAE43" s="30"/>
      <c r="JAF43" s="30"/>
      <c r="JAG43" s="30"/>
      <c r="JAH43" s="30"/>
      <c r="JAI43" s="30"/>
      <c r="JAJ43" s="30"/>
      <c r="JAK43" s="30"/>
      <c r="JAL43" s="30"/>
      <c r="JAM43" s="30"/>
      <c r="JAN43" s="30"/>
      <c r="JAO43" s="30"/>
      <c r="JAP43" s="30"/>
      <c r="JAQ43" s="30"/>
      <c r="JAR43" s="30"/>
      <c r="JAS43" s="30"/>
      <c r="JAT43" s="30"/>
      <c r="JAU43" s="30"/>
      <c r="JAV43" s="30"/>
      <c r="JAW43" s="30"/>
      <c r="JAX43" s="30"/>
      <c r="JAY43" s="30"/>
      <c r="JAZ43" s="30"/>
      <c r="JBA43" s="30"/>
      <c r="JBB43" s="30"/>
      <c r="JBC43" s="30"/>
      <c r="JBD43" s="30"/>
      <c r="JBE43" s="30"/>
      <c r="JBF43" s="30"/>
      <c r="JBG43" s="30"/>
      <c r="JBH43" s="30"/>
      <c r="JBI43" s="30"/>
      <c r="JBJ43" s="30"/>
      <c r="JBK43" s="30"/>
      <c r="JBL43" s="30"/>
      <c r="JBM43" s="30"/>
      <c r="JBN43" s="30"/>
      <c r="JBO43" s="30"/>
      <c r="JBP43" s="30"/>
      <c r="JBQ43" s="30"/>
      <c r="JBR43" s="30"/>
      <c r="JBS43" s="30"/>
      <c r="JBT43" s="30"/>
      <c r="JBU43" s="30"/>
      <c r="JBV43" s="30"/>
      <c r="JBW43" s="30"/>
      <c r="JBX43" s="30"/>
      <c r="JBY43" s="30"/>
      <c r="JBZ43" s="30"/>
      <c r="JCA43" s="30"/>
      <c r="JCB43" s="30"/>
      <c r="JCC43" s="30"/>
      <c r="JCD43" s="30"/>
      <c r="JCE43" s="30"/>
      <c r="JCF43" s="30"/>
      <c r="JCG43" s="30"/>
      <c r="JCH43" s="30"/>
      <c r="JCI43" s="30"/>
      <c r="JCJ43" s="30"/>
      <c r="JCK43" s="30"/>
      <c r="JCL43" s="30"/>
      <c r="JCM43" s="30"/>
      <c r="JCN43" s="30"/>
      <c r="JCO43" s="30"/>
      <c r="JCP43" s="30"/>
      <c r="JCQ43" s="30"/>
      <c r="JCR43" s="30"/>
      <c r="JCS43" s="30"/>
      <c r="JCT43" s="30"/>
      <c r="JCU43" s="30"/>
      <c r="JCV43" s="30"/>
      <c r="JCW43" s="30"/>
      <c r="JCX43" s="30"/>
      <c r="JCY43" s="30"/>
      <c r="JCZ43" s="30"/>
      <c r="JDA43" s="30"/>
      <c r="JDB43" s="30"/>
      <c r="JDC43" s="30"/>
      <c r="JDD43" s="30"/>
      <c r="JDE43" s="30"/>
      <c r="JDF43" s="30"/>
      <c r="JDG43" s="30"/>
      <c r="JDH43" s="30"/>
      <c r="JDI43" s="30"/>
      <c r="JDJ43" s="30"/>
      <c r="JDK43" s="30"/>
      <c r="JDL43" s="30"/>
      <c r="JDM43" s="30"/>
      <c r="JDN43" s="30"/>
      <c r="JDO43" s="30"/>
      <c r="JDP43" s="30"/>
      <c r="JDQ43" s="30"/>
      <c r="JDR43" s="30"/>
      <c r="JDS43" s="30"/>
      <c r="JDT43" s="30"/>
      <c r="JDU43" s="30"/>
      <c r="JDV43" s="30"/>
      <c r="JDW43" s="30"/>
      <c r="JDX43" s="30"/>
      <c r="JDY43" s="30"/>
      <c r="JDZ43" s="30"/>
      <c r="JEA43" s="30"/>
      <c r="JEB43" s="30"/>
      <c r="JEC43" s="30"/>
      <c r="JED43" s="30"/>
      <c r="JEE43" s="30"/>
      <c r="JEF43" s="30"/>
      <c r="JEG43" s="30"/>
      <c r="JEH43" s="30"/>
      <c r="JEI43" s="30"/>
      <c r="JEJ43" s="30"/>
      <c r="JEK43" s="30"/>
      <c r="JEL43" s="30"/>
      <c r="JEM43" s="30"/>
      <c r="JEN43" s="30"/>
      <c r="JEO43" s="30"/>
      <c r="JEP43" s="30"/>
      <c r="JEQ43" s="30"/>
      <c r="JER43" s="30"/>
      <c r="JES43" s="30"/>
      <c r="JET43" s="30"/>
      <c r="JEU43" s="30"/>
      <c r="JEV43" s="30"/>
      <c r="JEW43" s="30"/>
      <c r="JEX43" s="30"/>
      <c r="JEY43" s="30"/>
      <c r="JEZ43" s="30"/>
      <c r="JFA43" s="30"/>
      <c r="JFB43" s="30"/>
      <c r="JFC43" s="30"/>
      <c r="JFD43" s="30"/>
      <c r="JFE43" s="30"/>
      <c r="JFF43" s="30"/>
      <c r="JFG43" s="30"/>
      <c r="JFH43" s="30"/>
      <c r="JFI43" s="30"/>
      <c r="JFJ43" s="30"/>
      <c r="JFK43" s="30"/>
      <c r="JFL43" s="30"/>
      <c r="JFM43" s="30"/>
      <c r="JFN43" s="30"/>
      <c r="JFO43" s="30"/>
      <c r="JFP43" s="30"/>
      <c r="JFQ43" s="30"/>
      <c r="JFR43" s="30"/>
      <c r="JFS43" s="30"/>
      <c r="JFT43" s="30"/>
      <c r="JFU43" s="30"/>
      <c r="JFV43" s="30"/>
      <c r="JFW43" s="30"/>
      <c r="JFX43" s="30"/>
      <c r="JFY43" s="30"/>
      <c r="JFZ43" s="30"/>
      <c r="JGA43" s="30"/>
      <c r="JGB43" s="30"/>
      <c r="JGC43" s="30"/>
      <c r="JGD43" s="30"/>
      <c r="JGE43" s="30"/>
      <c r="JGF43" s="30"/>
      <c r="JGG43" s="30"/>
      <c r="JGH43" s="30"/>
      <c r="JGI43" s="30"/>
      <c r="JGJ43" s="30"/>
      <c r="JGK43" s="30"/>
      <c r="JGL43" s="30"/>
      <c r="JGM43" s="30"/>
      <c r="JGN43" s="30"/>
      <c r="JGO43" s="30"/>
      <c r="JGP43" s="30"/>
      <c r="JGQ43" s="30"/>
      <c r="JGR43" s="30"/>
      <c r="JGS43" s="30"/>
      <c r="JGT43" s="30"/>
      <c r="JGU43" s="30"/>
      <c r="JGV43" s="30"/>
      <c r="JGW43" s="30"/>
      <c r="JGX43" s="30"/>
      <c r="JGY43" s="30"/>
      <c r="JGZ43" s="30"/>
      <c r="JHA43" s="30"/>
      <c r="JHB43" s="30"/>
      <c r="JHC43" s="30"/>
      <c r="JHD43" s="30"/>
      <c r="JHE43" s="30"/>
      <c r="JHF43" s="30"/>
      <c r="JHG43" s="30"/>
      <c r="JHH43" s="30"/>
      <c r="JHI43" s="30"/>
      <c r="JHJ43" s="30"/>
      <c r="JHK43" s="30"/>
      <c r="JHL43" s="30"/>
      <c r="JHM43" s="30"/>
      <c r="JHN43" s="30"/>
      <c r="JHO43" s="30"/>
      <c r="JHP43" s="30"/>
      <c r="JHQ43" s="30"/>
      <c r="JHR43" s="30"/>
      <c r="JHS43" s="30"/>
      <c r="JHT43" s="30"/>
      <c r="JHU43" s="30"/>
      <c r="JHV43" s="30"/>
      <c r="JHW43" s="30"/>
      <c r="JHX43" s="30"/>
      <c r="JHY43" s="30"/>
      <c r="JHZ43" s="30"/>
      <c r="JIA43" s="30"/>
      <c r="JIB43" s="30"/>
      <c r="JIC43" s="30"/>
      <c r="JID43" s="30"/>
      <c r="JIE43" s="30"/>
      <c r="JIF43" s="30"/>
      <c r="JIG43" s="30"/>
      <c r="JIH43" s="30"/>
      <c r="JII43" s="30"/>
      <c r="JIJ43" s="30"/>
      <c r="JIK43" s="30"/>
      <c r="JIL43" s="30"/>
      <c r="JIM43" s="30"/>
      <c r="JIN43" s="30"/>
      <c r="JIO43" s="30"/>
      <c r="JIP43" s="30"/>
      <c r="JIQ43" s="30"/>
      <c r="JIR43" s="30"/>
      <c r="JIS43" s="30"/>
      <c r="JIT43" s="30"/>
      <c r="JIU43" s="30"/>
      <c r="JIV43" s="30"/>
      <c r="JIW43" s="30"/>
      <c r="JIX43" s="30"/>
      <c r="JIY43" s="30"/>
      <c r="JIZ43" s="30"/>
      <c r="JJA43" s="30"/>
      <c r="JJB43" s="30"/>
      <c r="JJC43" s="30"/>
      <c r="JJD43" s="30"/>
      <c r="JJE43" s="30"/>
      <c r="JJF43" s="30"/>
      <c r="JJG43" s="30"/>
      <c r="JJH43" s="30"/>
      <c r="JJI43" s="30"/>
      <c r="JJJ43" s="30"/>
      <c r="JJK43" s="30"/>
      <c r="JJL43" s="30"/>
      <c r="JJM43" s="30"/>
      <c r="JJN43" s="30"/>
      <c r="JJO43" s="30"/>
      <c r="JJP43" s="30"/>
      <c r="JJQ43" s="30"/>
      <c r="JJR43" s="30"/>
      <c r="JJS43" s="30"/>
      <c r="JJT43" s="30"/>
      <c r="JJU43" s="30"/>
      <c r="JJV43" s="30"/>
      <c r="JJW43" s="30"/>
      <c r="JJX43" s="30"/>
      <c r="JJY43" s="30"/>
      <c r="JJZ43" s="30"/>
      <c r="JKA43" s="30"/>
      <c r="JKB43" s="30"/>
      <c r="JKC43" s="30"/>
      <c r="JKD43" s="30"/>
      <c r="JKE43" s="30"/>
      <c r="JKF43" s="30"/>
      <c r="JKG43" s="30"/>
      <c r="JKH43" s="30"/>
      <c r="JKI43" s="30"/>
      <c r="JKJ43" s="30"/>
      <c r="JKK43" s="30"/>
      <c r="JKL43" s="30"/>
      <c r="JKM43" s="30"/>
      <c r="JKN43" s="30"/>
      <c r="JKO43" s="30"/>
      <c r="JKP43" s="30"/>
      <c r="JKQ43" s="30"/>
      <c r="JKR43" s="30"/>
      <c r="JKS43" s="30"/>
      <c r="JKT43" s="30"/>
      <c r="JKU43" s="30"/>
      <c r="JKV43" s="30"/>
      <c r="JKW43" s="30"/>
      <c r="JKX43" s="30"/>
      <c r="JKY43" s="30"/>
      <c r="JKZ43" s="30"/>
      <c r="JLA43" s="30"/>
      <c r="JLB43" s="30"/>
      <c r="JLC43" s="30"/>
      <c r="JLD43" s="30"/>
      <c r="JLE43" s="30"/>
      <c r="JLF43" s="30"/>
      <c r="JLG43" s="30"/>
      <c r="JLH43" s="30"/>
      <c r="JLI43" s="30"/>
      <c r="JLJ43" s="30"/>
      <c r="JLK43" s="30"/>
      <c r="JLL43" s="30"/>
      <c r="JLM43" s="30"/>
      <c r="JLN43" s="30"/>
      <c r="JLO43" s="30"/>
      <c r="JLP43" s="30"/>
      <c r="JLQ43" s="30"/>
      <c r="JLR43" s="30"/>
      <c r="JLS43" s="30"/>
      <c r="JLT43" s="30"/>
      <c r="JLU43" s="30"/>
      <c r="JLV43" s="30"/>
      <c r="JLW43" s="30"/>
      <c r="JLX43" s="30"/>
      <c r="JLY43" s="30"/>
      <c r="JLZ43" s="30"/>
      <c r="JMA43" s="30"/>
      <c r="JMB43" s="30"/>
      <c r="JMC43" s="30"/>
      <c r="JMD43" s="30"/>
      <c r="JME43" s="30"/>
      <c r="JMF43" s="30"/>
      <c r="JMG43" s="30"/>
      <c r="JMH43" s="30"/>
      <c r="JMI43" s="30"/>
      <c r="JMJ43" s="30"/>
      <c r="JMK43" s="30"/>
      <c r="JML43" s="30"/>
      <c r="JMM43" s="30"/>
      <c r="JMN43" s="30"/>
      <c r="JMO43" s="30"/>
      <c r="JMP43" s="30"/>
      <c r="JMQ43" s="30"/>
      <c r="JMR43" s="30"/>
      <c r="JMS43" s="30"/>
      <c r="JMT43" s="30"/>
      <c r="JMU43" s="30"/>
      <c r="JMV43" s="30"/>
      <c r="JMW43" s="30"/>
      <c r="JMX43" s="30"/>
      <c r="JMY43" s="30"/>
      <c r="JMZ43" s="30"/>
      <c r="JNA43" s="30"/>
      <c r="JNB43" s="30"/>
      <c r="JNC43" s="30"/>
      <c r="JND43" s="30"/>
      <c r="JNE43" s="30"/>
      <c r="JNF43" s="30"/>
      <c r="JNG43" s="30"/>
      <c r="JNH43" s="30"/>
      <c r="JNI43" s="30"/>
      <c r="JNJ43" s="30"/>
      <c r="JNK43" s="30"/>
      <c r="JNL43" s="30"/>
      <c r="JNM43" s="30"/>
      <c r="JNN43" s="30"/>
      <c r="JNO43" s="30"/>
      <c r="JNP43" s="30"/>
      <c r="JNQ43" s="30"/>
      <c r="JNR43" s="30"/>
      <c r="JNS43" s="30"/>
      <c r="JNT43" s="30"/>
      <c r="JNU43" s="30"/>
      <c r="JNV43" s="30"/>
      <c r="JNW43" s="30"/>
      <c r="JNX43" s="30"/>
      <c r="JNY43" s="30"/>
      <c r="JNZ43" s="30"/>
      <c r="JOA43" s="30"/>
      <c r="JOB43" s="30"/>
      <c r="JOC43" s="30"/>
      <c r="JOD43" s="30"/>
      <c r="JOE43" s="30"/>
      <c r="JOF43" s="30"/>
      <c r="JOG43" s="30"/>
      <c r="JOH43" s="30"/>
      <c r="JOI43" s="30"/>
      <c r="JOJ43" s="30"/>
      <c r="JOK43" s="30"/>
      <c r="JOL43" s="30"/>
      <c r="JOM43" s="30"/>
      <c r="JON43" s="30"/>
      <c r="JOO43" s="30"/>
      <c r="JOP43" s="30"/>
      <c r="JOQ43" s="30"/>
      <c r="JOR43" s="30"/>
      <c r="JOS43" s="30"/>
      <c r="JOT43" s="30"/>
      <c r="JOU43" s="30"/>
      <c r="JOV43" s="30"/>
      <c r="JOW43" s="30"/>
      <c r="JOX43" s="30"/>
      <c r="JOY43" s="30"/>
      <c r="JOZ43" s="30"/>
      <c r="JPA43" s="30"/>
      <c r="JPB43" s="30"/>
      <c r="JPC43" s="30"/>
      <c r="JPD43" s="30"/>
      <c r="JPE43" s="30"/>
      <c r="JPF43" s="30"/>
      <c r="JPG43" s="30"/>
      <c r="JPH43" s="30"/>
      <c r="JPI43" s="30"/>
      <c r="JPJ43" s="30"/>
      <c r="JPK43" s="30"/>
      <c r="JPL43" s="30"/>
      <c r="JPM43" s="30"/>
      <c r="JPN43" s="30"/>
      <c r="JPO43" s="30"/>
      <c r="JPP43" s="30"/>
      <c r="JPQ43" s="30"/>
      <c r="JPR43" s="30"/>
      <c r="JPS43" s="30"/>
      <c r="JPT43" s="30"/>
      <c r="JPU43" s="30"/>
      <c r="JPV43" s="30"/>
      <c r="JPW43" s="30"/>
      <c r="JPX43" s="30"/>
      <c r="JPY43" s="30"/>
      <c r="JPZ43" s="30"/>
      <c r="JQA43" s="30"/>
      <c r="JQB43" s="30"/>
      <c r="JQC43" s="30"/>
      <c r="JQD43" s="30"/>
      <c r="JQE43" s="30"/>
      <c r="JQF43" s="30"/>
      <c r="JQG43" s="30"/>
      <c r="JQH43" s="30"/>
      <c r="JQI43" s="30"/>
      <c r="JQJ43" s="30"/>
      <c r="JQK43" s="30"/>
      <c r="JQL43" s="30"/>
      <c r="JQM43" s="30"/>
      <c r="JQN43" s="30"/>
      <c r="JQO43" s="30"/>
      <c r="JQP43" s="30"/>
      <c r="JQQ43" s="30"/>
      <c r="JQR43" s="30"/>
      <c r="JQS43" s="30"/>
      <c r="JQT43" s="30"/>
      <c r="JQU43" s="30"/>
      <c r="JQV43" s="30"/>
      <c r="JQW43" s="30"/>
      <c r="JQX43" s="30"/>
      <c r="JQY43" s="30"/>
      <c r="JQZ43" s="30"/>
      <c r="JRA43" s="30"/>
      <c r="JRB43" s="30"/>
      <c r="JRC43" s="30"/>
      <c r="JRD43" s="30"/>
      <c r="JRE43" s="30"/>
      <c r="JRF43" s="30"/>
      <c r="JRG43" s="30"/>
      <c r="JRH43" s="30"/>
      <c r="JRI43" s="30"/>
      <c r="JRJ43" s="30"/>
      <c r="JRK43" s="30"/>
      <c r="JRL43" s="30"/>
      <c r="JRM43" s="30"/>
      <c r="JRN43" s="30"/>
      <c r="JRO43" s="30"/>
      <c r="JRP43" s="30"/>
      <c r="JRQ43" s="30"/>
      <c r="JRR43" s="30"/>
      <c r="JRS43" s="30"/>
      <c r="JRT43" s="30"/>
      <c r="JRU43" s="30"/>
      <c r="JRV43" s="30"/>
      <c r="JRW43" s="30"/>
      <c r="JRX43" s="30"/>
      <c r="JRY43" s="30"/>
      <c r="JRZ43" s="30"/>
      <c r="JSA43" s="30"/>
      <c r="JSB43" s="30"/>
      <c r="JSC43" s="30"/>
      <c r="JSD43" s="30"/>
      <c r="JSE43" s="30"/>
      <c r="JSF43" s="30"/>
      <c r="JSG43" s="30"/>
      <c r="JSH43" s="30"/>
      <c r="JSI43" s="30"/>
      <c r="JSJ43" s="30"/>
      <c r="JSK43" s="30"/>
      <c r="JSL43" s="30"/>
      <c r="JSM43" s="30"/>
      <c r="JSN43" s="30"/>
      <c r="JSO43" s="30"/>
      <c r="JSP43" s="30"/>
      <c r="JSQ43" s="30"/>
      <c r="JSR43" s="30"/>
      <c r="JSS43" s="30"/>
      <c r="JST43" s="30"/>
      <c r="JSU43" s="30"/>
      <c r="JSV43" s="30"/>
      <c r="JSW43" s="30"/>
      <c r="JSX43" s="30"/>
      <c r="JSY43" s="30"/>
      <c r="JSZ43" s="30"/>
      <c r="JTA43" s="30"/>
      <c r="JTB43" s="30"/>
      <c r="JTC43" s="30"/>
      <c r="JTD43" s="30"/>
      <c r="JTE43" s="30"/>
      <c r="JTF43" s="30"/>
      <c r="JTG43" s="30"/>
      <c r="JTH43" s="30"/>
      <c r="JTI43" s="30"/>
      <c r="JTJ43" s="30"/>
      <c r="JTK43" s="30"/>
      <c r="JTL43" s="30"/>
      <c r="JTM43" s="30"/>
      <c r="JTN43" s="30"/>
      <c r="JTO43" s="30"/>
      <c r="JTP43" s="30"/>
      <c r="JTQ43" s="30"/>
      <c r="JTR43" s="30"/>
      <c r="JTS43" s="30"/>
      <c r="JTT43" s="30"/>
      <c r="JTU43" s="30"/>
      <c r="JTV43" s="30"/>
      <c r="JTW43" s="30"/>
      <c r="JTX43" s="30"/>
      <c r="JTY43" s="30"/>
      <c r="JTZ43" s="30"/>
      <c r="JUA43" s="30"/>
      <c r="JUB43" s="30"/>
      <c r="JUC43" s="30"/>
      <c r="JUD43" s="30"/>
      <c r="JUE43" s="30"/>
      <c r="JUF43" s="30"/>
      <c r="JUG43" s="30"/>
      <c r="JUH43" s="30"/>
      <c r="JUI43" s="30"/>
      <c r="JUJ43" s="30"/>
      <c r="JUK43" s="30"/>
      <c r="JUL43" s="30"/>
      <c r="JUM43" s="30"/>
      <c r="JUN43" s="30"/>
      <c r="JUO43" s="30"/>
      <c r="JUP43" s="30"/>
      <c r="JUQ43" s="30"/>
      <c r="JUR43" s="30"/>
      <c r="JUS43" s="30"/>
      <c r="JUT43" s="30"/>
      <c r="JUU43" s="30"/>
      <c r="JUV43" s="30"/>
      <c r="JUW43" s="30"/>
      <c r="JUX43" s="30"/>
      <c r="JUY43" s="30"/>
      <c r="JUZ43" s="30"/>
      <c r="JVA43" s="30"/>
      <c r="JVB43" s="30"/>
      <c r="JVC43" s="30"/>
      <c r="JVD43" s="30"/>
      <c r="JVE43" s="30"/>
      <c r="JVF43" s="30"/>
      <c r="JVG43" s="30"/>
      <c r="JVH43" s="30"/>
      <c r="JVI43" s="30"/>
      <c r="JVJ43" s="30"/>
      <c r="JVK43" s="30"/>
      <c r="JVL43" s="30"/>
      <c r="JVM43" s="30"/>
      <c r="JVN43" s="30"/>
      <c r="JVO43" s="30"/>
      <c r="JVP43" s="30"/>
      <c r="JVQ43" s="30"/>
      <c r="JVR43" s="30"/>
      <c r="JVS43" s="30"/>
      <c r="JVT43" s="30"/>
      <c r="JVU43" s="30"/>
      <c r="JVV43" s="30"/>
      <c r="JVW43" s="30"/>
      <c r="JVX43" s="30"/>
      <c r="JVY43" s="30"/>
      <c r="JVZ43" s="30"/>
      <c r="JWA43" s="30"/>
      <c r="JWB43" s="30"/>
      <c r="JWC43" s="30"/>
      <c r="JWD43" s="30"/>
      <c r="JWE43" s="30"/>
      <c r="JWF43" s="30"/>
      <c r="JWG43" s="30"/>
      <c r="JWH43" s="30"/>
      <c r="JWI43" s="30"/>
      <c r="JWJ43" s="30"/>
      <c r="JWK43" s="30"/>
      <c r="JWL43" s="30"/>
      <c r="JWM43" s="30"/>
      <c r="JWN43" s="30"/>
      <c r="JWO43" s="30"/>
      <c r="JWP43" s="30"/>
      <c r="JWQ43" s="30"/>
      <c r="JWR43" s="30"/>
      <c r="JWS43" s="30"/>
      <c r="JWT43" s="30"/>
      <c r="JWU43" s="30"/>
      <c r="JWV43" s="30"/>
      <c r="JWW43" s="30"/>
      <c r="JWX43" s="30"/>
      <c r="JWY43" s="30"/>
      <c r="JWZ43" s="30"/>
      <c r="JXA43" s="30"/>
      <c r="JXB43" s="30"/>
      <c r="JXC43" s="30"/>
      <c r="JXD43" s="30"/>
      <c r="JXE43" s="30"/>
      <c r="JXF43" s="30"/>
      <c r="JXG43" s="30"/>
      <c r="JXH43" s="30"/>
      <c r="JXI43" s="30"/>
      <c r="JXJ43" s="30"/>
      <c r="JXK43" s="30"/>
      <c r="JXL43" s="30"/>
      <c r="JXM43" s="30"/>
      <c r="JXN43" s="30"/>
      <c r="JXO43" s="30"/>
      <c r="JXP43" s="30"/>
      <c r="JXQ43" s="30"/>
      <c r="JXR43" s="30"/>
      <c r="JXS43" s="30"/>
      <c r="JXT43" s="30"/>
      <c r="JXU43" s="30"/>
      <c r="JXV43" s="30"/>
      <c r="JXW43" s="30"/>
      <c r="JXX43" s="30"/>
      <c r="JXY43" s="30"/>
      <c r="JXZ43" s="30"/>
      <c r="JYA43" s="30"/>
      <c r="JYB43" s="30"/>
      <c r="JYC43" s="30"/>
      <c r="JYD43" s="30"/>
      <c r="JYE43" s="30"/>
      <c r="JYF43" s="30"/>
      <c r="JYG43" s="30"/>
      <c r="JYH43" s="30"/>
      <c r="JYI43" s="30"/>
      <c r="JYJ43" s="30"/>
      <c r="JYK43" s="30"/>
      <c r="JYL43" s="30"/>
      <c r="JYM43" s="30"/>
      <c r="JYN43" s="30"/>
      <c r="JYO43" s="30"/>
      <c r="JYP43" s="30"/>
      <c r="JYQ43" s="30"/>
      <c r="JYR43" s="30"/>
      <c r="JYS43" s="30"/>
      <c r="JYT43" s="30"/>
      <c r="JYU43" s="30"/>
      <c r="JYV43" s="30"/>
      <c r="JYW43" s="30"/>
      <c r="JYX43" s="30"/>
      <c r="JYY43" s="30"/>
      <c r="JYZ43" s="30"/>
      <c r="JZA43" s="30"/>
      <c r="JZB43" s="30"/>
      <c r="JZC43" s="30"/>
      <c r="JZD43" s="30"/>
      <c r="JZE43" s="30"/>
      <c r="JZF43" s="30"/>
      <c r="JZG43" s="30"/>
      <c r="JZH43" s="30"/>
      <c r="JZI43" s="30"/>
      <c r="JZJ43" s="30"/>
      <c r="JZK43" s="30"/>
      <c r="JZL43" s="30"/>
      <c r="JZM43" s="30"/>
      <c r="JZN43" s="30"/>
      <c r="JZO43" s="30"/>
      <c r="JZP43" s="30"/>
      <c r="JZQ43" s="30"/>
      <c r="JZR43" s="30"/>
      <c r="JZS43" s="30"/>
      <c r="JZT43" s="30"/>
      <c r="JZU43" s="30"/>
      <c r="JZV43" s="30"/>
      <c r="JZW43" s="30"/>
      <c r="JZX43" s="30"/>
      <c r="JZY43" s="30"/>
      <c r="JZZ43" s="30"/>
      <c r="KAA43" s="30"/>
      <c r="KAB43" s="30"/>
      <c r="KAC43" s="30"/>
      <c r="KAD43" s="30"/>
      <c r="KAE43" s="30"/>
      <c r="KAF43" s="30"/>
      <c r="KAG43" s="30"/>
      <c r="KAH43" s="30"/>
      <c r="KAI43" s="30"/>
      <c r="KAJ43" s="30"/>
      <c r="KAK43" s="30"/>
      <c r="KAL43" s="30"/>
      <c r="KAM43" s="30"/>
      <c r="KAN43" s="30"/>
      <c r="KAO43" s="30"/>
      <c r="KAP43" s="30"/>
      <c r="KAQ43" s="30"/>
      <c r="KAR43" s="30"/>
      <c r="KAS43" s="30"/>
      <c r="KAT43" s="30"/>
      <c r="KAU43" s="30"/>
      <c r="KAV43" s="30"/>
      <c r="KAW43" s="30"/>
      <c r="KAX43" s="30"/>
      <c r="KAY43" s="30"/>
      <c r="KAZ43" s="30"/>
      <c r="KBA43" s="30"/>
      <c r="KBB43" s="30"/>
      <c r="KBC43" s="30"/>
      <c r="KBD43" s="30"/>
      <c r="KBE43" s="30"/>
      <c r="KBF43" s="30"/>
      <c r="KBG43" s="30"/>
      <c r="KBH43" s="30"/>
      <c r="KBI43" s="30"/>
      <c r="KBJ43" s="30"/>
      <c r="KBK43" s="30"/>
      <c r="KBL43" s="30"/>
      <c r="KBM43" s="30"/>
      <c r="KBN43" s="30"/>
      <c r="KBO43" s="30"/>
      <c r="KBP43" s="30"/>
      <c r="KBQ43" s="30"/>
      <c r="KBR43" s="30"/>
      <c r="KBS43" s="30"/>
      <c r="KBT43" s="30"/>
      <c r="KBU43" s="30"/>
      <c r="KBV43" s="30"/>
      <c r="KBW43" s="30"/>
      <c r="KBX43" s="30"/>
      <c r="KBY43" s="30"/>
      <c r="KBZ43" s="30"/>
      <c r="KCA43" s="30"/>
      <c r="KCB43" s="30"/>
      <c r="KCC43" s="30"/>
      <c r="KCD43" s="30"/>
      <c r="KCE43" s="30"/>
      <c r="KCF43" s="30"/>
      <c r="KCG43" s="30"/>
      <c r="KCH43" s="30"/>
      <c r="KCI43" s="30"/>
      <c r="KCJ43" s="30"/>
      <c r="KCK43" s="30"/>
      <c r="KCL43" s="30"/>
      <c r="KCM43" s="30"/>
      <c r="KCN43" s="30"/>
      <c r="KCO43" s="30"/>
      <c r="KCP43" s="30"/>
      <c r="KCQ43" s="30"/>
      <c r="KCR43" s="30"/>
      <c r="KCS43" s="30"/>
      <c r="KCT43" s="30"/>
      <c r="KCU43" s="30"/>
      <c r="KCV43" s="30"/>
      <c r="KCW43" s="30"/>
      <c r="KCX43" s="30"/>
      <c r="KCY43" s="30"/>
      <c r="KCZ43" s="30"/>
      <c r="KDA43" s="30"/>
      <c r="KDB43" s="30"/>
      <c r="KDC43" s="30"/>
      <c r="KDD43" s="30"/>
      <c r="KDE43" s="30"/>
      <c r="KDF43" s="30"/>
      <c r="KDG43" s="30"/>
      <c r="KDH43" s="30"/>
      <c r="KDI43" s="30"/>
      <c r="KDJ43" s="30"/>
      <c r="KDK43" s="30"/>
      <c r="KDL43" s="30"/>
      <c r="KDM43" s="30"/>
      <c r="KDN43" s="30"/>
      <c r="KDO43" s="30"/>
      <c r="KDP43" s="30"/>
      <c r="KDQ43" s="30"/>
      <c r="KDR43" s="30"/>
      <c r="KDS43" s="30"/>
      <c r="KDT43" s="30"/>
      <c r="KDU43" s="30"/>
      <c r="KDV43" s="30"/>
      <c r="KDW43" s="30"/>
      <c r="KDX43" s="30"/>
      <c r="KDY43" s="30"/>
      <c r="KDZ43" s="30"/>
      <c r="KEA43" s="30"/>
      <c r="KEB43" s="30"/>
      <c r="KEC43" s="30"/>
      <c r="KED43" s="30"/>
      <c r="KEE43" s="30"/>
      <c r="KEF43" s="30"/>
      <c r="KEG43" s="30"/>
      <c r="KEH43" s="30"/>
      <c r="KEI43" s="30"/>
      <c r="KEJ43" s="30"/>
      <c r="KEK43" s="30"/>
      <c r="KEL43" s="30"/>
      <c r="KEM43" s="30"/>
      <c r="KEN43" s="30"/>
      <c r="KEO43" s="30"/>
      <c r="KEP43" s="30"/>
      <c r="KEQ43" s="30"/>
      <c r="KER43" s="30"/>
      <c r="KES43" s="30"/>
      <c r="KET43" s="30"/>
      <c r="KEU43" s="30"/>
      <c r="KEV43" s="30"/>
      <c r="KEW43" s="30"/>
      <c r="KEX43" s="30"/>
      <c r="KEY43" s="30"/>
      <c r="KEZ43" s="30"/>
      <c r="KFA43" s="30"/>
      <c r="KFB43" s="30"/>
      <c r="KFC43" s="30"/>
      <c r="KFD43" s="30"/>
      <c r="KFE43" s="30"/>
      <c r="KFF43" s="30"/>
      <c r="KFG43" s="30"/>
      <c r="KFH43" s="30"/>
      <c r="KFI43" s="30"/>
      <c r="KFJ43" s="30"/>
      <c r="KFK43" s="30"/>
      <c r="KFL43" s="30"/>
      <c r="KFM43" s="30"/>
      <c r="KFN43" s="30"/>
      <c r="KFO43" s="30"/>
      <c r="KFP43" s="30"/>
      <c r="KFQ43" s="30"/>
      <c r="KFR43" s="30"/>
      <c r="KFS43" s="30"/>
      <c r="KFT43" s="30"/>
      <c r="KFU43" s="30"/>
      <c r="KFV43" s="30"/>
      <c r="KFW43" s="30"/>
      <c r="KFX43" s="30"/>
      <c r="KFY43" s="30"/>
      <c r="KFZ43" s="30"/>
      <c r="KGA43" s="30"/>
      <c r="KGB43" s="30"/>
      <c r="KGC43" s="30"/>
      <c r="KGD43" s="30"/>
      <c r="KGE43" s="30"/>
      <c r="KGF43" s="30"/>
      <c r="KGG43" s="30"/>
      <c r="KGH43" s="30"/>
      <c r="KGI43" s="30"/>
      <c r="KGJ43" s="30"/>
      <c r="KGK43" s="30"/>
      <c r="KGL43" s="30"/>
      <c r="KGM43" s="30"/>
      <c r="KGN43" s="30"/>
      <c r="KGO43" s="30"/>
      <c r="KGP43" s="30"/>
      <c r="KGQ43" s="30"/>
      <c r="KGR43" s="30"/>
      <c r="KGS43" s="30"/>
      <c r="KGT43" s="30"/>
      <c r="KGU43" s="30"/>
      <c r="KGV43" s="30"/>
      <c r="KGW43" s="30"/>
      <c r="KGX43" s="30"/>
      <c r="KGY43" s="30"/>
      <c r="KGZ43" s="30"/>
      <c r="KHA43" s="30"/>
      <c r="KHB43" s="30"/>
      <c r="KHC43" s="30"/>
      <c r="KHD43" s="30"/>
      <c r="KHE43" s="30"/>
      <c r="KHF43" s="30"/>
      <c r="KHG43" s="30"/>
      <c r="KHH43" s="30"/>
      <c r="KHI43" s="30"/>
      <c r="KHJ43" s="30"/>
      <c r="KHK43" s="30"/>
      <c r="KHL43" s="30"/>
      <c r="KHM43" s="30"/>
      <c r="KHN43" s="30"/>
      <c r="KHO43" s="30"/>
      <c r="KHP43" s="30"/>
      <c r="KHQ43" s="30"/>
      <c r="KHR43" s="30"/>
      <c r="KHS43" s="30"/>
      <c r="KHT43" s="30"/>
      <c r="KHU43" s="30"/>
      <c r="KHV43" s="30"/>
      <c r="KHW43" s="30"/>
      <c r="KHX43" s="30"/>
      <c r="KHY43" s="30"/>
      <c r="KHZ43" s="30"/>
      <c r="KIA43" s="30"/>
      <c r="KIB43" s="30"/>
      <c r="KIC43" s="30"/>
      <c r="KID43" s="30"/>
      <c r="KIE43" s="30"/>
      <c r="KIF43" s="30"/>
      <c r="KIG43" s="30"/>
      <c r="KIH43" s="30"/>
      <c r="KII43" s="30"/>
      <c r="KIJ43" s="30"/>
      <c r="KIK43" s="30"/>
      <c r="KIL43" s="30"/>
      <c r="KIM43" s="30"/>
      <c r="KIN43" s="30"/>
      <c r="KIO43" s="30"/>
      <c r="KIP43" s="30"/>
      <c r="KIQ43" s="30"/>
      <c r="KIR43" s="30"/>
      <c r="KIS43" s="30"/>
      <c r="KIT43" s="30"/>
      <c r="KIU43" s="30"/>
      <c r="KIV43" s="30"/>
      <c r="KIW43" s="30"/>
      <c r="KIX43" s="30"/>
      <c r="KIY43" s="30"/>
      <c r="KIZ43" s="30"/>
      <c r="KJA43" s="30"/>
      <c r="KJB43" s="30"/>
      <c r="KJC43" s="30"/>
      <c r="KJD43" s="30"/>
      <c r="KJE43" s="30"/>
      <c r="KJF43" s="30"/>
      <c r="KJG43" s="30"/>
      <c r="KJH43" s="30"/>
      <c r="KJI43" s="30"/>
      <c r="KJJ43" s="30"/>
      <c r="KJK43" s="30"/>
      <c r="KJL43" s="30"/>
      <c r="KJM43" s="30"/>
      <c r="KJN43" s="30"/>
      <c r="KJO43" s="30"/>
      <c r="KJP43" s="30"/>
      <c r="KJQ43" s="30"/>
      <c r="KJR43" s="30"/>
      <c r="KJS43" s="30"/>
      <c r="KJT43" s="30"/>
      <c r="KJU43" s="30"/>
      <c r="KJV43" s="30"/>
      <c r="KJW43" s="30"/>
      <c r="KJX43" s="30"/>
      <c r="KJY43" s="30"/>
      <c r="KJZ43" s="30"/>
      <c r="KKA43" s="30"/>
      <c r="KKB43" s="30"/>
      <c r="KKC43" s="30"/>
      <c r="KKD43" s="30"/>
      <c r="KKE43" s="30"/>
      <c r="KKF43" s="30"/>
      <c r="KKG43" s="30"/>
      <c r="KKH43" s="30"/>
      <c r="KKI43" s="30"/>
      <c r="KKJ43" s="30"/>
      <c r="KKK43" s="30"/>
      <c r="KKL43" s="30"/>
      <c r="KKM43" s="30"/>
      <c r="KKN43" s="30"/>
      <c r="KKO43" s="30"/>
      <c r="KKP43" s="30"/>
      <c r="KKQ43" s="30"/>
      <c r="KKR43" s="30"/>
      <c r="KKS43" s="30"/>
      <c r="KKT43" s="30"/>
      <c r="KKU43" s="30"/>
      <c r="KKV43" s="30"/>
      <c r="KKW43" s="30"/>
      <c r="KKX43" s="30"/>
      <c r="KKY43" s="30"/>
      <c r="KKZ43" s="30"/>
      <c r="KLA43" s="30"/>
      <c r="KLB43" s="30"/>
      <c r="KLC43" s="30"/>
      <c r="KLD43" s="30"/>
      <c r="KLE43" s="30"/>
      <c r="KLF43" s="30"/>
      <c r="KLG43" s="30"/>
      <c r="KLH43" s="30"/>
      <c r="KLI43" s="30"/>
      <c r="KLJ43" s="30"/>
      <c r="KLK43" s="30"/>
      <c r="KLL43" s="30"/>
      <c r="KLM43" s="30"/>
      <c r="KLN43" s="30"/>
      <c r="KLO43" s="30"/>
      <c r="KLP43" s="30"/>
      <c r="KLQ43" s="30"/>
      <c r="KLR43" s="30"/>
      <c r="KLS43" s="30"/>
      <c r="KLT43" s="30"/>
      <c r="KLU43" s="30"/>
      <c r="KLV43" s="30"/>
      <c r="KLW43" s="30"/>
      <c r="KLX43" s="30"/>
      <c r="KLY43" s="30"/>
      <c r="KLZ43" s="30"/>
      <c r="KMA43" s="30"/>
      <c r="KMB43" s="30"/>
      <c r="KMC43" s="30"/>
      <c r="KMD43" s="30"/>
      <c r="KME43" s="30"/>
      <c r="KMF43" s="30"/>
      <c r="KMG43" s="30"/>
      <c r="KMH43" s="30"/>
      <c r="KMI43" s="30"/>
      <c r="KMJ43" s="30"/>
      <c r="KMK43" s="30"/>
      <c r="KML43" s="30"/>
      <c r="KMM43" s="30"/>
      <c r="KMN43" s="30"/>
      <c r="KMO43" s="30"/>
      <c r="KMP43" s="30"/>
      <c r="KMQ43" s="30"/>
      <c r="KMR43" s="30"/>
      <c r="KMS43" s="30"/>
      <c r="KMT43" s="30"/>
      <c r="KMU43" s="30"/>
      <c r="KMV43" s="30"/>
      <c r="KMW43" s="30"/>
      <c r="KMX43" s="30"/>
      <c r="KMY43" s="30"/>
      <c r="KMZ43" s="30"/>
      <c r="KNA43" s="30"/>
      <c r="KNB43" s="30"/>
      <c r="KNC43" s="30"/>
      <c r="KND43" s="30"/>
      <c r="KNE43" s="30"/>
      <c r="KNF43" s="30"/>
      <c r="KNG43" s="30"/>
      <c r="KNH43" s="30"/>
      <c r="KNI43" s="30"/>
      <c r="KNJ43" s="30"/>
      <c r="KNK43" s="30"/>
      <c r="KNL43" s="30"/>
      <c r="KNM43" s="30"/>
      <c r="KNN43" s="30"/>
      <c r="KNO43" s="30"/>
      <c r="KNP43" s="30"/>
      <c r="KNQ43" s="30"/>
      <c r="KNR43" s="30"/>
      <c r="KNS43" s="30"/>
      <c r="KNT43" s="30"/>
      <c r="KNU43" s="30"/>
      <c r="KNV43" s="30"/>
      <c r="KNW43" s="30"/>
      <c r="KNX43" s="30"/>
      <c r="KNY43" s="30"/>
      <c r="KNZ43" s="30"/>
      <c r="KOA43" s="30"/>
      <c r="KOB43" s="30"/>
      <c r="KOC43" s="30"/>
      <c r="KOD43" s="30"/>
      <c r="KOE43" s="30"/>
      <c r="KOF43" s="30"/>
      <c r="KOG43" s="30"/>
      <c r="KOH43" s="30"/>
      <c r="KOI43" s="30"/>
      <c r="KOJ43" s="30"/>
      <c r="KOK43" s="30"/>
      <c r="KOL43" s="30"/>
      <c r="KOM43" s="30"/>
      <c r="KON43" s="30"/>
      <c r="KOO43" s="30"/>
      <c r="KOP43" s="30"/>
      <c r="KOQ43" s="30"/>
      <c r="KOR43" s="30"/>
      <c r="KOS43" s="30"/>
      <c r="KOT43" s="30"/>
      <c r="KOU43" s="30"/>
      <c r="KOV43" s="30"/>
      <c r="KOW43" s="30"/>
      <c r="KOX43" s="30"/>
      <c r="KOY43" s="30"/>
      <c r="KOZ43" s="30"/>
      <c r="KPA43" s="30"/>
      <c r="KPB43" s="30"/>
      <c r="KPC43" s="30"/>
      <c r="KPD43" s="30"/>
      <c r="KPE43" s="30"/>
      <c r="KPF43" s="30"/>
      <c r="KPG43" s="30"/>
      <c r="KPH43" s="30"/>
      <c r="KPI43" s="30"/>
      <c r="KPJ43" s="30"/>
      <c r="KPK43" s="30"/>
      <c r="KPL43" s="30"/>
      <c r="KPM43" s="30"/>
      <c r="KPN43" s="30"/>
      <c r="KPO43" s="30"/>
      <c r="KPP43" s="30"/>
      <c r="KPQ43" s="30"/>
      <c r="KPR43" s="30"/>
      <c r="KPS43" s="30"/>
      <c r="KPT43" s="30"/>
      <c r="KPU43" s="30"/>
      <c r="KPV43" s="30"/>
      <c r="KPW43" s="30"/>
      <c r="KPX43" s="30"/>
      <c r="KPY43" s="30"/>
      <c r="KPZ43" s="30"/>
      <c r="KQA43" s="30"/>
      <c r="KQB43" s="30"/>
      <c r="KQC43" s="30"/>
      <c r="KQD43" s="30"/>
      <c r="KQE43" s="30"/>
      <c r="KQF43" s="30"/>
      <c r="KQG43" s="30"/>
      <c r="KQH43" s="30"/>
      <c r="KQI43" s="30"/>
      <c r="KQJ43" s="30"/>
      <c r="KQK43" s="30"/>
      <c r="KQL43" s="30"/>
      <c r="KQM43" s="30"/>
      <c r="KQN43" s="30"/>
      <c r="KQO43" s="30"/>
      <c r="KQP43" s="30"/>
      <c r="KQQ43" s="30"/>
      <c r="KQR43" s="30"/>
      <c r="KQS43" s="30"/>
      <c r="KQT43" s="30"/>
      <c r="KQU43" s="30"/>
      <c r="KQV43" s="30"/>
      <c r="KQW43" s="30"/>
      <c r="KQX43" s="30"/>
      <c r="KQY43" s="30"/>
      <c r="KQZ43" s="30"/>
      <c r="KRA43" s="30"/>
      <c r="KRB43" s="30"/>
      <c r="KRC43" s="30"/>
      <c r="KRD43" s="30"/>
      <c r="KRE43" s="30"/>
      <c r="KRF43" s="30"/>
      <c r="KRG43" s="30"/>
      <c r="KRH43" s="30"/>
      <c r="KRI43" s="30"/>
      <c r="KRJ43" s="30"/>
      <c r="KRK43" s="30"/>
      <c r="KRL43" s="30"/>
      <c r="KRM43" s="30"/>
      <c r="KRN43" s="30"/>
      <c r="KRO43" s="30"/>
      <c r="KRP43" s="30"/>
      <c r="KRQ43" s="30"/>
      <c r="KRR43" s="30"/>
      <c r="KRS43" s="30"/>
      <c r="KRT43" s="30"/>
      <c r="KRU43" s="30"/>
      <c r="KRV43" s="30"/>
      <c r="KRW43" s="30"/>
      <c r="KRX43" s="30"/>
      <c r="KRY43" s="30"/>
      <c r="KRZ43" s="30"/>
      <c r="KSA43" s="30"/>
      <c r="KSB43" s="30"/>
      <c r="KSC43" s="30"/>
      <c r="KSD43" s="30"/>
      <c r="KSE43" s="30"/>
      <c r="KSF43" s="30"/>
      <c r="KSG43" s="30"/>
      <c r="KSH43" s="30"/>
      <c r="KSI43" s="30"/>
      <c r="KSJ43" s="30"/>
      <c r="KSK43" s="30"/>
      <c r="KSL43" s="30"/>
      <c r="KSM43" s="30"/>
      <c r="KSN43" s="30"/>
      <c r="KSO43" s="30"/>
      <c r="KSP43" s="30"/>
      <c r="KSQ43" s="30"/>
      <c r="KSR43" s="30"/>
      <c r="KSS43" s="30"/>
      <c r="KST43" s="30"/>
      <c r="KSU43" s="30"/>
      <c r="KSV43" s="30"/>
      <c r="KSW43" s="30"/>
      <c r="KSX43" s="30"/>
      <c r="KSY43" s="30"/>
      <c r="KSZ43" s="30"/>
      <c r="KTA43" s="30"/>
      <c r="KTB43" s="30"/>
      <c r="KTC43" s="30"/>
      <c r="KTD43" s="30"/>
      <c r="KTE43" s="30"/>
      <c r="KTF43" s="30"/>
      <c r="KTG43" s="30"/>
      <c r="KTH43" s="30"/>
      <c r="KTI43" s="30"/>
      <c r="KTJ43" s="30"/>
      <c r="KTK43" s="30"/>
      <c r="KTL43" s="30"/>
      <c r="KTM43" s="30"/>
      <c r="KTN43" s="30"/>
      <c r="KTO43" s="30"/>
      <c r="KTP43" s="30"/>
      <c r="KTQ43" s="30"/>
      <c r="KTR43" s="30"/>
      <c r="KTS43" s="30"/>
      <c r="KTT43" s="30"/>
      <c r="KTU43" s="30"/>
      <c r="KTV43" s="30"/>
      <c r="KTW43" s="30"/>
      <c r="KTX43" s="30"/>
      <c r="KTY43" s="30"/>
      <c r="KTZ43" s="30"/>
      <c r="KUA43" s="30"/>
      <c r="KUB43" s="30"/>
      <c r="KUC43" s="30"/>
      <c r="KUD43" s="30"/>
      <c r="KUE43" s="30"/>
      <c r="KUF43" s="30"/>
      <c r="KUG43" s="30"/>
      <c r="KUH43" s="30"/>
      <c r="KUI43" s="30"/>
      <c r="KUJ43" s="30"/>
      <c r="KUK43" s="30"/>
      <c r="KUL43" s="30"/>
      <c r="KUM43" s="30"/>
      <c r="KUN43" s="30"/>
      <c r="KUO43" s="30"/>
      <c r="KUP43" s="30"/>
      <c r="KUQ43" s="30"/>
      <c r="KUR43" s="30"/>
      <c r="KUS43" s="30"/>
      <c r="KUT43" s="30"/>
      <c r="KUU43" s="30"/>
      <c r="KUV43" s="30"/>
      <c r="KUW43" s="30"/>
      <c r="KUX43" s="30"/>
      <c r="KUY43" s="30"/>
      <c r="KUZ43" s="30"/>
      <c r="KVA43" s="30"/>
      <c r="KVB43" s="30"/>
      <c r="KVC43" s="30"/>
      <c r="KVD43" s="30"/>
      <c r="KVE43" s="30"/>
      <c r="KVF43" s="30"/>
      <c r="KVG43" s="30"/>
      <c r="KVH43" s="30"/>
      <c r="KVI43" s="30"/>
      <c r="KVJ43" s="30"/>
      <c r="KVK43" s="30"/>
      <c r="KVL43" s="30"/>
      <c r="KVM43" s="30"/>
      <c r="KVN43" s="30"/>
      <c r="KVO43" s="30"/>
      <c r="KVP43" s="30"/>
      <c r="KVQ43" s="30"/>
      <c r="KVR43" s="30"/>
      <c r="KVS43" s="30"/>
      <c r="KVT43" s="30"/>
      <c r="KVU43" s="30"/>
      <c r="KVV43" s="30"/>
      <c r="KVW43" s="30"/>
      <c r="KVX43" s="30"/>
      <c r="KVY43" s="30"/>
      <c r="KVZ43" s="30"/>
      <c r="KWA43" s="30"/>
      <c r="KWB43" s="30"/>
      <c r="KWC43" s="30"/>
      <c r="KWD43" s="30"/>
      <c r="KWE43" s="30"/>
      <c r="KWF43" s="30"/>
      <c r="KWG43" s="30"/>
      <c r="KWH43" s="30"/>
      <c r="KWI43" s="30"/>
      <c r="KWJ43" s="30"/>
      <c r="KWK43" s="30"/>
      <c r="KWL43" s="30"/>
      <c r="KWM43" s="30"/>
      <c r="KWN43" s="30"/>
      <c r="KWO43" s="30"/>
      <c r="KWP43" s="30"/>
      <c r="KWQ43" s="30"/>
      <c r="KWR43" s="30"/>
      <c r="KWS43" s="30"/>
      <c r="KWT43" s="30"/>
      <c r="KWU43" s="30"/>
      <c r="KWV43" s="30"/>
      <c r="KWW43" s="30"/>
      <c r="KWX43" s="30"/>
      <c r="KWY43" s="30"/>
      <c r="KWZ43" s="30"/>
      <c r="KXA43" s="30"/>
      <c r="KXB43" s="30"/>
      <c r="KXC43" s="30"/>
      <c r="KXD43" s="30"/>
      <c r="KXE43" s="30"/>
      <c r="KXF43" s="30"/>
      <c r="KXG43" s="30"/>
      <c r="KXH43" s="30"/>
      <c r="KXI43" s="30"/>
      <c r="KXJ43" s="30"/>
      <c r="KXK43" s="30"/>
      <c r="KXL43" s="30"/>
      <c r="KXM43" s="30"/>
      <c r="KXN43" s="30"/>
      <c r="KXO43" s="30"/>
      <c r="KXP43" s="30"/>
      <c r="KXQ43" s="30"/>
      <c r="KXR43" s="30"/>
      <c r="KXS43" s="30"/>
      <c r="KXT43" s="30"/>
      <c r="KXU43" s="30"/>
      <c r="KXV43" s="30"/>
      <c r="KXW43" s="30"/>
      <c r="KXX43" s="30"/>
      <c r="KXY43" s="30"/>
      <c r="KXZ43" s="30"/>
      <c r="KYA43" s="30"/>
      <c r="KYB43" s="30"/>
      <c r="KYC43" s="30"/>
      <c r="KYD43" s="30"/>
      <c r="KYE43" s="30"/>
      <c r="KYF43" s="30"/>
      <c r="KYG43" s="30"/>
      <c r="KYH43" s="30"/>
      <c r="KYI43" s="30"/>
      <c r="KYJ43" s="30"/>
      <c r="KYK43" s="30"/>
      <c r="KYL43" s="30"/>
      <c r="KYM43" s="30"/>
      <c r="KYN43" s="30"/>
      <c r="KYO43" s="30"/>
      <c r="KYP43" s="30"/>
      <c r="KYQ43" s="30"/>
      <c r="KYR43" s="30"/>
      <c r="KYS43" s="30"/>
      <c r="KYT43" s="30"/>
      <c r="KYU43" s="30"/>
      <c r="KYV43" s="30"/>
      <c r="KYW43" s="30"/>
      <c r="KYX43" s="30"/>
      <c r="KYY43" s="30"/>
      <c r="KYZ43" s="30"/>
      <c r="KZA43" s="30"/>
      <c r="KZB43" s="30"/>
      <c r="KZC43" s="30"/>
      <c r="KZD43" s="30"/>
      <c r="KZE43" s="30"/>
      <c r="KZF43" s="30"/>
      <c r="KZG43" s="30"/>
      <c r="KZH43" s="30"/>
      <c r="KZI43" s="30"/>
      <c r="KZJ43" s="30"/>
      <c r="KZK43" s="30"/>
      <c r="KZL43" s="30"/>
      <c r="KZM43" s="30"/>
      <c r="KZN43" s="30"/>
      <c r="KZO43" s="30"/>
      <c r="KZP43" s="30"/>
      <c r="KZQ43" s="30"/>
      <c r="KZR43" s="30"/>
      <c r="KZS43" s="30"/>
      <c r="KZT43" s="30"/>
      <c r="KZU43" s="30"/>
      <c r="KZV43" s="30"/>
      <c r="KZW43" s="30"/>
      <c r="KZX43" s="30"/>
      <c r="KZY43" s="30"/>
      <c r="KZZ43" s="30"/>
      <c r="LAA43" s="30"/>
      <c r="LAB43" s="30"/>
      <c r="LAC43" s="30"/>
      <c r="LAD43" s="30"/>
      <c r="LAE43" s="30"/>
      <c r="LAF43" s="30"/>
      <c r="LAG43" s="30"/>
      <c r="LAH43" s="30"/>
      <c r="LAI43" s="30"/>
      <c r="LAJ43" s="30"/>
      <c r="LAK43" s="30"/>
      <c r="LAL43" s="30"/>
      <c r="LAM43" s="30"/>
      <c r="LAN43" s="30"/>
      <c r="LAO43" s="30"/>
      <c r="LAP43" s="30"/>
      <c r="LAQ43" s="30"/>
      <c r="LAR43" s="30"/>
      <c r="LAS43" s="30"/>
      <c r="LAT43" s="30"/>
      <c r="LAU43" s="30"/>
      <c r="LAV43" s="30"/>
      <c r="LAW43" s="30"/>
      <c r="LAX43" s="30"/>
      <c r="LAY43" s="30"/>
      <c r="LAZ43" s="30"/>
      <c r="LBA43" s="30"/>
      <c r="LBB43" s="30"/>
      <c r="LBC43" s="30"/>
      <c r="LBD43" s="30"/>
      <c r="LBE43" s="30"/>
      <c r="LBF43" s="30"/>
      <c r="LBG43" s="30"/>
      <c r="LBH43" s="30"/>
      <c r="LBI43" s="30"/>
      <c r="LBJ43" s="30"/>
      <c r="LBK43" s="30"/>
      <c r="LBL43" s="30"/>
      <c r="LBM43" s="30"/>
      <c r="LBN43" s="30"/>
      <c r="LBO43" s="30"/>
      <c r="LBP43" s="30"/>
      <c r="LBQ43" s="30"/>
      <c r="LBR43" s="30"/>
      <c r="LBS43" s="30"/>
      <c r="LBT43" s="30"/>
      <c r="LBU43" s="30"/>
      <c r="LBV43" s="30"/>
      <c r="LBW43" s="30"/>
      <c r="LBX43" s="30"/>
      <c r="LBY43" s="30"/>
      <c r="LBZ43" s="30"/>
      <c r="LCA43" s="30"/>
      <c r="LCB43" s="30"/>
      <c r="LCC43" s="30"/>
      <c r="LCD43" s="30"/>
      <c r="LCE43" s="30"/>
      <c r="LCF43" s="30"/>
      <c r="LCG43" s="30"/>
      <c r="LCH43" s="30"/>
      <c r="LCI43" s="30"/>
      <c r="LCJ43" s="30"/>
      <c r="LCK43" s="30"/>
      <c r="LCL43" s="30"/>
      <c r="LCM43" s="30"/>
      <c r="LCN43" s="30"/>
      <c r="LCO43" s="30"/>
      <c r="LCP43" s="30"/>
      <c r="LCQ43" s="30"/>
      <c r="LCR43" s="30"/>
      <c r="LCS43" s="30"/>
      <c r="LCT43" s="30"/>
      <c r="LCU43" s="30"/>
      <c r="LCV43" s="30"/>
      <c r="LCW43" s="30"/>
      <c r="LCX43" s="30"/>
      <c r="LCY43" s="30"/>
      <c r="LCZ43" s="30"/>
      <c r="LDA43" s="30"/>
      <c r="LDB43" s="30"/>
      <c r="LDC43" s="30"/>
      <c r="LDD43" s="30"/>
      <c r="LDE43" s="30"/>
      <c r="LDF43" s="30"/>
      <c r="LDG43" s="30"/>
      <c r="LDH43" s="30"/>
      <c r="LDI43" s="30"/>
      <c r="LDJ43" s="30"/>
      <c r="LDK43" s="30"/>
      <c r="LDL43" s="30"/>
      <c r="LDM43" s="30"/>
      <c r="LDN43" s="30"/>
      <c r="LDO43" s="30"/>
      <c r="LDP43" s="30"/>
      <c r="LDQ43" s="30"/>
      <c r="LDR43" s="30"/>
      <c r="LDS43" s="30"/>
      <c r="LDT43" s="30"/>
      <c r="LDU43" s="30"/>
      <c r="LDV43" s="30"/>
      <c r="LDW43" s="30"/>
      <c r="LDX43" s="30"/>
      <c r="LDY43" s="30"/>
      <c r="LDZ43" s="30"/>
      <c r="LEA43" s="30"/>
      <c r="LEB43" s="30"/>
      <c r="LEC43" s="30"/>
      <c r="LED43" s="30"/>
      <c r="LEE43" s="30"/>
      <c r="LEF43" s="30"/>
      <c r="LEG43" s="30"/>
      <c r="LEH43" s="30"/>
      <c r="LEI43" s="30"/>
      <c r="LEJ43" s="30"/>
      <c r="LEK43" s="30"/>
      <c r="LEL43" s="30"/>
      <c r="LEM43" s="30"/>
      <c r="LEN43" s="30"/>
      <c r="LEO43" s="30"/>
      <c r="LEP43" s="30"/>
      <c r="LEQ43" s="30"/>
      <c r="LER43" s="30"/>
      <c r="LES43" s="30"/>
      <c r="LET43" s="30"/>
      <c r="LEU43" s="30"/>
      <c r="LEV43" s="30"/>
      <c r="LEW43" s="30"/>
      <c r="LEX43" s="30"/>
      <c r="LEY43" s="30"/>
      <c r="LEZ43" s="30"/>
      <c r="LFA43" s="30"/>
      <c r="LFB43" s="30"/>
      <c r="LFC43" s="30"/>
      <c r="LFD43" s="30"/>
      <c r="LFE43" s="30"/>
      <c r="LFF43" s="30"/>
      <c r="LFG43" s="30"/>
      <c r="LFH43" s="30"/>
      <c r="LFI43" s="30"/>
      <c r="LFJ43" s="30"/>
      <c r="LFK43" s="30"/>
      <c r="LFL43" s="30"/>
      <c r="LFM43" s="30"/>
      <c r="LFN43" s="30"/>
      <c r="LFO43" s="30"/>
      <c r="LFP43" s="30"/>
      <c r="LFQ43" s="30"/>
      <c r="LFR43" s="30"/>
      <c r="LFS43" s="30"/>
      <c r="LFT43" s="30"/>
      <c r="LFU43" s="30"/>
      <c r="LFV43" s="30"/>
      <c r="LFW43" s="30"/>
      <c r="LFX43" s="30"/>
      <c r="LFY43" s="30"/>
      <c r="LFZ43" s="30"/>
      <c r="LGA43" s="30"/>
      <c r="LGB43" s="30"/>
      <c r="LGC43" s="30"/>
      <c r="LGD43" s="30"/>
      <c r="LGE43" s="30"/>
      <c r="LGF43" s="30"/>
      <c r="LGG43" s="30"/>
      <c r="LGH43" s="30"/>
      <c r="LGI43" s="30"/>
      <c r="LGJ43" s="30"/>
      <c r="LGK43" s="30"/>
      <c r="LGL43" s="30"/>
      <c r="LGM43" s="30"/>
      <c r="LGN43" s="30"/>
      <c r="LGO43" s="30"/>
      <c r="LGP43" s="30"/>
      <c r="LGQ43" s="30"/>
      <c r="LGR43" s="30"/>
      <c r="LGS43" s="30"/>
      <c r="LGT43" s="30"/>
      <c r="LGU43" s="30"/>
      <c r="LGV43" s="30"/>
      <c r="LGW43" s="30"/>
      <c r="LGX43" s="30"/>
      <c r="LGY43" s="30"/>
      <c r="LGZ43" s="30"/>
      <c r="LHA43" s="30"/>
      <c r="LHB43" s="30"/>
      <c r="LHC43" s="30"/>
      <c r="LHD43" s="30"/>
      <c r="LHE43" s="30"/>
      <c r="LHF43" s="30"/>
      <c r="LHG43" s="30"/>
      <c r="LHH43" s="30"/>
      <c r="LHI43" s="30"/>
      <c r="LHJ43" s="30"/>
      <c r="LHK43" s="30"/>
      <c r="LHL43" s="30"/>
      <c r="LHM43" s="30"/>
      <c r="LHN43" s="30"/>
      <c r="LHO43" s="30"/>
      <c r="LHP43" s="30"/>
      <c r="LHQ43" s="30"/>
      <c r="LHR43" s="30"/>
      <c r="LHS43" s="30"/>
      <c r="LHT43" s="30"/>
      <c r="LHU43" s="30"/>
      <c r="LHV43" s="30"/>
      <c r="LHW43" s="30"/>
      <c r="LHX43" s="30"/>
      <c r="LHY43" s="30"/>
      <c r="LHZ43" s="30"/>
      <c r="LIA43" s="30"/>
      <c r="LIB43" s="30"/>
      <c r="LIC43" s="30"/>
      <c r="LID43" s="30"/>
      <c r="LIE43" s="30"/>
      <c r="LIF43" s="30"/>
      <c r="LIG43" s="30"/>
      <c r="LIH43" s="30"/>
      <c r="LII43" s="30"/>
      <c r="LIJ43" s="30"/>
      <c r="LIK43" s="30"/>
      <c r="LIL43" s="30"/>
      <c r="LIM43" s="30"/>
      <c r="LIN43" s="30"/>
      <c r="LIO43" s="30"/>
      <c r="LIP43" s="30"/>
      <c r="LIQ43" s="30"/>
      <c r="LIR43" s="30"/>
      <c r="LIS43" s="30"/>
      <c r="LIT43" s="30"/>
      <c r="LIU43" s="30"/>
      <c r="LIV43" s="30"/>
      <c r="LIW43" s="30"/>
      <c r="LIX43" s="30"/>
      <c r="LIY43" s="30"/>
      <c r="LIZ43" s="30"/>
      <c r="LJA43" s="30"/>
      <c r="LJB43" s="30"/>
      <c r="LJC43" s="30"/>
      <c r="LJD43" s="30"/>
      <c r="LJE43" s="30"/>
      <c r="LJF43" s="30"/>
      <c r="LJG43" s="30"/>
      <c r="LJH43" s="30"/>
      <c r="LJI43" s="30"/>
      <c r="LJJ43" s="30"/>
      <c r="LJK43" s="30"/>
      <c r="LJL43" s="30"/>
      <c r="LJM43" s="30"/>
      <c r="LJN43" s="30"/>
      <c r="LJO43" s="30"/>
      <c r="LJP43" s="30"/>
      <c r="LJQ43" s="30"/>
      <c r="LJR43" s="30"/>
      <c r="LJS43" s="30"/>
      <c r="LJT43" s="30"/>
      <c r="LJU43" s="30"/>
      <c r="LJV43" s="30"/>
      <c r="LJW43" s="30"/>
      <c r="LJX43" s="30"/>
      <c r="LJY43" s="30"/>
      <c r="LJZ43" s="30"/>
      <c r="LKA43" s="30"/>
      <c r="LKB43" s="30"/>
      <c r="LKC43" s="30"/>
      <c r="LKD43" s="30"/>
      <c r="LKE43" s="30"/>
      <c r="LKF43" s="30"/>
      <c r="LKG43" s="30"/>
      <c r="LKH43" s="30"/>
      <c r="LKI43" s="30"/>
      <c r="LKJ43" s="30"/>
      <c r="LKK43" s="30"/>
      <c r="LKL43" s="30"/>
      <c r="LKM43" s="30"/>
      <c r="LKN43" s="30"/>
      <c r="LKO43" s="30"/>
      <c r="LKP43" s="30"/>
      <c r="LKQ43" s="30"/>
      <c r="LKR43" s="30"/>
      <c r="LKS43" s="30"/>
      <c r="LKT43" s="30"/>
      <c r="LKU43" s="30"/>
      <c r="LKV43" s="30"/>
      <c r="LKW43" s="30"/>
      <c r="LKX43" s="30"/>
      <c r="LKY43" s="30"/>
      <c r="LKZ43" s="30"/>
      <c r="LLA43" s="30"/>
      <c r="LLB43" s="30"/>
      <c r="LLC43" s="30"/>
      <c r="LLD43" s="30"/>
      <c r="LLE43" s="30"/>
      <c r="LLF43" s="30"/>
      <c r="LLG43" s="30"/>
      <c r="LLH43" s="30"/>
      <c r="LLI43" s="30"/>
      <c r="LLJ43" s="30"/>
      <c r="LLK43" s="30"/>
      <c r="LLL43" s="30"/>
      <c r="LLM43" s="30"/>
      <c r="LLN43" s="30"/>
      <c r="LLO43" s="30"/>
      <c r="LLP43" s="30"/>
      <c r="LLQ43" s="30"/>
      <c r="LLR43" s="30"/>
      <c r="LLS43" s="30"/>
      <c r="LLT43" s="30"/>
      <c r="LLU43" s="30"/>
      <c r="LLV43" s="30"/>
      <c r="LLW43" s="30"/>
      <c r="LLX43" s="30"/>
      <c r="LLY43" s="30"/>
      <c r="LLZ43" s="30"/>
      <c r="LMA43" s="30"/>
      <c r="LMB43" s="30"/>
      <c r="LMC43" s="30"/>
      <c r="LMD43" s="30"/>
      <c r="LME43" s="30"/>
      <c r="LMF43" s="30"/>
      <c r="LMG43" s="30"/>
      <c r="LMH43" s="30"/>
      <c r="LMI43" s="30"/>
      <c r="LMJ43" s="30"/>
      <c r="LMK43" s="30"/>
      <c r="LML43" s="30"/>
      <c r="LMM43" s="30"/>
      <c r="LMN43" s="30"/>
      <c r="LMO43" s="30"/>
      <c r="LMP43" s="30"/>
      <c r="LMQ43" s="30"/>
      <c r="LMR43" s="30"/>
      <c r="LMS43" s="30"/>
      <c r="LMT43" s="30"/>
      <c r="LMU43" s="30"/>
      <c r="LMV43" s="30"/>
      <c r="LMW43" s="30"/>
      <c r="LMX43" s="30"/>
      <c r="LMY43" s="30"/>
      <c r="LMZ43" s="30"/>
      <c r="LNA43" s="30"/>
      <c r="LNB43" s="30"/>
      <c r="LNC43" s="30"/>
      <c r="LND43" s="30"/>
      <c r="LNE43" s="30"/>
      <c r="LNF43" s="30"/>
      <c r="LNG43" s="30"/>
      <c r="LNH43" s="30"/>
      <c r="LNI43" s="30"/>
      <c r="LNJ43" s="30"/>
      <c r="LNK43" s="30"/>
      <c r="LNL43" s="30"/>
      <c r="LNM43" s="30"/>
      <c r="LNN43" s="30"/>
      <c r="LNO43" s="30"/>
      <c r="LNP43" s="30"/>
      <c r="LNQ43" s="30"/>
      <c r="LNR43" s="30"/>
      <c r="LNS43" s="30"/>
      <c r="LNT43" s="30"/>
      <c r="LNU43" s="30"/>
      <c r="LNV43" s="30"/>
      <c r="LNW43" s="30"/>
      <c r="LNX43" s="30"/>
      <c r="LNY43" s="30"/>
      <c r="LNZ43" s="30"/>
      <c r="LOA43" s="30"/>
      <c r="LOB43" s="30"/>
      <c r="LOC43" s="30"/>
      <c r="LOD43" s="30"/>
      <c r="LOE43" s="30"/>
      <c r="LOF43" s="30"/>
      <c r="LOG43" s="30"/>
      <c r="LOH43" s="30"/>
      <c r="LOI43" s="30"/>
      <c r="LOJ43" s="30"/>
      <c r="LOK43" s="30"/>
      <c r="LOL43" s="30"/>
      <c r="LOM43" s="30"/>
      <c r="LON43" s="30"/>
      <c r="LOO43" s="30"/>
      <c r="LOP43" s="30"/>
      <c r="LOQ43" s="30"/>
      <c r="LOR43" s="30"/>
      <c r="LOS43" s="30"/>
      <c r="LOT43" s="30"/>
      <c r="LOU43" s="30"/>
      <c r="LOV43" s="30"/>
      <c r="LOW43" s="30"/>
      <c r="LOX43" s="30"/>
      <c r="LOY43" s="30"/>
      <c r="LOZ43" s="30"/>
      <c r="LPA43" s="30"/>
      <c r="LPB43" s="30"/>
      <c r="LPC43" s="30"/>
      <c r="LPD43" s="30"/>
      <c r="LPE43" s="30"/>
      <c r="LPF43" s="30"/>
      <c r="LPG43" s="30"/>
      <c r="LPH43" s="30"/>
      <c r="LPI43" s="30"/>
      <c r="LPJ43" s="30"/>
      <c r="LPK43" s="30"/>
      <c r="LPL43" s="30"/>
      <c r="LPM43" s="30"/>
      <c r="LPN43" s="30"/>
      <c r="LPO43" s="30"/>
      <c r="LPP43" s="30"/>
      <c r="LPQ43" s="30"/>
      <c r="LPR43" s="30"/>
      <c r="LPS43" s="30"/>
      <c r="LPT43" s="30"/>
      <c r="LPU43" s="30"/>
      <c r="LPV43" s="30"/>
      <c r="LPW43" s="30"/>
      <c r="LPX43" s="30"/>
      <c r="LPY43" s="30"/>
      <c r="LPZ43" s="30"/>
      <c r="LQA43" s="30"/>
      <c r="LQB43" s="30"/>
      <c r="LQC43" s="30"/>
      <c r="LQD43" s="30"/>
      <c r="LQE43" s="30"/>
      <c r="LQF43" s="30"/>
      <c r="LQG43" s="30"/>
      <c r="LQH43" s="30"/>
      <c r="LQI43" s="30"/>
      <c r="LQJ43" s="30"/>
      <c r="LQK43" s="30"/>
      <c r="LQL43" s="30"/>
      <c r="LQM43" s="30"/>
      <c r="LQN43" s="30"/>
      <c r="LQO43" s="30"/>
      <c r="LQP43" s="30"/>
      <c r="LQQ43" s="30"/>
      <c r="LQR43" s="30"/>
      <c r="LQS43" s="30"/>
      <c r="LQT43" s="30"/>
      <c r="LQU43" s="30"/>
      <c r="LQV43" s="30"/>
      <c r="LQW43" s="30"/>
      <c r="LQX43" s="30"/>
      <c r="LQY43" s="30"/>
      <c r="LQZ43" s="30"/>
      <c r="LRA43" s="30"/>
      <c r="LRB43" s="30"/>
      <c r="LRC43" s="30"/>
      <c r="LRD43" s="30"/>
      <c r="LRE43" s="30"/>
      <c r="LRF43" s="30"/>
      <c r="LRG43" s="30"/>
      <c r="LRH43" s="30"/>
      <c r="LRI43" s="30"/>
      <c r="LRJ43" s="30"/>
      <c r="LRK43" s="30"/>
      <c r="LRL43" s="30"/>
      <c r="LRM43" s="30"/>
      <c r="LRN43" s="30"/>
      <c r="LRO43" s="30"/>
      <c r="LRP43" s="30"/>
      <c r="LRQ43" s="30"/>
      <c r="LRR43" s="30"/>
      <c r="LRS43" s="30"/>
      <c r="LRT43" s="30"/>
      <c r="LRU43" s="30"/>
      <c r="LRV43" s="30"/>
      <c r="LRW43" s="30"/>
      <c r="LRX43" s="30"/>
      <c r="LRY43" s="30"/>
      <c r="LRZ43" s="30"/>
      <c r="LSA43" s="30"/>
      <c r="LSB43" s="30"/>
      <c r="LSC43" s="30"/>
      <c r="LSD43" s="30"/>
      <c r="LSE43" s="30"/>
      <c r="LSF43" s="30"/>
      <c r="LSG43" s="30"/>
      <c r="LSH43" s="30"/>
      <c r="LSI43" s="30"/>
      <c r="LSJ43" s="30"/>
      <c r="LSK43" s="30"/>
      <c r="LSL43" s="30"/>
      <c r="LSM43" s="30"/>
      <c r="LSN43" s="30"/>
      <c r="LSO43" s="30"/>
      <c r="LSP43" s="30"/>
      <c r="LSQ43" s="30"/>
      <c r="LSR43" s="30"/>
      <c r="LSS43" s="30"/>
      <c r="LST43" s="30"/>
      <c r="LSU43" s="30"/>
      <c r="LSV43" s="30"/>
      <c r="LSW43" s="30"/>
      <c r="LSX43" s="30"/>
      <c r="LSY43" s="30"/>
      <c r="LSZ43" s="30"/>
      <c r="LTA43" s="30"/>
      <c r="LTB43" s="30"/>
      <c r="LTC43" s="30"/>
      <c r="LTD43" s="30"/>
      <c r="LTE43" s="30"/>
      <c r="LTF43" s="30"/>
      <c r="LTG43" s="30"/>
      <c r="LTH43" s="30"/>
      <c r="LTI43" s="30"/>
      <c r="LTJ43" s="30"/>
      <c r="LTK43" s="30"/>
      <c r="LTL43" s="30"/>
      <c r="LTM43" s="30"/>
      <c r="LTN43" s="30"/>
      <c r="LTO43" s="30"/>
      <c r="LTP43" s="30"/>
      <c r="LTQ43" s="30"/>
      <c r="LTR43" s="30"/>
      <c r="LTS43" s="30"/>
      <c r="LTT43" s="30"/>
      <c r="LTU43" s="30"/>
      <c r="LTV43" s="30"/>
      <c r="LTW43" s="30"/>
      <c r="LTX43" s="30"/>
      <c r="LTY43" s="30"/>
      <c r="LTZ43" s="30"/>
      <c r="LUA43" s="30"/>
      <c r="LUB43" s="30"/>
      <c r="LUC43" s="30"/>
      <c r="LUD43" s="30"/>
      <c r="LUE43" s="30"/>
      <c r="LUF43" s="30"/>
      <c r="LUG43" s="30"/>
      <c r="LUH43" s="30"/>
      <c r="LUI43" s="30"/>
      <c r="LUJ43" s="30"/>
      <c r="LUK43" s="30"/>
      <c r="LUL43" s="30"/>
      <c r="LUM43" s="30"/>
      <c r="LUN43" s="30"/>
      <c r="LUO43" s="30"/>
      <c r="LUP43" s="30"/>
      <c r="LUQ43" s="30"/>
      <c r="LUR43" s="30"/>
      <c r="LUS43" s="30"/>
      <c r="LUT43" s="30"/>
      <c r="LUU43" s="30"/>
      <c r="LUV43" s="30"/>
      <c r="LUW43" s="30"/>
      <c r="LUX43" s="30"/>
      <c r="LUY43" s="30"/>
      <c r="LUZ43" s="30"/>
      <c r="LVA43" s="30"/>
      <c r="LVB43" s="30"/>
      <c r="LVC43" s="30"/>
      <c r="LVD43" s="30"/>
      <c r="LVE43" s="30"/>
      <c r="LVF43" s="30"/>
      <c r="LVG43" s="30"/>
      <c r="LVH43" s="30"/>
      <c r="LVI43" s="30"/>
      <c r="LVJ43" s="30"/>
      <c r="LVK43" s="30"/>
      <c r="LVL43" s="30"/>
      <c r="LVM43" s="30"/>
      <c r="LVN43" s="30"/>
      <c r="LVO43" s="30"/>
      <c r="LVP43" s="30"/>
      <c r="LVQ43" s="30"/>
      <c r="LVR43" s="30"/>
      <c r="LVS43" s="30"/>
      <c r="LVT43" s="30"/>
      <c r="LVU43" s="30"/>
      <c r="LVV43" s="30"/>
      <c r="LVW43" s="30"/>
      <c r="LVX43" s="30"/>
      <c r="LVY43" s="30"/>
      <c r="LVZ43" s="30"/>
      <c r="LWA43" s="30"/>
      <c r="LWB43" s="30"/>
      <c r="LWC43" s="30"/>
      <c r="LWD43" s="30"/>
      <c r="LWE43" s="30"/>
      <c r="LWF43" s="30"/>
      <c r="LWG43" s="30"/>
      <c r="LWH43" s="30"/>
      <c r="LWI43" s="30"/>
      <c r="LWJ43" s="30"/>
      <c r="LWK43" s="30"/>
      <c r="LWL43" s="30"/>
      <c r="LWM43" s="30"/>
      <c r="LWN43" s="30"/>
      <c r="LWO43" s="30"/>
      <c r="LWP43" s="30"/>
      <c r="LWQ43" s="30"/>
      <c r="LWR43" s="30"/>
      <c r="LWS43" s="30"/>
      <c r="LWT43" s="30"/>
      <c r="LWU43" s="30"/>
      <c r="LWV43" s="30"/>
      <c r="LWW43" s="30"/>
      <c r="LWX43" s="30"/>
      <c r="LWY43" s="30"/>
      <c r="LWZ43" s="30"/>
      <c r="LXA43" s="30"/>
      <c r="LXB43" s="30"/>
      <c r="LXC43" s="30"/>
      <c r="LXD43" s="30"/>
      <c r="LXE43" s="30"/>
      <c r="LXF43" s="30"/>
      <c r="LXG43" s="30"/>
      <c r="LXH43" s="30"/>
      <c r="LXI43" s="30"/>
      <c r="LXJ43" s="30"/>
      <c r="LXK43" s="30"/>
      <c r="LXL43" s="30"/>
      <c r="LXM43" s="30"/>
      <c r="LXN43" s="30"/>
      <c r="LXO43" s="30"/>
      <c r="LXP43" s="30"/>
      <c r="LXQ43" s="30"/>
      <c r="LXR43" s="30"/>
      <c r="LXS43" s="30"/>
      <c r="LXT43" s="30"/>
      <c r="LXU43" s="30"/>
      <c r="LXV43" s="30"/>
      <c r="LXW43" s="30"/>
      <c r="LXX43" s="30"/>
      <c r="LXY43" s="30"/>
      <c r="LXZ43" s="30"/>
      <c r="LYA43" s="30"/>
      <c r="LYB43" s="30"/>
      <c r="LYC43" s="30"/>
      <c r="LYD43" s="30"/>
      <c r="LYE43" s="30"/>
      <c r="LYF43" s="30"/>
      <c r="LYG43" s="30"/>
      <c r="LYH43" s="30"/>
      <c r="LYI43" s="30"/>
      <c r="LYJ43" s="30"/>
      <c r="LYK43" s="30"/>
      <c r="LYL43" s="30"/>
      <c r="LYM43" s="30"/>
      <c r="LYN43" s="30"/>
      <c r="LYO43" s="30"/>
      <c r="LYP43" s="30"/>
      <c r="LYQ43" s="30"/>
      <c r="LYR43" s="30"/>
      <c r="LYS43" s="30"/>
      <c r="LYT43" s="30"/>
      <c r="LYU43" s="30"/>
      <c r="LYV43" s="30"/>
      <c r="LYW43" s="30"/>
      <c r="LYX43" s="30"/>
      <c r="LYY43" s="30"/>
      <c r="LYZ43" s="30"/>
      <c r="LZA43" s="30"/>
      <c r="LZB43" s="30"/>
      <c r="LZC43" s="30"/>
      <c r="LZD43" s="30"/>
      <c r="LZE43" s="30"/>
      <c r="LZF43" s="30"/>
      <c r="LZG43" s="30"/>
      <c r="LZH43" s="30"/>
      <c r="LZI43" s="30"/>
      <c r="LZJ43" s="30"/>
      <c r="LZK43" s="30"/>
      <c r="LZL43" s="30"/>
      <c r="LZM43" s="30"/>
      <c r="LZN43" s="30"/>
      <c r="LZO43" s="30"/>
      <c r="LZP43" s="30"/>
      <c r="LZQ43" s="30"/>
      <c r="LZR43" s="30"/>
      <c r="LZS43" s="30"/>
      <c r="LZT43" s="30"/>
      <c r="LZU43" s="30"/>
      <c r="LZV43" s="30"/>
      <c r="LZW43" s="30"/>
      <c r="LZX43" s="30"/>
      <c r="LZY43" s="30"/>
      <c r="LZZ43" s="30"/>
      <c r="MAA43" s="30"/>
      <c r="MAB43" s="30"/>
      <c r="MAC43" s="30"/>
      <c r="MAD43" s="30"/>
      <c r="MAE43" s="30"/>
      <c r="MAF43" s="30"/>
      <c r="MAG43" s="30"/>
      <c r="MAH43" s="30"/>
      <c r="MAI43" s="30"/>
      <c r="MAJ43" s="30"/>
      <c r="MAK43" s="30"/>
      <c r="MAL43" s="30"/>
      <c r="MAM43" s="30"/>
      <c r="MAN43" s="30"/>
      <c r="MAO43" s="30"/>
      <c r="MAP43" s="30"/>
      <c r="MAQ43" s="30"/>
      <c r="MAR43" s="30"/>
      <c r="MAS43" s="30"/>
      <c r="MAT43" s="30"/>
      <c r="MAU43" s="30"/>
      <c r="MAV43" s="30"/>
      <c r="MAW43" s="30"/>
      <c r="MAX43" s="30"/>
      <c r="MAY43" s="30"/>
      <c r="MAZ43" s="30"/>
      <c r="MBA43" s="30"/>
      <c r="MBB43" s="30"/>
      <c r="MBC43" s="30"/>
      <c r="MBD43" s="30"/>
      <c r="MBE43" s="30"/>
      <c r="MBF43" s="30"/>
      <c r="MBG43" s="30"/>
      <c r="MBH43" s="30"/>
      <c r="MBI43" s="30"/>
      <c r="MBJ43" s="30"/>
      <c r="MBK43" s="30"/>
      <c r="MBL43" s="30"/>
      <c r="MBM43" s="30"/>
      <c r="MBN43" s="30"/>
      <c r="MBO43" s="30"/>
      <c r="MBP43" s="30"/>
      <c r="MBQ43" s="30"/>
      <c r="MBR43" s="30"/>
      <c r="MBS43" s="30"/>
      <c r="MBT43" s="30"/>
      <c r="MBU43" s="30"/>
      <c r="MBV43" s="30"/>
      <c r="MBW43" s="30"/>
      <c r="MBX43" s="30"/>
      <c r="MBY43" s="30"/>
      <c r="MBZ43" s="30"/>
      <c r="MCA43" s="30"/>
      <c r="MCB43" s="30"/>
      <c r="MCC43" s="30"/>
      <c r="MCD43" s="30"/>
      <c r="MCE43" s="30"/>
      <c r="MCF43" s="30"/>
      <c r="MCG43" s="30"/>
      <c r="MCH43" s="30"/>
      <c r="MCI43" s="30"/>
      <c r="MCJ43" s="30"/>
      <c r="MCK43" s="30"/>
      <c r="MCL43" s="30"/>
      <c r="MCM43" s="30"/>
      <c r="MCN43" s="30"/>
      <c r="MCO43" s="30"/>
      <c r="MCP43" s="30"/>
      <c r="MCQ43" s="30"/>
      <c r="MCR43" s="30"/>
      <c r="MCS43" s="30"/>
      <c r="MCT43" s="30"/>
      <c r="MCU43" s="30"/>
      <c r="MCV43" s="30"/>
      <c r="MCW43" s="30"/>
      <c r="MCX43" s="30"/>
      <c r="MCY43" s="30"/>
      <c r="MCZ43" s="30"/>
      <c r="MDA43" s="30"/>
      <c r="MDB43" s="30"/>
      <c r="MDC43" s="30"/>
      <c r="MDD43" s="30"/>
      <c r="MDE43" s="30"/>
      <c r="MDF43" s="30"/>
      <c r="MDG43" s="30"/>
      <c r="MDH43" s="30"/>
      <c r="MDI43" s="30"/>
      <c r="MDJ43" s="30"/>
      <c r="MDK43" s="30"/>
      <c r="MDL43" s="30"/>
      <c r="MDM43" s="30"/>
      <c r="MDN43" s="30"/>
      <c r="MDO43" s="30"/>
      <c r="MDP43" s="30"/>
      <c r="MDQ43" s="30"/>
      <c r="MDR43" s="30"/>
      <c r="MDS43" s="30"/>
      <c r="MDT43" s="30"/>
      <c r="MDU43" s="30"/>
      <c r="MDV43" s="30"/>
      <c r="MDW43" s="30"/>
      <c r="MDX43" s="30"/>
      <c r="MDY43" s="30"/>
      <c r="MDZ43" s="30"/>
      <c r="MEA43" s="30"/>
      <c r="MEB43" s="30"/>
      <c r="MEC43" s="30"/>
      <c r="MED43" s="30"/>
      <c r="MEE43" s="30"/>
      <c r="MEF43" s="30"/>
      <c r="MEG43" s="30"/>
      <c r="MEH43" s="30"/>
      <c r="MEI43" s="30"/>
      <c r="MEJ43" s="30"/>
      <c r="MEK43" s="30"/>
      <c r="MEL43" s="30"/>
      <c r="MEM43" s="30"/>
      <c r="MEN43" s="30"/>
      <c r="MEO43" s="30"/>
      <c r="MEP43" s="30"/>
      <c r="MEQ43" s="30"/>
      <c r="MER43" s="30"/>
      <c r="MES43" s="30"/>
      <c r="MET43" s="30"/>
      <c r="MEU43" s="30"/>
      <c r="MEV43" s="30"/>
      <c r="MEW43" s="30"/>
      <c r="MEX43" s="30"/>
      <c r="MEY43" s="30"/>
      <c r="MEZ43" s="30"/>
      <c r="MFA43" s="30"/>
      <c r="MFB43" s="30"/>
      <c r="MFC43" s="30"/>
      <c r="MFD43" s="30"/>
      <c r="MFE43" s="30"/>
      <c r="MFF43" s="30"/>
      <c r="MFG43" s="30"/>
      <c r="MFH43" s="30"/>
      <c r="MFI43" s="30"/>
      <c r="MFJ43" s="30"/>
      <c r="MFK43" s="30"/>
      <c r="MFL43" s="30"/>
      <c r="MFM43" s="30"/>
      <c r="MFN43" s="30"/>
      <c r="MFO43" s="30"/>
      <c r="MFP43" s="30"/>
      <c r="MFQ43" s="30"/>
      <c r="MFR43" s="30"/>
      <c r="MFS43" s="30"/>
      <c r="MFT43" s="30"/>
      <c r="MFU43" s="30"/>
      <c r="MFV43" s="30"/>
      <c r="MFW43" s="30"/>
      <c r="MFX43" s="30"/>
      <c r="MFY43" s="30"/>
      <c r="MFZ43" s="30"/>
      <c r="MGA43" s="30"/>
      <c r="MGB43" s="30"/>
      <c r="MGC43" s="30"/>
      <c r="MGD43" s="30"/>
      <c r="MGE43" s="30"/>
      <c r="MGF43" s="30"/>
      <c r="MGG43" s="30"/>
      <c r="MGH43" s="30"/>
      <c r="MGI43" s="30"/>
      <c r="MGJ43" s="30"/>
      <c r="MGK43" s="30"/>
      <c r="MGL43" s="30"/>
      <c r="MGM43" s="30"/>
      <c r="MGN43" s="30"/>
      <c r="MGO43" s="30"/>
      <c r="MGP43" s="30"/>
      <c r="MGQ43" s="30"/>
      <c r="MGR43" s="30"/>
      <c r="MGS43" s="30"/>
      <c r="MGT43" s="30"/>
      <c r="MGU43" s="30"/>
      <c r="MGV43" s="30"/>
      <c r="MGW43" s="30"/>
      <c r="MGX43" s="30"/>
      <c r="MGY43" s="30"/>
      <c r="MGZ43" s="30"/>
      <c r="MHA43" s="30"/>
      <c r="MHB43" s="30"/>
      <c r="MHC43" s="30"/>
      <c r="MHD43" s="30"/>
      <c r="MHE43" s="30"/>
      <c r="MHF43" s="30"/>
      <c r="MHG43" s="30"/>
      <c r="MHH43" s="30"/>
      <c r="MHI43" s="30"/>
      <c r="MHJ43" s="30"/>
      <c r="MHK43" s="30"/>
      <c r="MHL43" s="30"/>
      <c r="MHM43" s="30"/>
      <c r="MHN43" s="30"/>
      <c r="MHO43" s="30"/>
      <c r="MHP43" s="30"/>
      <c r="MHQ43" s="30"/>
      <c r="MHR43" s="30"/>
      <c r="MHS43" s="30"/>
      <c r="MHT43" s="30"/>
      <c r="MHU43" s="30"/>
      <c r="MHV43" s="30"/>
      <c r="MHW43" s="30"/>
      <c r="MHX43" s="30"/>
      <c r="MHY43" s="30"/>
      <c r="MHZ43" s="30"/>
      <c r="MIA43" s="30"/>
      <c r="MIB43" s="30"/>
      <c r="MIC43" s="30"/>
      <c r="MID43" s="30"/>
      <c r="MIE43" s="30"/>
      <c r="MIF43" s="30"/>
      <c r="MIG43" s="30"/>
      <c r="MIH43" s="30"/>
      <c r="MII43" s="30"/>
      <c r="MIJ43" s="30"/>
      <c r="MIK43" s="30"/>
      <c r="MIL43" s="30"/>
      <c r="MIM43" s="30"/>
      <c r="MIN43" s="30"/>
      <c r="MIO43" s="30"/>
      <c r="MIP43" s="30"/>
      <c r="MIQ43" s="30"/>
      <c r="MIR43" s="30"/>
      <c r="MIS43" s="30"/>
      <c r="MIT43" s="30"/>
      <c r="MIU43" s="30"/>
      <c r="MIV43" s="30"/>
      <c r="MIW43" s="30"/>
      <c r="MIX43" s="30"/>
      <c r="MIY43" s="30"/>
      <c r="MIZ43" s="30"/>
      <c r="MJA43" s="30"/>
      <c r="MJB43" s="30"/>
      <c r="MJC43" s="30"/>
      <c r="MJD43" s="30"/>
      <c r="MJE43" s="30"/>
      <c r="MJF43" s="30"/>
      <c r="MJG43" s="30"/>
      <c r="MJH43" s="30"/>
      <c r="MJI43" s="30"/>
      <c r="MJJ43" s="30"/>
      <c r="MJK43" s="30"/>
      <c r="MJL43" s="30"/>
      <c r="MJM43" s="30"/>
      <c r="MJN43" s="30"/>
      <c r="MJO43" s="30"/>
      <c r="MJP43" s="30"/>
      <c r="MJQ43" s="30"/>
      <c r="MJR43" s="30"/>
      <c r="MJS43" s="30"/>
      <c r="MJT43" s="30"/>
      <c r="MJU43" s="30"/>
      <c r="MJV43" s="30"/>
      <c r="MJW43" s="30"/>
      <c r="MJX43" s="30"/>
      <c r="MJY43" s="30"/>
      <c r="MJZ43" s="30"/>
      <c r="MKA43" s="30"/>
      <c r="MKB43" s="30"/>
      <c r="MKC43" s="30"/>
      <c r="MKD43" s="30"/>
      <c r="MKE43" s="30"/>
      <c r="MKF43" s="30"/>
      <c r="MKG43" s="30"/>
      <c r="MKH43" s="30"/>
      <c r="MKI43" s="30"/>
      <c r="MKJ43" s="30"/>
      <c r="MKK43" s="30"/>
      <c r="MKL43" s="30"/>
      <c r="MKM43" s="30"/>
      <c r="MKN43" s="30"/>
      <c r="MKO43" s="30"/>
      <c r="MKP43" s="30"/>
      <c r="MKQ43" s="30"/>
      <c r="MKR43" s="30"/>
      <c r="MKS43" s="30"/>
      <c r="MKT43" s="30"/>
      <c r="MKU43" s="30"/>
      <c r="MKV43" s="30"/>
      <c r="MKW43" s="30"/>
      <c r="MKX43" s="30"/>
      <c r="MKY43" s="30"/>
      <c r="MKZ43" s="30"/>
      <c r="MLA43" s="30"/>
      <c r="MLB43" s="30"/>
      <c r="MLC43" s="30"/>
      <c r="MLD43" s="30"/>
      <c r="MLE43" s="30"/>
      <c r="MLF43" s="30"/>
      <c r="MLG43" s="30"/>
      <c r="MLH43" s="30"/>
      <c r="MLI43" s="30"/>
      <c r="MLJ43" s="30"/>
      <c r="MLK43" s="30"/>
      <c r="MLL43" s="30"/>
      <c r="MLM43" s="30"/>
      <c r="MLN43" s="30"/>
      <c r="MLO43" s="30"/>
      <c r="MLP43" s="30"/>
      <c r="MLQ43" s="30"/>
      <c r="MLR43" s="30"/>
      <c r="MLS43" s="30"/>
      <c r="MLT43" s="30"/>
      <c r="MLU43" s="30"/>
      <c r="MLV43" s="30"/>
      <c r="MLW43" s="30"/>
      <c r="MLX43" s="30"/>
      <c r="MLY43" s="30"/>
      <c r="MLZ43" s="30"/>
      <c r="MMA43" s="30"/>
      <c r="MMB43" s="30"/>
      <c r="MMC43" s="30"/>
      <c r="MMD43" s="30"/>
      <c r="MME43" s="30"/>
      <c r="MMF43" s="30"/>
      <c r="MMG43" s="30"/>
      <c r="MMH43" s="30"/>
      <c r="MMI43" s="30"/>
      <c r="MMJ43" s="30"/>
      <c r="MMK43" s="30"/>
      <c r="MML43" s="30"/>
      <c r="MMM43" s="30"/>
      <c r="MMN43" s="30"/>
      <c r="MMO43" s="30"/>
      <c r="MMP43" s="30"/>
      <c r="MMQ43" s="30"/>
      <c r="MMR43" s="30"/>
      <c r="MMS43" s="30"/>
      <c r="MMT43" s="30"/>
      <c r="MMU43" s="30"/>
      <c r="MMV43" s="30"/>
      <c r="MMW43" s="30"/>
      <c r="MMX43" s="30"/>
      <c r="MMY43" s="30"/>
      <c r="MMZ43" s="30"/>
      <c r="MNA43" s="30"/>
      <c r="MNB43" s="30"/>
      <c r="MNC43" s="30"/>
      <c r="MND43" s="30"/>
      <c r="MNE43" s="30"/>
      <c r="MNF43" s="30"/>
      <c r="MNG43" s="30"/>
      <c r="MNH43" s="30"/>
      <c r="MNI43" s="30"/>
      <c r="MNJ43" s="30"/>
      <c r="MNK43" s="30"/>
      <c r="MNL43" s="30"/>
      <c r="MNM43" s="30"/>
      <c r="MNN43" s="30"/>
      <c r="MNO43" s="30"/>
      <c r="MNP43" s="30"/>
      <c r="MNQ43" s="30"/>
      <c r="MNR43" s="30"/>
      <c r="MNS43" s="30"/>
      <c r="MNT43" s="30"/>
      <c r="MNU43" s="30"/>
      <c r="MNV43" s="30"/>
      <c r="MNW43" s="30"/>
      <c r="MNX43" s="30"/>
      <c r="MNY43" s="30"/>
      <c r="MNZ43" s="30"/>
      <c r="MOA43" s="30"/>
      <c r="MOB43" s="30"/>
      <c r="MOC43" s="30"/>
      <c r="MOD43" s="30"/>
      <c r="MOE43" s="30"/>
      <c r="MOF43" s="30"/>
      <c r="MOG43" s="30"/>
      <c r="MOH43" s="30"/>
      <c r="MOI43" s="30"/>
      <c r="MOJ43" s="30"/>
      <c r="MOK43" s="30"/>
      <c r="MOL43" s="30"/>
      <c r="MOM43" s="30"/>
      <c r="MON43" s="30"/>
      <c r="MOO43" s="30"/>
      <c r="MOP43" s="30"/>
      <c r="MOQ43" s="30"/>
      <c r="MOR43" s="30"/>
      <c r="MOS43" s="30"/>
      <c r="MOT43" s="30"/>
      <c r="MOU43" s="30"/>
      <c r="MOV43" s="30"/>
      <c r="MOW43" s="30"/>
      <c r="MOX43" s="30"/>
      <c r="MOY43" s="30"/>
      <c r="MOZ43" s="30"/>
      <c r="MPA43" s="30"/>
      <c r="MPB43" s="30"/>
      <c r="MPC43" s="30"/>
      <c r="MPD43" s="30"/>
      <c r="MPE43" s="30"/>
      <c r="MPF43" s="30"/>
      <c r="MPG43" s="30"/>
      <c r="MPH43" s="30"/>
      <c r="MPI43" s="30"/>
      <c r="MPJ43" s="30"/>
      <c r="MPK43" s="30"/>
      <c r="MPL43" s="30"/>
      <c r="MPM43" s="30"/>
      <c r="MPN43" s="30"/>
      <c r="MPO43" s="30"/>
      <c r="MPP43" s="30"/>
      <c r="MPQ43" s="30"/>
      <c r="MPR43" s="30"/>
      <c r="MPS43" s="30"/>
      <c r="MPT43" s="30"/>
      <c r="MPU43" s="30"/>
      <c r="MPV43" s="30"/>
      <c r="MPW43" s="30"/>
      <c r="MPX43" s="30"/>
      <c r="MPY43" s="30"/>
      <c r="MPZ43" s="30"/>
      <c r="MQA43" s="30"/>
      <c r="MQB43" s="30"/>
      <c r="MQC43" s="30"/>
      <c r="MQD43" s="30"/>
      <c r="MQE43" s="30"/>
      <c r="MQF43" s="30"/>
      <c r="MQG43" s="30"/>
      <c r="MQH43" s="30"/>
      <c r="MQI43" s="30"/>
      <c r="MQJ43" s="30"/>
      <c r="MQK43" s="30"/>
      <c r="MQL43" s="30"/>
      <c r="MQM43" s="30"/>
      <c r="MQN43" s="30"/>
      <c r="MQO43" s="30"/>
      <c r="MQP43" s="30"/>
      <c r="MQQ43" s="30"/>
      <c r="MQR43" s="30"/>
      <c r="MQS43" s="30"/>
      <c r="MQT43" s="30"/>
      <c r="MQU43" s="30"/>
      <c r="MQV43" s="30"/>
      <c r="MQW43" s="30"/>
      <c r="MQX43" s="30"/>
      <c r="MQY43" s="30"/>
      <c r="MQZ43" s="30"/>
      <c r="MRA43" s="30"/>
      <c r="MRB43" s="30"/>
      <c r="MRC43" s="30"/>
      <c r="MRD43" s="30"/>
      <c r="MRE43" s="30"/>
      <c r="MRF43" s="30"/>
      <c r="MRG43" s="30"/>
      <c r="MRH43" s="30"/>
      <c r="MRI43" s="30"/>
      <c r="MRJ43" s="30"/>
      <c r="MRK43" s="30"/>
      <c r="MRL43" s="30"/>
      <c r="MRM43" s="30"/>
      <c r="MRN43" s="30"/>
      <c r="MRO43" s="30"/>
      <c r="MRP43" s="30"/>
      <c r="MRQ43" s="30"/>
      <c r="MRR43" s="30"/>
      <c r="MRS43" s="30"/>
      <c r="MRT43" s="30"/>
      <c r="MRU43" s="30"/>
      <c r="MRV43" s="30"/>
      <c r="MRW43" s="30"/>
      <c r="MRX43" s="30"/>
      <c r="MRY43" s="30"/>
      <c r="MRZ43" s="30"/>
      <c r="MSA43" s="30"/>
      <c r="MSB43" s="30"/>
      <c r="MSC43" s="30"/>
      <c r="MSD43" s="30"/>
      <c r="MSE43" s="30"/>
      <c r="MSF43" s="30"/>
      <c r="MSG43" s="30"/>
      <c r="MSH43" s="30"/>
      <c r="MSI43" s="30"/>
      <c r="MSJ43" s="30"/>
      <c r="MSK43" s="30"/>
      <c r="MSL43" s="30"/>
      <c r="MSM43" s="30"/>
      <c r="MSN43" s="30"/>
      <c r="MSO43" s="30"/>
      <c r="MSP43" s="30"/>
      <c r="MSQ43" s="30"/>
      <c r="MSR43" s="30"/>
      <c r="MSS43" s="30"/>
      <c r="MST43" s="30"/>
      <c r="MSU43" s="30"/>
      <c r="MSV43" s="30"/>
      <c r="MSW43" s="30"/>
      <c r="MSX43" s="30"/>
      <c r="MSY43" s="30"/>
      <c r="MSZ43" s="30"/>
      <c r="MTA43" s="30"/>
      <c r="MTB43" s="30"/>
      <c r="MTC43" s="30"/>
      <c r="MTD43" s="30"/>
      <c r="MTE43" s="30"/>
      <c r="MTF43" s="30"/>
      <c r="MTG43" s="30"/>
      <c r="MTH43" s="30"/>
      <c r="MTI43" s="30"/>
      <c r="MTJ43" s="30"/>
      <c r="MTK43" s="30"/>
      <c r="MTL43" s="30"/>
      <c r="MTM43" s="30"/>
      <c r="MTN43" s="30"/>
      <c r="MTO43" s="30"/>
      <c r="MTP43" s="30"/>
      <c r="MTQ43" s="30"/>
      <c r="MTR43" s="30"/>
      <c r="MTS43" s="30"/>
      <c r="MTT43" s="30"/>
      <c r="MTU43" s="30"/>
      <c r="MTV43" s="30"/>
      <c r="MTW43" s="30"/>
      <c r="MTX43" s="30"/>
      <c r="MTY43" s="30"/>
      <c r="MTZ43" s="30"/>
      <c r="MUA43" s="30"/>
      <c r="MUB43" s="30"/>
      <c r="MUC43" s="30"/>
      <c r="MUD43" s="30"/>
      <c r="MUE43" s="30"/>
      <c r="MUF43" s="30"/>
      <c r="MUG43" s="30"/>
      <c r="MUH43" s="30"/>
      <c r="MUI43" s="30"/>
      <c r="MUJ43" s="30"/>
      <c r="MUK43" s="30"/>
      <c r="MUL43" s="30"/>
      <c r="MUM43" s="30"/>
      <c r="MUN43" s="30"/>
      <c r="MUO43" s="30"/>
      <c r="MUP43" s="30"/>
      <c r="MUQ43" s="30"/>
      <c r="MUR43" s="30"/>
      <c r="MUS43" s="30"/>
      <c r="MUT43" s="30"/>
      <c r="MUU43" s="30"/>
      <c r="MUV43" s="30"/>
      <c r="MUW43" s="30"/>
      <c r="MUX43" s="30"/>
      <c r="MUY43" s="30"/>
      <c r="MUZ43" s="30"/>
      <c r="MVA43" s="30"/>
      <c r="MVB43" s="30"/>
      <c r="MVC43" s="30"/>
      <c r="MVD43" s="30"/>
      <c r="MVE43" s="30"/>
      <c r="MVF43" s="30"/>
      <c r="MVG43" s="30"/>
      <c r="MVH43" s="30"/>
      <c r="MVI43" s="30"/>
      <c r="MVJ43" s="30"/>
      <c r="MVK43" s="30"/>
      <c r="MVL43" s="30"/>
      <c r="MVM43" s="30"/>
      <c r="MVN43" s="30"/>
      <c r="MVO43" s="30"/>
      <c r="MVP43" s="30"/>
      <c r="MVQ43" s="30"/>
      <c r="MVR43" s="30"/>
      <c r="MVS43" s="30"/>
      <c r="MVT43" s="30"/>
      <c r="MVU43" s="30"/>
      <c r="MVV43" s="30"/>
      <c r="MVW43" s="30"/>
      <c r="MVX43" s="30"/>
      <c r="MVY43" s="30"/>
      <c r="MVZ43" s="30"/>
      <c r="MWA43" s="30"/>
      <c r="MWB43" s="30"/>
      <c r="MWC43" s="30"/>
      <c r="MWD43" s="30"/>
      <c r="MWE43" s="30"/>
      <c r="MWF43" s="30"/>
      <c r="MWG43" s="30"/>
      <c r="MWH43" s="30"/>
      <c r="MWI43" s="30"/>
      <c r="MWJ43" s="30"/>
      <c r="MWK43" s="30"/>
      <c r="MWL43" s="30"/>
      <c r="MWM43" s="30"/>
      <c r="MWN43" s="30"/>
      <c r="MWO43" s="30"/>
      <c r="MWP43" s="30"/>
      <c r="MWQ43" s="30"/>
      <c r="MWR43" s="30"/>
      <c r="MWS43" s="30"/>
      <c r="MWT43" s="30"/>
      <c r="MWU43" s="30"/>
      <c r="MWV43" s="30"/>
      <c r="MWW43" s="30"/>
      <c r="MWX43" s="30"/>
      <c r="MWY43" s="30"/>
      <c r="MWZ43" s="30"/>
      <c r="MXA43" s="30"/>
      <c r="MXB43" s="30"/>
      <c r="MXC43" s="30"/>
      <c r="MXD43" s="30"/>
      <c r="MXE43" s="30"/>
      <c r="MXF43" s="30"/>
      <c r="MXG43" s="30"/>
      <c r="MXH43" s="30"/>
      <c r="MXI43" s="30"/>
      <c r="MXJ43" s="30"/>
      <c r="MXK43" s="30"/>
      <c r="MXL43" s="30"/>
      <c r="MXM43" s="30"/>
      <c r="MXN43" s="30"/>
      <c r="MXO43" s="30"/>
      <c r="MXP43" s="30"/>
      <c r="MXQ43" s="30"/>
      <c r="MXR43" s="30"/>
      <c r="MXS43" s="30"/>
      <c r="MXT43" s="30"/>
      <c r="MXU43" s="30"/>
      <c r="MXV43" s="30"/>
      <c r="MXW43" s="30"/>
      <c r="MXX43" s="30"/>
      <c r="MXY43" s="30"/>
      <c r="MXZ43" s="30"/>
      <c r="MYA43" s="30"/>
      <c r="MYB43" s="30"/>
      <c r="MYC43" s="30"/>
      <c r="MYD43" s="30"/>
      <c r="MYE43" s="30"/>
      <c r="MYF43" s="30"/>
      <c r="MYG43" s="30"/>
      <c r="MYH43" s="30"/>
      <c r="MYI43" s="30"/>
      <c r="MYJ43" s="30"/>
      <c r="MYK43" s="30"/>
      <c r="MYL43" s="30"/>
      <c r="MYM43" s="30"/>
      <c r="MYN43" s="30"/>
      <c r="MYO43" s="30"/>
      <c r="MYP43" s="30"/>
      <c r="MYQ43" s="30"/>
      <c r="MYR43" s="30"/>
      <c r="MYS43" s="30"/>
      <c r="MYT43" s="30"/>
      <c r="MYU43" s="30"/>
      <c r="MYV43" s="30"/>
      <c r="MYW43" s="30"/>
      <c r="MYX43" s="30"/>
      <c r="MYY43" s="30"/>
      <c r="MYZ43" s="30"/>
      <c r="MZA43" s="30"/>
      <c r="MZB43" s="30"/>
      <c r="MZC43" s="30"/>
      <c r="MZD43" s="30"/>
      <c r="MZE43" s="30"/>
      <c r="MZF43" s="30"/>
      <c r="MZG43" s="30"/>
      <c r="MZH43" s="30"/>
      <c r="MZI43" s="30"/>
      <c r="MZJ43" s="30"/>
      <c r="MZK43" s="30"/>
      <c r="MZL43" s="30"/>
      <c r="MZM43" s="30"/>
      <c r="MZN43" s="30"/>
      <c r="MZO43" s="30"/>
      <c r="MZP43" s="30"/>
      <c r="MZQ43" s="30"/>
      <c r="MZR43" s="30"/>
      <c r="MZS43" s="30"/>
      <c r="MZT43" s="30"/>
      <c r="MZU43" s="30"/>
      <c r="MZV43" s="30"/>
      <c r="MZW43" s="30"/>
      <c r="MZX43" s="30"/>
      <c r="MZY43" s="30"/>
      <c r="MZZ43" s="30"/>
      <c r="NAA43" s="30"/>
      <c r="NAB43" s="30"/>
      <c r="NAC43" s="30"/>
      <c r="NAD43" s="30"/>
      <c r="NAE43" s="30"/>
      <c r="NAF43" s="30"/>
      <c r="NAG43" s="30"/>
      <c r="NAH43" s="30"/>
      <c r="NAI43" s="30"/>
      <c r="NAJ43" s="30"/>
      <c r="NAK43" s="30"/>
      <c r="NAL43" s="30"/>
      <c r="NAM43" s="30"/>
      <c r="NAN43" s="30"/>
      <c r="NAO43" s="30"/>
      <c r="NAP43" s="30"/>
      <c r="NAQ43" s="30"/>
      <c r="NAR43" s="30"/>
      <c r="NAS43" s="30"/>
      <c r="NAT43" s="30"/>
      <c r="NAU43" s="30"/>
      <c r="NAV43" s="30"/>
      <c r="NAW43" s="30"/>
      <c r="NAX43" s="30"/>
      <c r="NAY43" s="30"/>
      <c r="NAZ43" s="30"/>
      <c r="NBA43" s="30"/>
      <c r="NBB43" s="30"/>
      <c r="NBC43" s="30"/>
      <c r="NBD43" s="30"/>
      <c r="NBE43" s="30"/>
      <c r="NBF43" s="30"/>
      <c r="NBG43" s="30"/>
      <c r="NBH43" s="30"/>
      <c r="NBI43" s="30"/>
      <c r="NBJ43" s="30"/>
      <c r="NBK43" s="30"/>
      <c r="NBL43" s="30"/>
      <c r="NBM43" s="30"/>
      <c r="NBN43" s="30"/>
      <c r="NBO43" s="30"/>
      <c r="NBP43" s="30"/>
      <c r="NBQ43" s="30"/>
      <c r="NBR43" s="30"/>
      <c r="NBS43" s="30"/>
      <c r="NBT43" s="30"/>
      <c r="NBU43" s="30"/>
      <c r="NBV43" s="30"/>
      <c r="NBW43" s="30"/>
      <c r="NBX43" s="30"/>
      <c r="NBY43" s="30"/>
      <c r="NBZ43" s="30"/>
      <c r="NCA43" s="30"/>
      <c r="NCB43" s="30"/>
      <c r="NCC43" s="30"/>
      <c r="NCD43" s="30"/>
      <c r="NCE43" s="30"/>
      <c r="NCF43" s="30"/>
      <c r="NCG43" s="30"/>
      <c r="NCH43" s="30"/>
      <c r="NCI43" s="30"/>
      <c r="NCJ43" s="30"/>
      <c r="NCK43" s="30"/>
      <c r="NCL43" s="30"/>
      <c r="NCM43" s="30"/>
      <c r="NCN43" s="30"/>
      <c r="NCO43" s="30"/>
      <c r="NCP43" s="30"/>
      <c r="NCQ43" s="30"/>
      <c r="NCR43" s="30"/>
      <c r="NCS43" s="30"/>
      <c r="NCT43" s="30"/>
      <c r="NCU43" s="30"/>
      <c r="NCV43" s="30"/>
      <c r="NCW43" s="30"/>
      <c r="NCX43" s="30"/>
      <c r="NCY43" s="30"/>
      <c r="NCZ43" s="30"/>
      <c r="NDA43" s="30"/>
      <c r="NDB43" s="30"/>
      <c r="NDC43" s="30"/>
      <c r="NDD43" s="30"/>
      <c r="NDE43" s="30"/>
      <c r="NDF43" s="30"/>
      <c r="NDG43" s="30"/>
      <c r="NDH43" s="30"/>
      <c r="NDI43" s="30"/>
      <c r="NDJ43" s="30"/>
      <c r="NDK43" s="30"/>
      <c r="NDL43" s="30"/>
      <c r="NDM43" s="30"/>
      <c r="NDN43" s="30"/>
      <c r="NDO43" s="30"/>
      <c r="NDP43" s="30"/>
      <c r="NDQ43" s="30"/>
      <c r="NDR43" s="30"/>
      <c r="NDS43" s="30"/>
      <c r="NDT43" s="30"/>
      <c r="NDU43" s="30"/>
      <c r="NDV43" s="30"/>
      <c r="NDW43" s="30"/>
      <c r="NDX43" s="30"/>
      <c r="NDY43" s="30"/>
      <c r="NDZ43" s="30"/>
      <c r="NEA43" s="30"/>
      <c r="NEB43" s="30"/>
      <c r="NEC43" s="30"/>
      <c r="NED43" s="30"/>
      <c r="NEE43" s="30"/>
      <c r="NEF43" s="30"/>
      <c r="NEG43" s="30"/>
      <c r="NEH43" s="30"/>
      <c r="NEI43" s="30"/>
      <c r="NEJ43" s="30"/>
      <c r="NEK43" s="30"/>
      <c r="NEL43" s="30"/>
      <c r="NEM43" s="30"/>
      <c r="NEN43" s="30"/>
      <c r="NEO43" s="30"/>
      <c r="NEP43" s="30"/>
      <c r="NEQ43" s="30"/>
      <c r="NER43" s="30"/>
      <c r="NES43" s="30"/>
      <c r="NET43" s="30"/>
      <c r="NEU43" s="30"/>
      <c r="NEV43" s="30"/>
      <c r="NEW43" s="30"/>
      <c r="NEX43" s="30"/>
      <c r="NEY43" s="30"/>
      <c r="NEZ43" s="30"/>
      <c r="NFA43" s="30"/>
      <c r="NFB43" s="30"/>
      <c r="NFC43" s="30"/>
      <c r="NFD43" s="30"/>
      <c r="NFE43" s="30"/>
      <c r="NFF43" s="30"/>
      <c r="NFG43" s="30"/>
      <c r="NFH43" s="30"/>
      <c r="NFI43" s="30"/>
      <c r="NFJ43" s="30"/>
      <c r="NFK43" s="30"/>
      <c r="NFL43" s="30"/>
      <c r="NFM43" s="30"/>
      <c r="NFN43" s="30"/>
      <c r="NFO43" s="30"/>
      <c r="NFP43" s="30"/>
      <c r="NFQ43" s="30"/>
      <c r="NFR43" s="30"/>
      <c r="NFS43" s="30"/>
      <c r="NFT43" s="30"/>
      <c r="NFU43" s="30"/>
      <c r="NFV43" s="30"/>
      <c r="NFW43" s="30"/>
      <c r="NFX43" s="30"/>
      <c r="NFY43" s="30"/>
      <c r="NFZ43" s="30"/>
      <c r="NGA43" s="30"/>
      <c r="NGB43" s="30"/>
      <c r="NGC43" s="30"/>
      <c r="NGD43" s="30"/>
      <c r="NGE43" s="30"/>
      <c r="NGF43" s="30"/>
      <c r="NGG43" s="30"/>
      <c r="NGH43" s="30"/>
      <c r="NGI43" s="30"/>
      <c r="NGJ43" s="30"/>
      <c r="NGK43" s="30"/>
      <c r="NGL43" s="30"/>
      <c r="NGM43" s="30"/>
      <c r="NGN43" s="30"/>
      <c r="NGO43" s="30"/>
      <c r="NGP43" s="30"/>
      <c r="NGQ43" s="30"/>
      <c r="NGR43" s="30"/>
      <c r="NGS43" s="30"/>
      <c r="NGT43" s="30"/>
      <c r="NGU43" s="30"/>
      <c r="NGV43" s="30"/>
      <c r="NGW43" s="30"/>
      <c r="NGX43" s="30"/>
      <c r="NGY43" s="30"/>
      <c r="NGZ43" s="30"/>
      <c r="NHA43" s="30"/>
      <c r="NHB43" s="30"/>
      <c r="NHC43" s="30"/>
      <c r="NHD43" s="30"/>
      <c r="NHE43" s="30"/>
      <c r="NHF43" s="30"/>
      <c r="NHG43" s="30"/>
      <c r="NHH43" s="30"/>
      <c r="NHI43" s="30"/>
      <c r="NHJ43" s="30"/>
      <c r="NHK43" s="30"/>
      <c r="NHL43" s="30"/>
      <c r="NHM43" s="30"/>
      <c r="NHN43" s="30"/>
      <c r="NHO43" s="30"/>
      <c r="NHP43" s="30"/>
      <c r="NHQ43" s="30"/>
      <c r="NHR43" s="30"/>
      <c r="NHS43" s="30"/>
      <c r="NHT43" s="30"/>
      <c r="NHU43" s="30"/>
      <c r="NHV43" s="30"/>
      <c r="NHW43" s="30"/>
      <c r="NHX43" s="30"/>
      <c r="NHY43" s="30"/>
      <c r="NHZ43" s="30"/>
      <c r="NIA43" s="30"/>
      <c r="NIB43" s="30"/>
      <c r="NIC43" s="30"/>
      <c r="NID43" s="30"/>
      <c r="NIE43" s="30"/>
      <c r="NIF43" s="30"/>
      <c r="NIG43" s="30"/>
      <c r="NIH43" s="30"/>
      <c r="NII43" s="30"/>
      <c r="NIJ43" s="30"/>
      <c r="NIK43" s="30"/>
      <c r="NIL43" s="30"/>
      <c r="NIM43" s="30"/>
      <c r="NIN43" s="30"/>
      <c r="NIO43" s="30"/>
      <c r="NIP43" s="30"/>
      <c r="NIQ43" s="30"/>
      <c r="NIR43" s="30"/>
      <c r="NIS43" s="30"/>
      <c r="NIT43" s="30"/>
      <c r="NIU43" s="30"/>
      <c r="NIV43" s="30"/>
      <c r="NIW43" s="30"/>
      <c r="NIX43" s="30"/>
      <c r="NIY43" s="30"/>
      <c r="NIZ43" s="30"/>
      <c r="NJA43" s="30"/>
      <c r="NJB43" s="30"/>
      <c r="NJC43" s="30"/>
      <c r="NJD43" s="30"/>
      <c r="NJE43" s="30"/>
      <c r="NJF43" s="30"/>
      <c r="NJG43" s="30"/>
      <c r="NJH43" s="30"/>
      <c r="NJI43" s="30"/>
      <c r="NJJ43" s="30"/>
      <c r="NJK43" s="30"/>
      <c r="NJL43" s="30"/>
      <c r="NJM43" s="30"/>
      <c r="NJN43" s="30"/>
      <c r="NJO43" s="30"/>
      <c r="NJP43" s="30"/>
      <c r="NJQ43" s="30"/>
      <c r="NJR43" s="30"/>
      <c r="NJS43" s="30"/>
      <c r="NJT43" s="30"/>
      <c r="NJU43" s="30"/>
      <c r="NJV43" s="30"/>
      <c r="NJW43" s="30"/>
      <c r="NJX43" s="30"/>
      <c r="NJY43" s="30"/>
      <c r="NJZ43" s="30"/>
      <c r="NKA43" s="30"/>
      <c r="NKB43" s="30"/>
      <c r="NKC43" s="30"/>
      <c r="NKD43" s="30"/>
      <c r="NKE43" s="30"/>
      <c r="NKF43" s="30"/>
      <c r="NKG43" s="30"/>
      <c r="NKH43" s="30"/>
      <c r="NKI43" s="30"/>
      <c r="NKJ43" s="30"/>
      <c r="NKK43" s="30"/>
      <c r="NKL43" s="30"/>
      <c r="NKM43" s="30"/>
      <c r="NKN43" s="30"/>
      <c r="NKO43" s="30"/>
      <c r="NKP43" s="30"/>
      <c r="NKQ43" s="30"/>
      <c r="NKR43" s="30"/>
      <c r="NKS43" s="30"/>
      <c r="NKT43" s="30"/>
      <c r="NKU43" s="30"/>
      <c r="NKV43" s="30"/>
      <c r="NKW43" s="30"/>
      <c r="NKX43" s="30"/>
      <c r="NKY43" s="30"/>
      <c r="NKZ43" s="30"/>
      <c r="NLA43" s="30"/>
      <c r="NLB43" s="30"/>
      <c r="NLC43" s="30"/>
      <c r="NLD43" s="30"/>
      <c r="NLE43" s="30"/>
      <c r="NLF43" s="30"/>
      <c r="NLG43" s="30"/>
      <c r="NLH43" s="30"/>
      <c r="NLI43" s="30"/>
      <c r="NLJ43" s="30"/>
      <c r="NLK43" s="30"/>
      <c r="NLL43" s="30"/>
      <c r="NLM43" s="30"/>
      <c r="NLN43" s="30"/>
      <c r="NLO43" s="30"/>
      <c r="NLP43" s="30"/>
      <c r="NLQ43" s="30"/>
      <c r="NLR43" s="30"/>
      <c r="NLS43" s="30"/>
      <c r="NLT43" s="30"/>
      <c r="NLU43" s="30"/>
      <c r="NLV43" s="30"/>
      <c r="NLW43" s="30"/>
      <c r="NLX43" s="30"/>
      <c r="NLY43" s="30"/>
      <c r="NLZ43" s="30"/>
      <c r="NMA43" s="30"/>
      <c r="NMB43" s="30"/>
      <c r="NMC43" s="30"/>
      <c r="NMD43" s="30"/>
      <c r="NME43" s="30"/>
      <c r="NMF43" s="30"/>
      <c r="NMG43" s="30"/>
      <c r="NMH43" s="30"/>
      <c r="NMI43" s="30"/>
      <c r="NMJ43" s="30"/>
      <c r="NMK43" s="30"/>
      <c r="NML43" s="30"/>
      <c r="NMM43" s="30"/>
      <c r="NMN43" s="30"/>
      <c r="NMO43" s="30"/>
      <c r="NMP43" s="30"/>
      <c r="NMQ43" s="30"/>
      <c r="NMR43" s="30"/>
      <c r="NMS43" s="30"/>
      <c r="NMT43" s="30"/>
      <c r="NMU43" s="30"/>
      <c r="NMV43" s="30"/>
      <c r="NMW43" s="30"/>
      <c r="NMX43" s="30"/>
      <c r="NMY43" s="30"/>
      <c r="NMZ43" s="30"/>
      <c r="NNA43" s="30"/>
      <c r="NNB43" s="30"/>
      <c r="NNC43" s="30"/>
      <c r="NND43" s="30"/>
      <c r="NNE43" s="30"/>
      <c r="NNF43" s="30"/>
      <c r="NNG43" s="30"/>
      <c r="NNH43" s="30"/>
      <c r="NNI43" s="30"/>
      <c r="NNJ43" s="30"/>
      <c r="NNK43" s="30"/>
      <c r="NNL43" s="30"/>
      <c r="NNM43" s="30"/>
      <c r="NNN43" s="30"/>
      <c r="NNO43" s="30"/>
      <c r="NNP43" s="30"/>
      <c r="NNQ43" s="30"/>
      <c r="NNR43" s="30"/>
      <c r="NNS43" s="30"/>
      <c r="NNT43" s="30"/>
      <c r="NNU43" s="30"/>
      <c r="NNV43" s="30"/>
      <c r="NNW43" s="30"/>
      <c r="NNX43" s="30"/>
      <c r="NNY43" s="30"/>
      <c r="NNZ43" s="30"/>
      <c r="NOA43" s="30"/>
      <c r="NOB43" s="30"/>
      <c r="NOC43" s="30"/>
      <c r="NOD43" s="30"/>
      <c r="NOE43" s="30"/>
      <c r="NOF43" s="30"/>
      <c r="NOG43" s="30"/>
      <c r="NOH43" s="30"/>
      <c r="NOI43" s="30"/>
      <c r="NOJ43" s="30"/>
      <c r="NOK43" s="30"/>
      <c r="NOL43" s="30"/>
      <c r="NOM43" s="30"/>
      <c r="NON43" s="30"/>
      <c r="NOO43" s="30"/>
      <c r="NOP43" s="30"/>
      <c r="NOQ43" s="30"/>
      <c r="NOR43" s="30"/>
      <c r="NOS43" s="30"/>
      <c r="NOT43" s="30"/>
      <c r="NOU43" s="30"/>
      <c r="NOV43" s="30"/>
      <c r="NOW43" s="30"/>
      <c r="NOX43" s="30"/>
      <c r="NOY43" s="30"/>
      <c r="NOZ43" s="30"/>
      <c r="NPA43" s="30"/>
      <c r="NPB43" s="30"/>
      <c r="NPC43" s="30"/>
      <c r="NPD43" s="30"/>
      <c r="NPE43" s="30"/>
      <c r="NPF43" s="30"/>
      <c r="NPG43" s="30"/>
      <c r="NPH43" s="30"/>
      <c r="NPI43" s="30"/>
      <c r="NPJ43" s="30"/>
      <c r="NPK43" s="30"/>
      <c r="NPL43" s="30"/>
      <c r="NPM43" s="30"/>
      <c r="NPN43" s="30"/>
      <c r="NPO43" s="30"/>
      <c r="NPP43" s="30"/>
      <c r="NPQ43" s="30"/>
      <c r="NPR43" s="30"/>
      <c r="NPS43" s="30"/>
      <c r="NPT43" s="30"/>
      <c r="NPU43" s="30"/>
      <c r="NPV43" s="30"/>
      <c r="NPW43" s="30"/>
      <c r="NPX43" s="30"/>
      <c r="NPY43" s="30"/>
      <c r="NPZ43" s="30"/>
      <c r="NQA43" s="30"/>
      <c r="NQB43" s="30"/>
      <c r="NQC43" s="30"/>
      <c r="NQD43" s="30"/>
      <c r="NQE43" s="30"/>
      <c r="NQF43" s="30"/>
      <c r="NQG43" s="30"/>
      <c r="NQH43" s="30"/>
      <c r="NQI43" s="30"/>
      <c r="NQJ43" s="30"/>
      <c r="NQK43" s="30"/>
      <c r="NQL43" s="30"/>
      <c r="NQM43" s="30"/>
      <c r="NQN43" s="30"/>
      <c r="NQO43" s="30"/>
      <c r="NQP43" s="30"/>
      <c r="NQQ43" s="30"/>
      <c r="NQR43" s="30"/>
      <c r="NQS43" s="30"/>
      <c r="NQT43" s="30"/>
      <c r="NQU43" s="30"/>
      <c r="NQV43" s="30"/>
      <c r="NQW43" s="30"/>
      <c r="NQX43" s="30"/>
      <c r="NQY43" s="30"/>
      <c r="NQZ43" s="30"/>
      <c r="NRA43" s="30"/>
      <c r="NRB43" s="30"/>
      <c r="NRC43" s="30"/>
      <c r="NRD43" s="30"/>
      <c r="NRE43" s="30"/>
      <c r="NRF43" s="30"/>
      <c r="NRG43" s="30"/>
      <c r="NRH43" s="30"/>
      <c r="NRI43" s="30"/>
      <c r="NRJ43" s="30"/>
      <c r="NRK43" s="30"/>
      <c r="NRL43" s="30"/>
      <c r="NRM43" s="30"/>
      <c r="NRN43" s="30"/>
      <c r="NRO43" s="30"/>
      <c r="NRP43" s="30"/>
      <c r="NRQ43" s="30"/>
      <c r="NRR43" s="30"/>
      <c r="NRS43" s="30"/>
      <c r="NRT43" s="30"/>
      <c r="NRU43" s="30"/>
      <c r="NRV43" s="30"/>
      <c r="NRW43" s="30"/>
      <c r="NRX43" s="30"/>
      <c r="NRY43" s="30"/>
      <c r="NRZ43" s="30"/>
      <c r="NSA43" s="30"/>
      <c r="NSB43" s="30"/>
      <c r="NSC43" s="30"/>
      <c r="NSD43" s="30"/>
      <c r="NSE43" s="30"/>
      <c r="NSF43" s="30"/>
      <c r="NSG43" s="30"/>
      <c r="NSH43" s="30"/>
      <c r="NSI43" s="30"/>
      <c r="NSJ43" s="30"/>
      <c r="NSK43" s="30"/>
      <c r="NSL43" s="30"/>
      <c r="NSM43" s="30"/>
      <c r="NSN43" s="30"/>
      <c r="NSO43" s="30"/>
      <c r="NSP43" s="30"/>
      <c r="NSQ43" s="30"/>
      <c r="NSR43" s="30"/>
      <c r="NSS43" s="30"/>
      <c r="NST43" s="30"/>
      <c r="NSU43" s="30"/>
      <c r="NSV43" s="30"/>
      <c r="NSW43" s="30"/>
      <c r="NSX43" s="30"/>
      <c r="NSY43" s="30"/>
      <c r="NSZ43" s="30"/>
      <c r="NTA43" s="30"/>
      <c r="NTB43" s="30"/>
      <c r="NTC43" s="30"/>
      <c r="NTD43" s="30"/>
      <c r="NTE43" s="30"/>
      <c r="NTF43" s="30"/>
      <c r="NTG43" s="30"/>
      <c r="NTH43" s="30"/>
      <c r="NTI43" s="30"/>
      <c r="NTJ43" s="30"/>
      <c r="NTK43" s="30"/>
      <c r="NTL43" s="30"/>
      <c r="NTM43" s="30"/>
      <c r="NTN43" s="30"/>
      <c r="NTO43" s="30"/>
      <c r="NTP43" s="30"/>
      <c r="NTQ43" s="30"/>
      <c r="NTR43" s="30"/>
      <c r="NTS43" s="30"/>
      <c r="NTT43" s="30"/>
      <c r="NTU43" s="30"/>
      <c r="NTV43" s="30"/>
      <c r="NTW43" s="30"/>
      <c r="NTX43" s="30"/>
      <c r="NTY43" s="30"/>
      <c r="NTZ43" s="30"/>
      <c r="NUA43" s="30"/>
      <c r="NUB43" s="30"/>
      <c r="NUC43" s="30"/>
      <c r="NUD43" s="30"/>
      <c r="NUE43" s="30"/>
      <c r="NUF43" s="30"/>
      <c r="NUG43" s="30"/>
      <c r="NUH43" s="30"/>
      <c r="NUI43" s="30"/>
      <c r="NUJ43" s="30"/>
      <c r="NUK43" s="30"/>
      <c r="NUL43" s="30"/>
      <c r="NUM43" s="30"/>
      <c r="NUN43" s="30"/>
      <c r="NUO43" s="30"/>
      <c r="NUP43" s="30"/>
      <c r="NUQ43" s="30"/>
      <c r="NUR43" s="30"/>
      <c r="NUS43" s="30"/>
      <c r="NUT43" s="30"/>
      <c r="NUU43" s="30"/>
      <c r="NUV43" s="30"/>
      <c r="NUW43" s="30"/>
      <c r="NUX43" s="30"/>
      <c r="NUY43" s="30"/>
      <c r="NUZ43" s="30"/>
      <c r="NVA43" s="30"/>
      <c r="NVB43" s="30"/>
      <c r="NVC43" s="30"/>
      <c r="NVD43" s="30"/>
      <c r="NVE43" s="30"/>
      <c r="NVF43" s="30"/>
      <c r="NVG43" s="30"/>
      <c r="NVH43" s="30"/>
      <c r="NVI43" s="30"/>
      <c r="NVJ43" s="30"/>
      <c r="NVK43" s="30"/>
      <c r="NVL43" s="30"/>
      <c r="NVM43" s="30"/>
      <c r="NVN43" s="30"/>
      <c r="NVO43" s="30"/>
      <c r="NVP43" s="30"/>
      <c r="NVQ43" s="30"/>
      <c r="NVR43" s="30"/>
      <c r="NVS43" s="30"/>
      <c r="NVT43" s="30"/>
      <c r="NVU43" s="30"/>
      <c r="NVV43" s="30"/>
      <c r="NVW43" s="30"/>
      <c r="NVX43" s="30"/>
      <c r="NVY43" s="30"/>
      <c r="NVZ43" s="30"/>
      <c r="NWA43" s="30"/>
      <c r="NWB43" s="30"/>
      <c r="NWC43" s="30"/>
      <c r="NWD43" s="30"/>
      <c r="NWE43" s="30"/>
      <c r="NWF43" s="30"/>
      <c r="NWG43" s="30"/>
      <c r="NWH43" s="30"/>
      <c r="NWI43" s="30"/>
      <c r="NWJ43" s="30"/>
      <c r="NWK43" s="30"/>
      <c r="NWL43" s="30"/>
      <c r="NWM43" s="30"/>
      <c r="NWN43" s="30"/>
      <c r="NWO43" s="30"/>
      <c r="NWP43" s="30"/>
      <c r="NWQ43" s="30"/>
      <c r="NWR43" s="30"/>
      <c r="NWS43" s="30"/>
      <c r="NWT43" s="30"/>
      <c r="NWU43" s="30"/>
      <c r="NWV43" s="30"/>
      <c r="NWW43" s="30"/>
      <c r="NWX43" s="30"/>
      <c r="NWY43" s="30"/>
      <c r="NWZ43" s="30"/>
      <c r="NXA43" s="30"/>
      <c r="NXB43" s="30"/>
      <c r="NXC43" s="30"/>
      <c r="NXD43" s="30"/>
      <c r="NXE43" s="30"/>
      <c r="NXF43" s="30"/>
      <c r="NXG43" s="30"/>
      <c r="NXH43" s="30"/>
      <c r="NXI43" s="30"/>
      <c r="NXJ43" s="30"/>
      <c r="NXK43" s="30"/>
      <c r="NXL43" s="30"/>
      <c r="NXM43" s="30"/>
      <c r="NXN43" s="30"/>
      <c r="NXO43" s="30"/>
      <c r="NXP43" s="30"/>
      <c r="NXQ43" s="30"/>
      <c r="NXR43" s="30"/>
      <c r="NXS43" s="30"/>
      <c r="NXT43" s="30"/>
      <c r="NXU43" s="30"/>
      <c r="NXV43" s="30"/>
      <c r="NXW43" s="30"/>
      <c r="NXX43" s="30"/>
      <c r="NXY43" s="30"/>
      <c r="NXZ43" s="30"/>
      <c r="NYA43" s="30"/>
      <c r="NYB43" s="30"/>
      <c r="NYC43" s="30"/>
      <c r="NYD43" s="30"/>
      <c r="NYE43" s="30"/>
      <c r="NYF43" s="30"/>
      <c r="NYG43" s="30"/>
      <c r="NYH43" s="30"/>
      <c r="NYI43" s="30"/>
      <c r="NYJ43" s="30"/>
      <c r="NYK43" s="30"/>
      <c r="NYL43" s="30"/>
      <c r="NYM43" s="30"/>
      <c r="NYN43" s="30"/>
      <c r="NYO43" s="30"/>
      <c r="NYP43" s="30"/>
      <c r="NYQ43" s="30"/>
      <c r="NYR43" s="30"/>
      <c r="NYS43" s="30"/>
      <c r="NYT43" s="30"/>
      <c r="NYU43" s="30"/>
      <c r="NYV43" s="30"/>
      <c r="NYW43" s="30"/>
      <c r="NYX43" s="30"/>
      <c r="NYY43" s="30"/>
      <c r="NYZ43" s="30"/>
      <c r="NZA43" s="30"/>
      <c r="NZB43" s="30"/>
      <c r="NZC43" s="30"/>
      <c r="NZD43" s="30"/>
      <c r="NZE43" s="30"/>
      <c r="NZF43" s="30"/>
      <c r="NZG43" s="30"/>
      <c r="NZH43" s="30"/>
      <c r="NZI43" s="30"/>
      <c r="NZJ43" s="30"/>
      <c r="NZK43" s="30"/>
      <c r="NZL43" s="30"/>
      <c r="NZM43" s="30"/>
      <c r="NZN43" s="30"/>
      <c r="NZO43" s="30"/>
      <c r="NZP43" s="30"/>
      <c r="NZQ43" s="30"/>
      <c r="NZR43" s="30"/>
      <c r="NZS43" s="30"/>
      <c r="NZT43" s="30"/>
      <c r="NZU43" s="30"/>
      <c r="NZV43" s="30"/>
      <c r="NZW43" s="30"/>
      <c r="NZX43" s="30"/>
      <c r="NZY43" s="30"/>
      <c r="NZZ43" s="30"/>
      <c r="OAA43" s="30"/>
      <c r="OAB43" s="30"/>
      <c r="OAC43" s="30"/>
      <c r="OAD43" s="30"/>
      <c r="OAE43" s="30"/>
      <c r="OAF43" s="30"/>
      <c r="OAG43" s="30"/>
      <c r="OAH43" s="30"/>
      <c r="OAI43" s="30"/>
      <c r="OAJ43" s="30"/>
      <c r="OAK43" s="30"/>
      <c r="OAL43" s="30"/>
      <c r="OAM43" s="30"/>
      <c r="OAN43" s="30"/>
      <c r="OAO43" s="30"/>
      <c r="OAP43" s="30"/>
      <c r="OAQ43" s="30"/>
      <c r="OAR43" s="30"/>
      <c r="OAS43" s="30"/>
      <c r="OAT43" s="30"/>
      <c r="OAU43" s="30"/>
      <c r="OAV43" s="30"/>
      <c r="OAW43" s="30"/>
      <c r="OAX43" s="30"/>
      <c r="OAY43" s="30"/>
      <c r="OAZ43" s="30"/>
      <c r="OBA43" s="30"/>
      <c r="OBB43" s="30"/>
      <c r="OBC43" s="30"/>
      <c r="OBD43" s="30"/>
      <c r="OBE43" s="30"/>
      <c r="OBF43" s="30"/>
      <c r="OBG43" s="30"/>
      <c r="OBH43" s="30"/>
      <c r="OBI43" s="30"/>
      <c r="OBJ43" s="30"/>
      <c r="OBK43" s="30"/>
      <c r="OBL43" s="30"/>
      <c r="OBM43" s="30"/>
      <c r="OBN43" s="30"/>
      <c r="OBO43" s="30"/>
      <c r="OBP43" s="30"/>
      <c r="OBQ43" s="30"/>
      <c r="OBR43" s="30"/>
      <c r="OBS43" s="30"/>
      <c r="OBT43" s="30"/>
      <c r="OBU43" s="30"/>
      <c r="OBV43" s="30"/>
      <c r="OBW43" s="30"/>
      <c r="OBX43" s="30"/>
      <c r="OBY43" s="30"/>
      <c r="OBZ43" s="30"/>
      <c r="OCA43" s="30"/>
      <c r="OCB43" s="30"/>
      <c r="OCC43" s="30"/>
      <c r="OCD43" s="30"/>
      <c r="OCE43" s="30"/>
      <c r="OCF43" s="30"/>
      <c r="OCG43" s="30"/>
      <c r="OCH43" s="30"/>
      <c r="OCI43" s="30"/>
      <c r="OCJ43" s="30"/>
      <c r="OCK43" s="30"/>
      <c r="OCL43" s="30"/>
      <c r="OCM43" s="30"/>
      <c r="OCN43" s="30"/>
      <c r="OCO43" s="30"/>
      <c r="OCP43" s="30"/>
      <c r="OCQ43" s="30"/>
      <c r="OCR43" s="30"/>
      <c r="OCS43" s="30"/>
      <c r="OCT43" s="30"/>
      <c r="OCU43" s="30"/>
      <c r="OCV43" s="30"/>
      <c r="OCW43" s="30"/>
      <c r="OCX43" s="30"/>
      <c r="OCY43" s="30"/>
      <c r="OCZ43" s="30"/>
      <c r="ODA43" s="30"/>
      <c r="ODB43" s="30"/>
      <c r="ODC43" s="30"/>
      <c r="ODD43" s="30"/>
      <c r="ODE43" s="30"/>
      <c r="ODF43" s="30"/>
      <c r="ODG43" s="30"/>
      <c r="ODH43" s="30"/>
      <c r="ODI43" s="30"/>
      <c r="ODJ43" s="30"/>
      <c r="ODK43" s="30"/>
      <c r="ODL43" s="30"/>
      <c r="ODM43" s="30"/>
      <c r="ODN43" s="30"/>
      <c r="ODO43" s="30"/>
      <c r="ODP43" s="30"/>
      <c r="ODQ43" s="30"/>
      <c r="ODR43" s="30"/>
      <c r="ODS43" s="30"/>
      <c r="ODT43" s="30"/>
      <c r="ODU43" s="30"/>
      <c r="ODV43" s="30"/>
      <c r="ODW43" s="30"/>
      <c r="ODX43" s="30"/>
      <c r="ODY43" s="30"/>
      <c r="ODZ43" s="30"/>
      <c r="OEA43" s="30"/>
      <c r="OEB43" s="30"/>
      <c r="OEC43" s="30"/>
      <c r="OED43" s="30"/>
      <c r="OEE43" s="30"/>
      <c r="OEF43" s="30"/>
      <c r="OEG43" s="30"/>
      <c r="OEH43" s="30"/>
      <c r="OEI43" s="30"/>
      <c r="OEJ43" s="30"/>
      <c r="OEK43" s="30"/>
      <c r="OEL43" s="30"/>
      <c r="OEM43" s="30"/>
      <c r="OEN43" s="30"/>
      <c r="OEO43" s="30"/>
      <c r="OEP43" s="30"/>
      <c r="OEQ43" s="30"/>
      <c r="OER43" s="30"/>
      <c r="OES43" s="30"/>
      <c r="OET43" s="30"/>
      <c r="OEU43" s="30"/>
      <c r="OEV43" s="30"/>
      <c r="OEW43" s="30"/>
      <c r="OEX43" s="30"/>
      <c r="OEY43" s="30"/>
      <c r="OEZ43" s="30"/>
      <c r="OFA43" s="30"/>
      <c r="OFB43" s="30"/>
      <c r="OFC43" s="30"/>
      <c r="OFD43" s="30"/>
      <c r="OFE43" s="30"/>
      <c r="OFF43" s="30"/>
      <c r="OFG43" s="30"/>
      <c r="OFH43" s="30"/>
      <c r="OFI43" s="30"/>
      <c r="OFJ43" s="30"/>
      <c r="OFK43" s="30"/>
      <c r="OFL43" s="30"/>
      <c r="OFM43" s="30"/>
      <c r="OFN43" s="30"/>
      <c r="OFO43" s="30"/>
      <c r="OFP43" s="30"/>
      <c r="OFQ43" s="30"/>
      <c r="OFR43" s="30"/>
      <c r="OFS43" s="30"/>
      <c r="OFT43" s="30"/>
      <c r="OFU43" s="30"/>
      <c r="OFV43" s="30"/>
      <c r="OFW43" s="30"/>
      <c r="OFX43" s="30"/>
      <c r="OFY43" s="30"/>
      <c r="OFZ43" s="30"/>
      <c r="OGA43" s="30"/>
      <c r="OGB43" s="30"/>
      <c r="OGC43" s="30"/>
      <c r="OGD43" s="30"/>
      <c r="OGE43" s="30"/>
      <c r="OGF43" s="30"/>
      <c r="OGG43" s="30"/>
      <c r="OGH43" s="30"/>
      <c r="OGI43" s="30"/>
      <c r="OGJ43" s="30"/>
      <c r="OGK43" s="30"/>
      <c r="OGL43" s="30"/>
      <c r="OGM43" s="30"/>
      <c r="OGN43" s="30"/>
      <c r="OGO43" s="30"/>
      <c r="OGP43" s="30"/>
      <c r="OGQ43" s="30"/>
      <c r="OGR43" s="30"/>
      <c r="OGS43" s="30"/>
      <c r="OGT43" s="30"/>
      <c r="OGU43" s="30"/>
      <c r="OGV43" s="30"/>
      <c r="OGW43" s="30"/>
      <c r="OGX43" s="30"/>
      <c r="OGY43" s="30"/>
      <c r="OGZ43" s="30"/>
      <c r="OHA43" s="30"/>
      <c r="OHB43" s="30"/>
      <c r="OHC43" s="30"/>
      <c r="OHD43" s="30"/>
      <c r="OHE43" s="30"/>
      <c r="OHF43" s="30"/>
      <c r="OHG43" s="30"/>
      <c r="OHH43" s="30"/>
      <c r="OHI43" s="30"/>
      <c r="OHJ43" s="30"/>
      <c r="OHK43" s="30"/>
      <c r="OHL43" s="30"/>
      <c r="OHM43" s="30"/>
      <c r="OHN43" s="30"/>
      <c r="OHO43" s="30"/>
      <c r="OHP43" s="30"/>
      <c r="OHQ43" s="30"/>
      <c r="OHR43" s="30"/>
      <c r="OHS43" s="30"/>
      <c r="OHT43" s="30"/>
      <c r="OHU43" s="30"/>
      <c r="OHV43" s="30"/>
      <c r="OHW43" s="30"/>
      <c r="OHX43" s="30"/>
      <c r="OHY43" s="30"/>
      <c r="OHZ43" s="30"/>
      <c r="OIA43" s="30"/>
      <c r="OIB43" s="30"/>
      <c r="OIC43" s="30"/>
      <c r="OID43" s="30"/>
      <c r="OIE43" s="30"/>
      <c r="OIF43" s="30"/>
      <c r="OIG43" s="30"/>
      <c r="OIH43" s="30"/>
      <c r="OII43" s="30"/>
      <c r="OIJ43" s="30"/>
      <c r="OIK43" s="30"/>
      <c r="OIL43" s="30"/>
      <c r="OIM43" s="30"/>
      <c r="OIN43" s="30"/>
      <c r="OIO43" s="30"/>
      <c r="OIP43" s="30"/>
      <c r="OIQ43" s="30"/>
      <c r="OIR43" s="30"/>
      <c r="OIS43" s="30"/>
      <c r="OIT43" s="30"/>
      <c r="OIU43" s="30"/>
      <c r="OIV43" s="30"/>
      <c r="OIW43" s="30"/>
      <c r="OIX43" s="30"/>
      <c r="OIY43" s="30"/>
      <c r="OIZ43" s="30"/>
      <c r="OJA43" s="30"/>
      <c r="OJB43" s="30"/>
      <c r="OJC43" s="30"/>
      <c r="OJD43" s="30"/>
      <c r="OJE43" s="30"/>
      <c r="OJF43" s="30"/>
      <c r="OJG43" s="30"/>
      <c r="OJH43" s="30"/>
      <c r="OJI43" s="30"/>
      <c r="OJJ43" s="30"/>
      <c r="OJK43" s="30"/>
      <c r="OJL43" s="30"/>
      <c r="OJM43" s="30"/>
      <c r="OJN43" s="30"/>
      <c r="OJO43" s="30"/>
      <c r="OJP43" s="30"/>
      <c r="OJQ43" s="30"/>
      <c r="OJR43" s="30"/>
      <c r="OJS43" s="30"/>
      <c r="OJT43" s="30"/>
      <c r="OJU43" s="30"/>
      <c r="OJV43" s="30"/>
      <c r="OJW43" s="30"/>
      <c r="OJX43" s="30"/>
      <c r="OJY43" s="30"/>
      <c r="OJZ43" s="30"/>
      <c r="OKA43" s="30"/>
      <c r="OKB43" s="30"/>
      <c r="OKC43" s="30"/>
      <c r="OKD43" s="30"/>
      <c r="OKE43" s="30"/>
      <c r="OKF43" s="30"/>
      <c r="OKG43" s="30"/>
      <c r="OKH43" s="30"/>
      <c r="OKI43" s="30"/>
      <c r="OKJ43" s="30"/>
      <c r="OKK43" s="30"/>
      <c r="OKL43" s="30"/>
      <c r="OKM43" s="30"/>
      <c r="OKN43" s="30"/>
      <c r="OKO43" s="30"/>
      <c r="OKP43" s="30"/>
      <c r="OKQ43" s="30"/>
      <c r="OKR43" s="30"/>
      <c r="OKS43" s="30"/>
      <c r="OKT43" s="30"/>
      <c r="OKU43" s="30"/>
      <c r="OKV43" s="30"/>
      <c r="OKW43" s="30"/>
      <c r="OKX43" s="30"/>
      <c r="OKY43" s="30"/>
      <c r="OKZ43" s="30"/>
      <c r="OLA43" s="30"/>
      <c r="OLB43" s="30"/>
      <c r="OLC43" s="30"/>
      <c r="OLD43" s="30"/>
      <c r="OLE43" s="30"/>
      <c r="OLF43" s="30"/>
      <c r="OLG43" s="30"/>
      <c r="OLH43" s="30"/>
      <c r="OLI43" s="30"/>
      <c r="OLJ43" s="30"/>
      <c r="OLK43" s="30"/>
      <c r="OLL43" s="30"/>
      <c r="OLM43" s="30"/>
      <c r="OLN43" s="30"/>
      <c r="OLO43" s="30"/>
      <c r="OLP43" s="30"/>
      <c r="OLQ43" s="30"/>
      <c r="OLR43" s="30"/>
      <c r="OLS43" s="30"/>
      <c r="OLT43" s="30"/>
      <c r="OLU43" s="30"/>
      <c r="OLV43" s="30"/>
      <c r="OLW43" s="30"/>
      <c r="OLX43" s="30"/>
      <c r="OLY43" s="30"/>
      <c r="OLZ43" s="30"/>
      <c r="OMA43" s="30"/>
      <c r="OMB43" s="30"/>
      <c r="OMC43" s="30"/>
      <c r="OMD43" s="30"/>
      <c r="OME43" s="30"/>
      <c r="OMF43" s="30"/>
      <c r="OMG43" s="30"/>
      <c r="OMH43" s="30"/>
      <c r="OMI43" s="30"/>
      <c r="OMJ43" s="30"/>
      <c r="OMK43" s="30"/>
      <c r="OML43" s="30"/>
      <c r="OMM43" s="30"/>
      <c r="OMN43" s="30"/>
      <c r="OMO43" s="30"/>
      <c r="OMP43" s="30"/>
      <c r="OMQ43" s="30"/>
      <c r="OMR43" s="30"/>
      <c r="OMS43" s="30"/>
      <c r="OMT43" s="30"/>
      <c r="OMU43" s="30"/>
      <c r="OMV43" s="30"/>
      <c r="OMW43" s="30"/>
      <c r="OMX43" s="30"/>
      <c r="OMY43" s="30"/>
      <c r="OMZ43" s="30"/>
      <c r="ONA43" s="30"/>
      <c r="ONB43" s="30"/>
      <c r="ONC43" s="30"/>
      <c r="OND43" s="30"/>
      <c r="ONE43" s="30"/>
      <c r="ONF43" s="30"/>
      <c r="ONG43" s="30"/>
      <c r="ONH43" s="30"/>
      <c r="ONI43" s="30"/>
      <c r="ONJ43" s="30"/>
      <c r="ONK43" s="30"/>
      <c r="ONL43" s="30"/>
      <c r="ONM43" s="30"/>
      <c r="ONN43" s="30"/>
      <c r="ONO43" s="30"/>
      <c r="ONP43" s="30"/>
      <c r="ONQ43" s="30"/>
      <c r="ONR43" s="30"/>
      <c r="ONS43" s="30"/>
      <c r="ONT43" s="30"/>
      <c r="ONU43" s="30"/>
      <c r="ONV43" s="30"/>
      <c r="ONW43" s="30"/>
      <c r="ONX43" s="30"/>
      <c r="ONY43" s="30"/>
      <c r="ONZ43" s="30"/>
      <c r="OOA43" s="30"/>
      <c r="OOB43" s="30"/>
      <c r="OOC43" s="30"/>
      <c r="OOD43" s="30"/>
      <c r="OOE43" s="30"/>
      <c r="OOF43" s="30"/>
      <c r="OOG43" s="30"/>
      <c r="OOH43" s="30"/>
      <c r="OOI43" s="30"/>
      <c r="OOJ43" s="30"/>
      <c r="OOK43" s="30"/>
      <c r="OOL43" s="30"/>
      <c r="OOM43" s="30"/>
      <c r="OON43" s="30"/>
      <c r="OOO43" s="30"/>
      <c r="OOP43" s="30"/>
      <c r="OOQ43" s="30"/>
      <c r="OOR43" s="30"/>
      <c r="OOS43" s="30"/>
      <c r="OOT43" s="30"/>
      <c r="OOU43" s="30"/>
      <c r="OOV43" s="30"/>
      <c r="OOW43" s="30"/>
      <c r="OOX43" s="30"/>
      <c r="OOY43" s="30"/>
      <c r="OOZ43" s="30"/>
      <c r="OPA43" s="30"/>
      <c r="OPB43" s="30"/>
      <c r="OPC43" s="30"/>
      <c r="OPD43" s="30"/>
      <c r="OPE43" s="30"/>
      <c r="OPF43" s="30"/>
      <c r="OPG43" s="30"/>
      <c r="OPH43" s="30"/>
      <c r="OPI43" s="30"/>
      <c r="OPJ43" s="30"/>
      <c r="OPK43" s="30"/>
      <c r="OPL43" s="30"/>
      <c r="OPM43" s="30"/>
      <c r="OPN43" s="30"/>
      <c r="OPO43" s="30"/>
      <c r="OPP43" s="30"/>
      <c r="OPQ43" s="30"/>
      <c r="OPR43" s="30"/>
      <c r="OPS43" s="30"/>
      <c r="OPT43" s="30"/>
      <c r="OPU43" s="30"/>
      <c r="OPV43" s="30"/>
      <c r="OPW43" s="30"/>
      <c r="OPX43" s="30"/>
      <c r="OPY43" s="30"/>
      <c r="OPZ43" s="30"/>
      <c r="OQA43" s="30"/>
      <c r="OQB43" s="30"/>
      <c r="OQC43" s="30"/>
      <c r="OQD43" s="30"/>
      <c r="OQE43" s="30"/>
      <c r="OQF43" s="30"/>
      <c r="OQG43" s="30"/>
      <c r="OQH43" s="30"/>
      <c r="OQI43" s="30"/>
      <c r="OQJ43" s="30"/>
      <c r="OQK43" s="30"/>
      <c r="OQL43" s="30"/>
      <c r="OQM43" s="30"/>
      <c r="OQN43" s="30"/>
      <c r="OQO43" s="30"/>
      <c r="OQP43" s="30"/>
      <c r="OQQ43" s="30"/>
      <c r="OQR43" s="30"/>
      <c r="OQS43" s="30"/>
      <c r="OQT43" s="30"/>
      <c r="OQU43" s="30"/>
      <c r="OQV43" s="30"/>
      <c r="OQW43" s="30"/>
      <c r="OQX43" s="30"/>
      <c r="OQY43" s="30"/>
      <c r="OQZ43" s="30"/>
      <c r="ORA43" s="30"/>
      <c r="ORB43" s="30"/>
      <c r="ORC43" s="30"/>
      <c r="ORD43" s="30"/>
      <c r="ORE43" s="30"/>
      <c r="ORF43" s="30"/>
      <c r="ORG43" s="30"/>
      <c r="ORH43" s="30"/>
      <c r="ORI43" s="30"/>
      <c r="ORJ43" s="30"/>
      <c r="ORK43" s="30"/>
      <c r="ORL43" s="30"/>
      <c r="ORM43" s="30"/>
      <c r="ORN43" s="30"/>
      <c r="ORO43" s="30"/>
      <c r="ORP43" s="30"/>
      <c r="ORQ43" s="30"/>
      <c r="ORR43" s="30"/>
      <c r="ORS43" s="30"/>
      <c r="ORT43" s="30"/>
      <c r="ORU43" s="30"/>
      <c r="ORV43" s="30"/>
      <c r="ORW43" s="30"/>
      <c r="ORX43" s="30"/>
      <c r="ORY43" s="30"/>
      <c r="ORZ43" s="30"/>
      <c r="OSA43" s="30"/>
      <c r="OSB43" s="30"/>
      <c r="OSC43" s="30"/>
      <c r="OSD43" s="30"/>
      <c r="OSE43" s="30"/>
      <c r="OSF43" s="30"/>
      <c r="OSG43" s="30"/>
      <c r="OSH43" s="30"/>
      <c r="OSI43" s="30"/>
      <c r="OSJ43" s="30"/>
      <c r="OSK43" s="30"/>
      <c r="OSL43" s="30"/>
      <c r="OSM43" s="30"/>
      <c r="OSN43" s="30"/>
      <c r="OSO43" s="30"/>
      <c r="OSP43" s="30"/>
      <c r="OSQ43" s="30"/>
      <c r="OSR43" s="30"/>
      <c r="OSS43" s="30"/>
      <c r="OST43" s="30"/>
      <c r="OSU43" s="30"/>
      <c r="OSV43" s="30"/>
      <c r="OSW43" s="30"/>
      <c r="OSX43" s="30"/>
      <c r="OSY43" s="30"/>
      <c r="OSZ43" s="30"/>
      <c r="OTA43" s="30"/>
      <c r="OTB43" s="30"/>
      <c r="OTC43" s="30"/>
      <c r="OTD43" s="30"/>
      <c r="OTE43" s="30"/>
      <c r="OTF43" s="30"/>
      <c r="OTG43" s="30"/>
      <c r="OTH43" s="30"/>
      <c r="OTI43" s="30"/>
      <c r="OTJ43" s="30"/>
      <c r="OTK43" s="30"/>
      <c r="OTL43" s="30"/>
      <c r="OTM43" s="30"/>
      <c r="OTN43" s="30"/>
      <c r="OTO43" s="30"/>
      <c r="OTP43" s="30"/>
      <c r="OTQ43" s="30"/>
      <c r="OTR43" s="30"/>
      <c r="OTS43" s="30"/>
      <c r="OTT43" s="30"/>
      <c r="OTU43" s="30"/>
      <c r="OTV43" s="30"/>
      <c r="OTW43" s="30"/>
      <c r="OTX43" s="30"/>
      <c r="OTY43" s="30"/>
      <c r="OTZ43" s="30"/>
      <c r="OUA43" s="30"/>
      <c r="OUB43" s="30"/>
      <c r="OUC43" s="30"/>
      <c r="OUD43" s="30"/>
      <c r="OUE43" s="30"/>
      <c r="OUF43" s="30"/>
      <c r="OUG43" s="30"/>
      <c r="OUH43" s="30"/>
      <c r="OUI43" s="30"/>
      <c r="OUJ43" s="30"/>
      <c r="OUK43" s="30"/>
      <c r="OUL43" s="30"/>
      <c r="OUM43" s="30"/>
      <c r="OUN43" s="30"/>
      <c r="OUO43" s="30"/>
      <c r="OUP43" s="30"/>
      <c r="OUQ43" s="30"/>
      <c r="OUR43" s="30"/>
      <c r="OUS43" s="30"/>
      <c r="OUT43" s="30"/>
      <c r="OUU43" s="30"/>
      <c r="OUV43" s="30"/>
      <c r="OUW43" s="30"/>
      <c r="OUX43" s="30"/>
      <c r="OUY43" s="30"/>
      <c r="OUZ43" s="30"/>
      <c r="OVA43" s="30"/>
      <c r="OVB43" s="30"/>
      <c r="OVC43" s="30"/>
      <c r="OVD43" s="30"/>
      <c r="OVE43" s="30"/>
      <c r="OVF43" s="30"/>
      <c r="OVG43" s="30"/>
      <c r="OVH43" s="30"/>
      <c r="OVI43" s="30"/>
      <c r="OVJ43" s="30"/>
      <c r="OVK43" s="30"/>
      <c r="OVL43" s="30"/>
      <c r="OVM43" s="30"/>
      <c r="OVN43" s="30"/>
      <c r="OVO43" s="30"/>
      <c r="OVP43" s="30"/>
      <c r="OVQ43" s="30"/>
      <c r="OVR43" s="30"/>
      <c r="OVS43" s="30"/>
      <c r="OVT43" s="30"/>
      <c r="OVU43" s="30"/>
      <c r="OVV43" s="30"/>
      <c r="OVW43" s="30"/>
      <c r="OVX43" s="30"/>
      <c r="OVY43" s="30"/>
      <c r="OVZ43" s="30"/>
      <c r="OWA43" s="30"/>
      <c r="OWB43" s="30"/>
      <c r="OWC43" s="30"/>
      <c r="OWD43" s="30"/>
      <c r="OWE43" s="30"/>
      <c r="OWF43" s="30"/>
      <c r="OWG43" s="30"/>
      <c r="OWH43" s="30"/>
      <c r="OWI43" s="30"/>
      <c r="OWJ43" s="30"/>
      <c r="OWK43" s="30"/>
      <c r="OWL43" s="30"/>
      <c r="OWM43" s="30"/>
      <c r="OWN43" s="30"/>
      <c r="OWO43" s="30"/>
      <c r="OWP43" s="30"/>
      <c r="OWQ43" s="30"/>
      <c r="OWR43" s="30"/>
      <c r="OWS43" s="30"/>
      <c r="OWT43" s="30"/>
      <c r="OWU43" s="30"/>
      <c r="OWV43" s="30"/>
      <c r="OWW43" s="30"/>
      <c r="OWX43" s="30"/>
      <c r="OWY43" s="30"/>
      <c r="OWZ43" s="30"/>
      <c r="OXA43" s="30"/>
      <c r="OXB43" s="30"/>
      <c r="OXC43" s="30"/>
      <c r="OXD43" s="30"/>
      <c r="OXE43" s="30"/>
      <c r="OXF43" s="30"/>
      <c r="OXG43" s="30"/>
      <c r="OXH43" s="30"/>
      <c r="OXI43" s="30"/>
      <c r="OXJ43" s="30"/>
      <c r="OXK43" s="30"/>
      <c r="OXL43" s="30"/>
      <c r="OXM43" s="30"/>
      <c r="OXN43" s="30"/>
      <c r="OXO43" s="30"/>
      <c r="OXP43" s="30"/>
      <c r="OXQ43" s="30"/>
      <c r="OXR43" s="30"/>
      <c r="OXS43" s="30"/>
      <c r="OXT43" s="30"/>
      <c r="OXU43" s="30"/>
      <c r="OXV43" s="30"/>
      <c r="OXW43" s="30"/>
      <c r="OXX43" s="30"/>
      <c r="OXY43" s="30"/>
      <c r="OXZ43" s="30"/>
      <c r="OYA43" s="30"/>
      <c r="OYB43" s="30"/>
      <c r="OYC43" s="30"/>
      <c r="OYD43" s="30"/>
      <c r="OYE43" s="30"/>
      <c r="OYF43" s="30"/>
      <c r="OYG43" s="30"/>
      <c r="OYH43" s="30"/>
      <c r="OYI43" s="30"/>
      <c r="OYJ43" s="30"/>
      <c r="OYK43" s="30"/>
      <c r="OYL43" s="30"/>
      <c r="OYM43" s="30"/>
      <c r="OYN43" s="30"/>
      <c r="OYO43" s="30"/>
      <c r="OYP43" s="30"/>
      <c r="OYQ43" s="30"/>
      <c r="OYR43" s="30"/>
      <c r="OYS43" s="30"/>
      <c r="OYT43" s="30"/>
      <c r="OYU43" s="30"/>
      <c r="OYV43" s="30"/>
      <c r="OYW43" s="30"/>
      <c r="OYX43" s="30"/>
      <c r="OYY43" s="30"/>
      <c r="OYZ43" s="30"/>
      <c r="OZA43" s="30"/>
      <c r="OZB43" s="30"/>
      <c r="OZC43" s="30"/>
      <c r="OZD43" s="30"/>
      <c r="OZE43" s="30"/>
      <c r="OZF43" s="30"/>
      <c r="OZG43" s="30"/>
      <c r="OZH43" s="30"/>
      <c r="OZI43" s="30"/>
      <c r="OZJ43" s="30"/>
      <c r="OZK43" s="30"/>
      <c r="OZL43" s="30"/>
      <c r="OZM43" s="30"/>
      <c r="OZN43" s="30"/>
      <c r="OZO43" s="30"/>
      <c r="OZP43" s="30"/>
      <c r="OZQ43" s="30"/>
      <c r="OZR43" s="30"/>
      <c r="OZS43" s="30"/>
      <c r="OZT43" s="30"/>
      <c r="OZU43" s="30"/>
      <c r="OZV43" s="30"/>
      <c r="OZW43" s="30"/>
      <c r="OZX43" s="30"/>
      <c r="OZY43" s="30"/>
      <c r="OZZ43" s="30"/>
      <c r="PAA43" s="30"/>
      <c r="PAB43" s="30"/>
      <c r="PAC43" s="30"/>
      <c r="PAD43" s="30"/>
      <c r="PAE43" s="30"/>
      <c r="PAF43" s="30"/>
      <c r="PAG43" s="30"/>
      <c r="PAH43" s="30"/>
      <c r="PAI43" s="30"/>
      <c r="PAJ43" s="30"/>
      <c r="PAK43" s="30"/>
      <c r="PAL43" s="30"/>
      <c r="PAM43" s="30"/>
      <c r="PAN43" s="30"/>
      <c r="PAO43" s="30"/>
      <c r="PAP43" s="30"/>
      <c r="PAQ43" s="30"/>
      <c r="PAR43" s="30"/>
      <c r="PAS43" s="30"/>
      <c r="PAT43" s="30"/>
      <c r="PAU43" s="30"/>
      <c r="PAV43" s="30"/>
      <c r="PAW43" s="30"/>
      <c r="PAX43" s="30"/>
      <c r="PAY43" s="30"/>
      <c r="PAZ43" s="30"/>
      <c r="PBA43" s="30"/>
      <c r="PBB43" s="30"/>
      <c r="PBC43" s="30"/>
      <c r="PBD43" s="30"/>
      <c r="PBE43" s="30"/>
      <c r="PBF43" s="30"/>
      <c r="PBG43" s="30"/>
      <c r="PBH43" s="30"/>
      <c r="PBI43" s="30"/>
      <c r="PBJ43" s="30"/>
      <c r="PBK43" s="30"/>
      <c r="PBL43" s="30"/>
      <c r="PBM43" s="30"/>
      <c r="PBN43" s="30"/>
      <c r="PBO43" s="30"/>
      <c r="PBP43" s="30"/>
      <c r="PBQ43" s="30"/>
      <c r="PBR43" s="30"/>
      <c r="PBS43" s="30"/>
      <c r="PBT43" s="30"/>
      <c r="PBU43" s="30"/>
      <c r="PBV43" s="30"/>
      <c r="PBW43" s="30"/>
      <c r="PBX43" s="30"/>
      <c r="PBY43" s="30"/>
      <c r="PBZ43" s="30"/>
      <c r="PCA43" s="30"/>
      <c r="PCB43" s="30"/>
      <c r="PCC43" s="30"/>
      <c r="PCD43" s="30"/>
      <c r="PCE43" s="30"/>
      <c r="PCF43" s="30"/>
      <c r="PCG43" s="30"/>
      <c r="PCH43" s="30"/>
      <c r="PCI43" s="30"/>
      <c r="PCJ43" s="30"/>
      <c r="PCK43" s="30"/>
      <c r="PCL43" s="30"/>
      <c r="PCM43" s="30"/>
      <c r="PCN43" s="30"/>
      <c r="PCO43" s="30"/>
      <c r="PCP43" s="30"/>
      <c r="PCQ43" s="30"/>
      <c r="PCR43" s="30"/>
      <c r="PCS43" s="30"/>
      <c r="PCT43" s="30"/>
      <c r="PCU43" s="30"/>
      <c r="PCV43" s="30"/>
      <c r="PCW43" s="30"/>
      <c r="PCX43" s="30"/>
      <c r="PCY43" s="30"/>
      <c r="PCZ43" s="30"/>
      <c r="PDA43" s="30"/>
      <c r="PDB43" s="30"/>
      <c r="PDC43" s="30"/>
      <c r="PDD43" s="30"/>
      <c r="PDE43" s="30"/>
      <c r="PDF43" s="30"/>
      <c r="PDG43" s="30"/>
      <c r="PDH43" s="30"/>
      <c r="PDI43" s="30"/>
      <c r="PDJ43" s="30"/>
      <c r="PDK43" s="30"/>
      <c r="PDL43" s="30"/>
      <c r="PDM43" s="30"/>
      <c r="PDN43" s="30"/>
      <c r="PDO43" s="30"/>
      <c r="PDP43" s="30"/>
      <c r="PDQ43" s="30"/>
      <c r="PDR43" s="30"/>
      <c r="PDS43" s="30"/>
      <c r="PDT43" s="30"/>
      <c r="PDU43" s="30"/>
      <c r="PDV43" s="30"/>
      <c r="PDW43" s="30"/>
      <c r="PDX43" s="30"/>
      <c r="PDY43" s="30"/>
      <c r="PDZ43" s="30"/>
      <c r="PEA43" s="30"/>
      <c r="PEB43" s="30"/>
      <c r="PEC43" s="30"/>
      <c r="PED43" s="30"/>
      <c r="PEE43" s="30"/>
      <c r="PEF43" s="30"/>
      <c r="PEG43" s="30"/>
      <c r="PEH43" s="30"/>
      <c r="PEI43" s="30"/>
      <c r="PEJ43" s="30"/>
      <c r="PEK43" s="30"/>
      <c r="PEL43" s="30"/>
      <c r="PEM43" s="30"/>
      <c r="PEN43" s="30"/>
      <c r="PEO43" s="30"/>
      <c r="PEP43" s="30"/>
      <c r="PEQ43" s="30"/>
      <c r="PER43" s="30"/>
      <c r="PES43" s="30"/>
      <c r="PET43" s="30"/>
      <c r="PEU43" s="30"/>
      <c r="PEV43" s="30"/>
      <c r="PEW43" s="30"/>
      <c r="PEX43" s="30"/>
      <c r="PEY43" s="30"/>
      <c r="PEZ43" s="30"/>
      <c r="PFA43" s="30"/>
      <c r="PFB43" s="30"/>
      <c r="PFC43" s="30"/>
      <c r="PFD43" s="30"/>
      <c r="PFE43" s="30"/>
      <c r="PFF43" s="30"/>
      <c r="PFG43" s="30"/>
      <c r="PFH43" s="30"/>
      <c r="PFI43" s="30"/>
      <c r="PFJ43" s="30"/>
      <c r="PFK43" s="30"/>
      <c r="PFL43" s="30"/>
      <c r="PFM43" s="30"/>
      <c r="PFN43" s="30"/>
      <c r="PFO43" s="30"/>
      <c r="PFP43" s="30"/>
      <c r="PFQ43" s="30"/>
      <c r="PFR43" s="30"/>
      <c r="PFS43" s="30"/>
      <c r="PFT43" s="30"/>
      <c r="PFU43" s="30"/>
      <c r="PFV43" s="30"/>
      <c r="PFW43" s="30"/>
      <c r="PFX43" s="30"/>
      <c r="PFY43" s="30"/>
      <c r="PFZ43" s="30"/>
      <c r="PGA43" s="30"/>
      <c r="PGB43" s="30"/>
      <c r="PGC43" s="30"/>
      <c r="PGD43" s="30"/>
      <c r="PGE43" s="30"/>
      <c r="PGF43" s="30"/>
      <c r="PGG43" s="30"/>
      <c r="PGH43" s="30"/>
      <c r="PGI43" s="30"/>
      <c r="PGJ43" s="30"/>
      <c r="PGK43" s="30"/>
      <c r="PGL43" s="30"/>
      <c r="PGM43" s="30"/>
      <c r="PGN43" s="30"/>
      <c r="PGO43" s="30"/>
      <c r="PGP43" s="30"/>
      <c r="PGQ43" s="30"/>
      <c r="PGR43" s="30"/>
      <c r="PGS43" s="30"/>
      <c r="PGT43" s="30"/>
      <c r="PGU43" s="30"/>
      <c r="PGV43" s="30"/>
      <c r="PGW43" s="30"/>
      <c r="PGX43" s="30"/>
      <c r="PGY43" s="30"/>
      <c r="PGZ43" s="30"/>
      <c r="PHA43" s="30"/>
      <c r="PHB43" s="30"/>
      <c r="PHC43" s="30"/>
      <c r="PHD43" s="30"/>
      <c r="PHE43" s="30"/>
      <c r="PHF43" s="30"/>
      <c r="PHG43" s="30"/>
      <c r="PHH43" s="30"/>
      <c r="PHI43" s="30"/>
      <c r="PHJ43" s="30"/>
      <c r="PHK43" s="30"/>
      <c r="PHL43" s="30"/>
      <c r="PHM43" s="30"/>
      <c r="PHN43" s="30"/>
      <c r="PHO43" s="30"/>
      <c r="PHP43" s="30"/>
      <c r="PHQ43" s="30"/>
      <c r="PHR43" s="30"/>
      <c r="PHS43" s="30"/>
      <c r="PHT43" s="30"/>
      <c r="PHU43" s="30"/>
      <c r="PHV43" s="30"/>
      <c r="PHW43" s="30"/>
      <c r="PHX43" s="30"/>
      <c r="PHY43" s="30"/>
      <c r="PHZ43" s="30"/>
      <c r="PIA43" s="30"/>
      <c r="PIB43" s="30"/>
      <c r="PIC43" s="30"/>
      <c r="PID43" s="30"/>
      <c r="PIE43" s="30"/>
      <c r="PIF43" s="30"/>
      <c r="PIG43" s="30"/>
      <c r="PIH43" s="30"/>
      <c r="PII43" s="30"/>
      <c r="PIJ43" s="30"/>
      <c r="PIK43" s="30"/>
      <c r="PIL43" s="30"/>
      <c r="PIM43" s="30"/>
      <c r="PIN43" s="30"/>
      <c r="PIO43" s="30"/>
      <c r="PIP43" s="30"/>
      <c r="PIQ43" s="30"/>
      <c r="PIR43" s="30"/>
      <c r="PIS43" s="30"/>
      <c r="PIT43" s="30"/>
      <c r="PIU43" s="30"/>
      <c r="PIV43" s="30"/>
      <c r="PIW43" s="30"/>
      <c r="PIX43" s="30"/>
      <c r="PIY43" s="30"/>
      <c r="PIZ43" s="30"/>
      <c r="PJA43" s="30"/>
      <c r="PJB43" s="30"/>
      <c r="PJC43" s="30"/>
      <c r="PJD43" s="30"/>
      <c r="PJE43" s="30"/>
      <c r="PJF43" s="30"/>
      <c r="PJG43" s="30"/>
      <c r="PJH43" s="30"/>
      <c r="PJI43" s="30"/>
      <c r="PJJ43" s="30"/>
      <c r="PJK43" s="30"/>
      <c r="PJL43" s="30"/>
      <c r="PJM43" s="30"/>
      <c r="PJN43" s="30"/>
      <c r="PJO43" s="30"/>
      <c r="PJP43" s="30"/>
      <c r="PJQ43" s="30"/>
      <c r="PJR43" s="30"/>
      <c r="PJS43" s="30"/>
      <c r="PJT43" s="30"/>
      <c r="PJU43" s="30"/>
      <c r="PJV43" s="30"/>
      <c r="PJW43" s="30"/>
      <c r="PJX43" s="30"/>
      <c r="PJY43" s="30"/>
      <c r="PJZ43" s="30"/>
      <c r="PKA43" s="30"/>
      <c r="PKB43" s="30"/>
      <c r="PKC43" s="30"/>
      <c r="PKD43" s="30"/>
      <c r="PKE43" s="30"/>
      <c r="PKF43" s="30"/>
      <c r="PKG43" s="30"/>
      <c r="PKH43" s="30"/>
      <c r="PKI43" s="30"/>
      <c r="PKJ43" s="30"/>
      <c r="PKK43" s="30"/>
      <c r="PKL43" s="30"/>
      <c r="PKM43" s="30"/>
      <c r="PKN43" s="30"/>
      <c r="PKO43" s="30"/>
      <c r="PKP43" s="30"/>
      <c r="PKQ43" s="30"/>
      <c r="PKR43" s="30"/>
      <c r="PKS43" s="30"/>
      <c r="PKT43" s="30"/>
      <c r="PKU43" s="30"/>
      <c r="PKV43" s="30"/>
      <c r="PKW43" s="30"/>
      <c r="PKX43" s="30"/>
      <c r="PKY43" s="30"/>
      <c r="PKZ43" s="30"/>
      <c r="PLA43" s="30"/>
      <c r="PLB43" s="30"/>
      <c r="PLC43" s="30"/>
      <c r="PLD43" s="30"/>
      <c r="PLE43" s="30"/>
      <c r="PLF43" s="30"/>
      <c r="PLG43" s="30"/>
      <c r="PLH43" s="30"/>
      <c r="PLI43" s="30"/>
      <c r="PLJ43" s="30"/>
      <c r="PLK43" s="30"/>
      <c r="PLL43" s="30"/>
      <c r="PLM43" s="30"/>
      <c r="PLN43" s="30"/>
      <c r="PLO43" s="30"/>
      <c r="PLP43" s="30"/>
      <c r="PLQ43" s="30"/>
      <c r="PLR43" s="30"/>
      <c r="PLS43" s="30"/>
      <c r="PLT43" s="30"/>
      <c r="PLU43" s="30"/>
      <c r="PLV43" s="30"/>
      <c r="PLW43" s="30"/>
      <c r="PLX43" s="30"/>
      <c r="PLY43" s="30"/>
      <c r="PLZ43" s="30"/>
      <c r="PMA43" s="30"/>
      <c r="PMB43" s="30"/>
      <c r="PMC43" s="30"/>
      <c r="PMD43" s="30"/>
      <c r="PME43" s="30"/>
      <c r="PMF43" s="30"/>
      <c r="PMG43" s="30"/>
      <c r="PMH43" s="30"/>
      <c r="PMI43" s="30"/>
      <c r="PMJ43" s="30"/>
      <c r="PMK43" s="30"/>
      <c r="PML43" s="30"/>
      <c r="PMM43" s="30"/>
      <c r="PMN43" s="30"/>
      <c r="PMO43" s="30"/>
      <c r="PMP43" s="30"/>
      <c r="PMQ43" s="30"/>
      <c r="PMR43" s="30"/>
      <c r="PMS43" s="30"/>
      <c r="PMT43" s="30"/>
      <c r="PMU43" s="30"/>
      <c r="PMV43" s="30"/>
      <c r="PMW43" s="30"/>
      <c r="PMX43" s="30"/>
      <c r="PMY43" s="30"/>
      <c r="PMZ43" s="30"/>
      <c r="PNA43" s="30"/>
      <c r="PNB43" s="30"/>
      <c r="PNC43" s="30"/>
      <c r="PND43" s="30"/>
      <c r="PNE43" s="30"/>
      <c r="PNF43" s="30"/>
      <c r="PNG43" s="30"/>
      <c r="PNH43" s="30"/>
      <c r="PNI43" s="30"/>
      <c r="PNJ43" s="30"/>
      <c r="PNK43" s="30"/>
      <c r="PNL43" s="30"/>
      <c r="PNM43" s="30"/>
      <c r="PNN43" s="30"/>
      <c r="PNO43" s="30"/>
      <c r="PNP43" s="30"/>
      <c r="PNQ43" s="30"/>
      <c r="PNR43" s="30"/>
      <c r="PNS43" s="30"/>
      <c r="PNT43" s="30"/>
      <c r="PNU43" s="30"/>
      <c r="PNV43" s="30"/>
      <c r="PNW43" s="30"/>
      <c r="PNX43" s="30"/>
      <c r="PNY43" s="30"/>
      <c r="PNZ43" s="30"/>
      <c r="POA43" s="30"/>
      <c r="POB43" s="30"/>
      <c r="POC43" s="30"/>
      <c r="POD43" s="30"/>
      <c r="POE43" s="30"/>
      <c r="POF43" s="30"/>
      <c r="POG43" s="30"/>
      <c r="POH43" s="30"/>
      <c r="POI43" s="30"/>
      <c r="POJ43" s="30"/>
      <c r="POK43" s="30"/>
      <c r="POL43" s="30"/>
      <c r="POM43" s="30"/>
      <c r="PON43" s="30"/>
      <c r="POO43" s="30"/>
      <c r="POP43" s="30"/>
      <c r="POQ43" s="30"/>
      <c r="POR43" s="30"/>
      <c r="POS43" s="30"/>
      <c r="POT43" s="30"/>
      <c r="POU43" s="30"/>
      <c r="POV43" s="30"/>
      <c r="POW43" s="30"/>
      <c r="POX43" s="30"/>
      <c r="POY43" s="30"/>
      <c r="POZ43" s="30"/>
      <c r="PPA43" s="30"/>
      <c r="PPB43" s="30"/>
      <c r="PPC43" s="30"/>
      <c r="PPD43" s="30"/>
      <c r="PPE43" s="30"/>
      <c r="PPF43" s="30"/>
      <c r="PPG43" s="30"/>
      <c r="PPH43" s="30"/>
      <c r="PPI43" s="30"/>
      <c r="PPJ43" s="30"/>
      <c r="PPK43" s="30"/>
      <c r="PPL43" s="30"/>
      <c r="PPM43" s="30"/>
      <c r="PPN43" s="30"/>
      <c r="PPO43" s="30"/>
      <c r="PPP43" s="30"/>
      <c r="PPQ43" s="30"/>
      <c r="PPR43" s="30"/>
      <c r="PPS43" s="30"/>
      <c r="PPT43" s="30"/>
      <c r="PPU43" s="30"/>
      <c r="PPV43" s="30"/>
      <c r="PPW43" s="30"/>
      <c r="PPX43" s="30"/>
      <c r="PPY43" s="30"/>
      <c r="PPZ43" s="30"/>
      <c r="PQA43" s="30"/>
      <c r="PQB43" s="30"/>
      <c r="PQC43" s="30"/>
      <c r="PQD43" s="30"/>
      <c r="PQE43" s="30"/>
      <c r="PQF43" s="30"/>
      <c r="PQG43" s="30"/>
      <c r="PQH43" s="30"/>
      <c r="PQI43" s="30"/>
      <c r="PQJ43" s="30"/>
      <c r="PQK43" s="30"/>
      <c r="PQL43" s="30"/>
      <c r="PQM43" s="30"/>
      <c r="PQN43" s="30"/>
      <c r="PQO43" s="30"/>
      <c r="PQP43" s="30"/>
      <c r="PQQ43" s="30"/>
      <c r="PQR43" s="30"/>
      <c r="PQS43" s="30"/>
      <c r="PQT43" s="30"/>
      <c r="PQU43" s="30"/>
      <c r="PQV43" s="30"/>
      <c r="PQW43" s="30"/>
      <c r="PQX43" s="30"/>
      <c r="PQY43" s="30"/>
      <c r="PQZ43" s="30"/>
      <c r="PRA43" s="30"/>
      <c r="PRB43" s="30"/>
      <c r="PRC43" s="30"/>
      <c r="PRD43" s="30"/>
      <c r="PRE43" s="30"/>
      <c r="PRF43" s="30"/>
      <c r="PRG43" s="30"/>
      <c r="PRH43" s="30"/>
      <c r="PRI43" s="30"/>
      <c r="PRJ43" s="30"/>
      <c r="PRK43" s="30"/>
      <c r="PRL43" s="30"/>
      <c r="PRM43" s="30"/>
      <c r="PRN43" s="30"/>
      <c r="PRO43" s="30"/>
      <c r="PRP43" s="30"/>
      <c r="PRQ43" s="30"/>
      <c r="PRR43" s="30"/>
      <c r="PRS43" s="30"/>
      <c r="PRT43" s="30"/>
      <c r="PRU43" s="30"/>
      <c r="PRV43" s="30"/>
      <c r="PRW43" s="30"/>
      <c r="PRX43" s="30"/>
      <c r="PRY43" s="30"/>
      <c r="PRZ43" s="30"/>
      <c r="PSA43" s="30"/>
      <c r="PSB43" s="30"/>
      <c r="PSC43" s="30"/>
      <c r="PSD43" s="30"/>
      <c r="PSE43" s="30"/>
      <c r="PSF43" s="30"/>
      <c r="PSG43" s="30"/>
      <c r="PSH43" s="30"/>
      <c r="PSI43" s="30"/>
      <c r="PSJ43" s="30"/>
      <c r="PSK43" s="30"/>
      <c r="PSL43" s="30"/>
      <c r="PSM43" s="30"/>
      <c r="PSN43" s="30"/>
      <c r="PSO43" s="30"/>
      <c r="PSP43" s="30"/>
      <c r="PSQ43" s="30"/>
      <c r="PSR43" s="30"/>
      <c r="PSS43" s="30"/>
      <c r="PST43" s="30"/>
      <c r="PSU43" s="30"/>
      <c r="PSV43" s="30"/>
      <c r="PSW43" s="30"/>
      <c r="PSX43" s="30"/>
      <c r="PSY43" s="30"/>
      <c r="PSZ43" s="30"/>
      <c r="PTA43" s="30"/>
      <c r="PTB43" s="30"/>
      <c r="PTC43" s="30"/>
      <c r="PTD43" s="30"/>
      <c r="PTE43" s="30"/>
      <c r="PTF43" s="30"/>
      <c r="PTG43" s="30"/>
      <c r="PTH43" s="30"/>
      <c r="PTI43" s="30"/>
      <c r="PTJ43" s="30"/>
      <c r="PTK43" s="30"/>
      <c r="PTL43" s="30"/>
      <c r="PTM43" s="30"/>
      <c r="PTN43" s="30"/>
      <c r="PTO43" s="30"/>
      <c r="PTP43" s="30"/>
      <c r="PTQ43" s="30"/>
      <c r="PTR43" s="30"/>
      <c r="PTS43" s="30"/>
      <c r="PTT43" s="30"/>
      <c r="PTU43" s="30"/>
      <c r="PTV43" s="30"/>
      <c r="PTW43" s="30"/>
      <c r="PTX43" s="30"/>
      <c r="PTY43" s="30"/>
      <c r="PTZ43" s="30"/>
      <c r="PUA43" s="30"/>
      <c r="PUB43" s="30"/>
      <c r="PUC43" s="30"/>
      <c r="PUD43" s="30"/>
      <c r="PUE43" s="30"/>
      <c r="PUF43" s="30"/>
      <c r="PUG43" s="30"/>
      <c r="PUH43" s="30"/>
      <c r="PUI43" s="30"/>
      <c r="PUJ43" s="30"/>
      <c r="PUK43" s="30"/>
      <c r="PUL43" s="30"/>
      <c r="PUM43" s="30"/>
      <c r="PUN43" s="30"/>
      <c r="PUO43" s="30"/>
      <c r="PUP43" s="30"/>
      <c r="PUQ43" s="30"/>
      <c r="PUR43" s="30"/>
      <c r="PUS43" s="30"/>
      <c r="PUT43" s="30"/>
      <c r="PUU43" s="30"/>
      <c r="PUV43" s="30"/>
      <c r="PUW43" s="30"/>
      <c r="PUX43" s="30"/>
      <c r="PUY43" s="30"/>
      <c r="PUZ43" s="30"/>
      <c r="PVA43" s="30"/>
      <c r="PVB43" s="30"/>
      <c r="PVC43" s="30"/>
      <c r="PVD43" s="30"/>
      <c r="PVE43" s="30"/>
      <c r="PVF43" s="30"/>
      <c r="PVG43" s="30"/>
      <c r="PVH43" s="30"/>
      <c r="PVI43" s="30"/>
      <c r="PVJ43" s="30"/>
      <c r="PVK43" s="30"/>
      <c r="PVL43" s="30"/>
      <c r="PVM43" s="30"/>
      <c r="PVN43" s="30"/>
      <c r="PVO43" s="30"/>
      <c r="PVP43" s="30"/>
      <c r="PVQ43" s="30"/>
      <c r="PVR43" s="30"/>
      <c r="PVS43" s="30"/>
      <c r="PVT43" s="30"/>
      <c r="PVU43" s="30"/>
      <c r="PVV43" s="30"/>
      <c r="PVW43" s="30"/>
      <c r="PVX43" s="30"/>
      <c r="PVY43" s="30"/>
      <c r="PVZ43" s="30"/>
      <c r="PWA43" s="30"/>
      <c r="PWB43" s="30"/>
      <c r="PWC43" s="30"/>
      <c r="PWD43" s="30"/>
      <c r="PWE43" s="30"/>
      <c r="PWF43" s="30"/>
      <c r="PWG43" s="30"/>
      <c r="PWH43" s="30"/>
      <c r="PWI43" s="30"/>
      <c r="PWJ43" s="30"/>
      <c r="PWK43" s="30"/>
      <c r="PWL43" s="30"/>
      <c r="PWM43" s="30"/>
      <c r="PWN43" s="30"/>
      <c r="PWO43" s="30"/>
      <c r="PWP43" s="30"/>
      <c r="PWQ43" s="30"/>
      <c r="PWR43" s="30"/>
      <c r="PWS43" s="30"/>
      <c r="PWT43" s="30"/>
      <c r="PWU43" s="30"/>
      <c r="PWV43" s="30"/>
      <c r="PWW43" s="30"/>
      <c r="PWX43" s="30"/>
      <c r="PWY43" s="30"/>
      <c r="PWZ43" s="30"/>
      <c r="PXA43" s="30"/>
      <c r="PXB43" s="30"/>
      <c r="PXC43" s="30"/>
      <c r="PXD43" s="30"/>
      <c r="PXE43" s="30"/>
      <c r="PXF43" s="30"/>
      <c r="PXG43" s="30"/>
      <c r="PXH43" s="30"/>
      <c r="PXI43" s="30"/>
      <c r="PXJ43" s="30"/>
      <c r="PXK43" s="30"/>
      <c r="PXL43" s="30"/>
      <c r="PXM43" s="30"/>
      <c r="PXN43" s="30"/>
      <c r="PXO43" s="30"/>
      <c r="PXP43" s="30"/>
      <c r="PXQ43" s="30"/>
      <c r="PXR43" s="30"/>
      <c r="PXS43" s="30"/>
      <c r="PXT43" s="30"/>
      <c r="PXU43" s="30"/>
      <c r="PXV43" s="30"/>
      <c r="PXW43" s="30"/>
      <c r="PXX43" s="30"/>
      <c r="PXY43" s="30"/>
      <c r="PXZ43" s="30"/>
      <c r="PYA43" s="30"/>
      <c r="PYB43" s="30"/>
      <c r="PYC43" s="30"/>
      <c r="PYD43" s="30"/>
      <c r="PYE43" s="30"/>
      <c r="PYF43" s="30"/>
      <c r="PYG43" s="30"/>
      <c r="PYH43" s="30"/>
      <c r="PYI43" s="30"/>
      <c r="PYJ43" s="30"/>
      <c r="PYK43" s="30"/>
      <c r="PYL43" s="30"/>
      <c r="PYM43" s="30"/>
      <c r="PYN43" s="30"/>
      <c r="PYO43" s="30"/>
      <c r="PYP43" s="30"/>
      <c r="PYQ43" s="30"/>
      <c r="PYR43" s="30"/>
      <c r="PYS43" s="30"/>
      <c r="PYT43" s="30"/>
      <c r="PYU43" s="30"/>
      <c r="PYV43" s="30"/>
      <c r="PYW43" s="30"/>
      <c r="PYX43" s="30"/>
      <c r="PYY43" s="30"/>
      <c r="PYZ43" s="30"/>
      <c r="PZA43" s="30"/>
      <c r="PZB43" s="30"/>
      <c r="PZC43" s="30"/>
      <c r="PZD43" s="30"/>
      <c r="PZE43" s="30"/>
      <c r="PZF43" s="30"/>
      <c r="PZG43" s="30"/>
      <c r="PZH43" s="30"/>
      <c r="PZI43" s="30"/>
      <c r="PZJ43" s="30"/>
      <c r="PZK43" s="30"/>
      <c r="PZL43" s="30"/>
      <c r="PZM43" s="30"/>
      <c r="PZN43" s="30"/>
      <c r="PZO43" s="30"/>
      <c r="PZP43" s="30"/>
      <c r="PZQ43" s="30"/>
      <c r="PZR43" s="30"/>
      <c r="PZS43" s="30"/>
      <c r="PZT43" s="30"/>
      <c r="PZU43" s="30"/>
      <c r="PZV43" s="30"/>
      <c r="PZW43" s="30"/>
      <c r="PZX43" s="30"/>
      <c r="PZY43" s="30"/>
      <c r="PZZ43" s="30"/>
      <c r="QAA43" s="30"/>
      <c r="QAB43" s="30"/>
      <c r="QAC43" s="30"/>
      <c r="QAD43" s="30"/>
      <c r="QAE43" s="30"/>
      <c r="QAF43" s="30"/>
      <c r="QAG43" s="30"/>
      <c r="QAH43" s="30"/>
      <c r="QAI43" s="30"/>
      <c r="QAJ43" s="30"/>
      <c r="QAK43" s="30"/>
      <c r="QAL43" s="30"/>
      <c r="QAM43" s="30"/>
      <c r="QAN43" s="30"/>
      <c r="QAO43" s="30"/>
      <c r="QAP43" s="30"/>
      <c r="QAQ43" s="30"/>
      <c r="QAR43" s="30"/>
      <c r="QAS43" s="30"/>
      <c r="QAT43" s="30"/>
      <c r="QAU43" s="30"/>
      <c r="QAV43" s="30"/>
      <c r="QAW43" s="30"/>
      <c r="QAX43" s="30"/>
      <c r="QAY43" s="30"/>
      <c r="QAZ43" s="30"/>
      <c r="QBA43" s="30"/>
      <c r="QBB43" s="30"/>
      <c r="QBC43" s="30"/>
      <c r="QBD43" s="30"/>
      <c r="QBE43" s="30"/>
      <c r="QBF43" s="30"/>
      <c r="QBG43" s="30"/>
      <c r="QBH43" s="30"/>
      <c r="QBI43" s="30"/>
      <c r="QBJ43" s="30"/>
      <c r="QBK43" s="30"/>
      <c r="QBL43" s="30"/>
      <c r="QBM43" s="30"/>
      <c r="QBN43" s="30"/>
      <c r="QBO43" s="30"/>
      <c r="QBP43" s="30"/>
      <c r="QBQ43" s="30"/>
      <c r="QBR43" s="30"/>
      <c r="QBS43" s="30"/>
      <c r="QBT43" s="30"/>
      <c r="QBU43" s="30"/>
      <c r="QBV43" s="30"/>
      <c r="QBW43" s="30"/>
      <c r="QBX43" s="30"/>
      <c r="QBY43" s="30"/>
      <c r="QBZ43" s="30"/>
      <c r="QCA43" s="30"/>
      <c r="QCB43" s="30"/>
      <c r="QCC43" s="30"/>
      <c r="QCD43" s="30"/>
      <c r="QCE43" s="30"/>
      <c r="QCF43" s="30"/>
      <c r="QCG43" s="30"/>
      <c r="QCH43" s="30"/>
      <c r="QCI43" s="30"/>
      <c r="QCJ43" s="30"/>
      <c r="QCK43" s="30"/>
      <c r="QCL43" s="30"/>
      <c r="QCM43" s="30"/>
      <c r="QCN43" s="30"/>
      <c r="QCO43" s="30"/>
      <c r="QCP43" s="30"/>
      <c r="QCQ43" s="30"/>
      <c r="QCR43" s="30"/>
      <c r="QCS43" s="30"/>
      <c r="QCT43" s="30"/>
      <c r="QCU43" s="30"/>
      <c r="QCV43" s="30"/>
      <c r="QCW43" s="30"/>
      <c r="QCX43" s="30"/>
      <c r="QCY43" s="30"/>
      <c r="QCZ43" s="30"/>
      <c r="QDA43" s="30"/>
      <c r="QDB43" s="30"/>
      <c r="QDC43" s="30"/>
      <c r="QDD43" s="30"/>
      <c r="QDE43" s="30"/>
      <c r="QDF43" s="30"/>
      <c r="QDG43" s="30"/>
      <c r="QDH43" s="30"/>
      <c r="QDI43" s="30"/>
      <c r="QDJ43" s="30"/>
      <c r="QDK43" s="30"/>
      <c r="QDL43" s="30"/>
      <c r="QDM43" s="30"/>
      <c r="QDN43" s="30"/>
      <c r="QDO43" s="30"/>
      <c r="QDP43" s="30"/>
      <c r="QDQ43" s="30"/>
      <c r="QDR43" s="30"/>
      <c r="QDS43" s="30"/>
      <c r="QDT43" s="30"/>
      <c r="QDU43" s="30"/>
      <c r="QDV43" s="30"/>
      <c r="QDW43" s="30"/>
      <c r="QDX43" s="30"/>
      <c r="QDY43" s="30"/>
      <c r="QDZ43" s="30"/>
      <c r="QEA43" s="30"/>
      <c r="QEB43" s="30"/>
      <c r="QEC43" s="30"/>
      <c r="QED43" s="30"/>
      <c r="QEE43" s="30"/>
      <c r="QEF43" s="30"/>
      <c r="QEG43" s="30"/>
      <c r="QEH43" s="30"/>
      <c r="QEI43" s="30"/>
      <c r="QEJ43" s="30"/>
      <c r="QEK43" s="30"/>
      <c r="QEL43" s="30"/>
      <c r="QEM43" s="30"/>
      <c r="QEN43" s="30"/>
      <c r="QEO43" s="30"/>
      <c r="QEP43" s="30"/>
      <c r="QEQ43" s="30"/>
      <c r="QER43" s="30"/>
      <c r="QES43" s="30"/>
      <c r="QET43" s="30"/>
      <c r="QEU43" s="30"/>
      <c r="QEV43" s="30"/>
      <c r="QEW43" s="30"/>
      <c r="QEX43" s="30"/>
      <c r="QEY43" s="30"/>
      <c r="QEZ43" s="30"/>
      <c r="QFA43" s="30"/>
      <c r="QFB43" s="30"/>
      <c r="QFC43" s="30"/>
      <c r="QFD43" s="30"/>
      <c r="QFE43" s="30"/>
      <c r="QFF43" s="30"/>
      <c r="QFG43" s="30"/>
      <c r="QFH43" s="30"/>
      <c r="QFI43" s="30"/>
      <c r="QFJ43" s="30"/>
      <c r="QFK43" s="30"/>
      <c r="QFL43" s="30"/>
      <c r="QFM43" s="30"/>
      <c r="QFN43" s="30"/>
      <c r="QFO43" s="30"/>
      <c r="QFP43" s="30"/>
      <c r="QFQ43" s="30"/>
      <c r="QFR43" s="30"/>
      <c r="QFS43" s="30"/>
      <c r="QFT43" s="30"/>
      <c r="QFU43" s="30"/>
      <c r="QFV43" s="30"/>
      <c r="QFW43" s="30"/>
      <c r="QFX43" s="30"/>
      <c r="QFY43" s="30"/>
      <c r="QFZ43" s="30"/>
      <c r="QGA43" s="30"/>
      <c r="QGB43" s="30"/>
      <c r="QGC43" s="30"/>
      <c r="QGD43" s="30"/>
      <c r="QGE43" s="30"/>
      <c r="QGF43" s="30"/>
      <c r="QGG43" s="30"/>
      <c r="QGH43" s="30"/>
      <c r="QGI43" s="30"/>
      <c r="QGJ43" s="30"/>
      <c r="QGK43" s="30"/>
      <c r="QGL43" s="30"/>
      <c r="QGM43" s="30"/>
      <c r="QGN43" s="30"/>
      <c r="QGO43" s="30"/>
      <c r="QGP43" s="30"/>
      <c r="QGQ43" s="30"/>
      <c r="QGR43" s="30"/>
      <c r="QGS43" s="30"/>
      <c r="QGT43" s="30"/>
      <c r="QGU43" s="30"/>
      <c r="QGV43" s="30"/>
      <c r="QGW43" s="30"/>
      <c r="QGX43" s="30"/>
      <c r="QGY43" s="30"/>
      <c r="QGZ43" s="30"/>
      <c r="QHA43" s="30"/>
      <c r="QHB43" s="30"/>
      <c r="QHC43" s="30"/>
      <c r="QHD43" s="30"/>
      <c r="QHE43" s="30"/>
      <c r="QHF43" s="30"/>
      <c r="QHG43" s="30"/>
      <c r="QHH43" s="30"/>
      <c r="QHI43" s="30"/>
      <c r="QHJ43" s="30"/>
      <c r="QHK43" s="30"/>
      <c r="QHL43" s="30"/>
      <c r="QHM43" s="30"/>
      <c r="QHN43" s="30"/>
      <c r="QHO43" s="30"/>
      <c r="QHP43" s="30"/>
      <c r="QHQ43" s="30"/>
      <c r="QHR43" s="30"/>
      <c r="QHS43" s="30"/>
      <c r="QHT43" s="30"/>
      <c r="QHU43" s="30"/>
      <c r="QHV43" s="30"/>
      <c r="QHW43" s="30"/>
      <c r="QHX43" s="30"/>
      <c r="QHY43" s="30"/>
      <c r="QHZ43" s="30"/>
      <c r="QIA43" s="30"/>
      <c r="QIB43" s="30"/>
      <c r="QIC43" s="30"/>
      <c r="QID43" s="30"/>
      <c r="QIE43" s="30"/>
      <c r="QIF43" s="30"/>
      <c r="QIG43" s="30"/>
      <c r="QIH43" s="30"/>
      <c r="QII43" s="30"/>
      <c r="QIJ43" s="30"/>
      <c r="QIK43" s="30"/>
      <c r="QIL43" s="30"/>
      <c r="QIM43" s="30"/>
      <c r="QIN43" s="30"/>
      <c r="QIO43" s="30"/>
      <c r="QIP43" s="30"/>
      <c r="QIQ43" s="30"/>
      <c r="QIR43" s="30"/>
      <c r="QIS43" s="30"/>
      <c r="QIT43" s="30"/>
      <c r="QIU43" s="30"/>
      <c r="QIV43" s="30"/>
      <c r="QIW43" s="30"/>
      <c r="QIX43" s="30"/>
      <c r="QIY43" s="30"/>
      <c r="QIZ43" s="30"/>
      <c r="QJA43" s="30"/>
      <c r="QJB43" s="30"/>
      <c r="QJC43" s="30"/>
      <c r="QJD43" s="30"/>
      <c r="QJE43" s="30"/>
      <c r="QJF43" s="30"/>
      <c r="QJG43" s="30"/>
      <c r="QJH43" s="30"/>
      <c r="QJI43" s="30"/>
      <c r="QJJ43" s="30"/>
      <c r="QJK43" s="30"/>
      <c r="QJL43" s="30"/>
      <c r="QJM43" s="30"/>
      <c r="QJN43" s="30"/>
      <c r="QJO43" s="30"/>
      <c r="QJP43" s="30"/>
      <c r="QJQ43" s="30"/>
      <c r="QJR43" s="30"/>
      <c r="QJS43" s="30"/>
      <c r="QJT43" s="30"/>
      <c r="QJU43" s="30"/>
      <c r="QJV43" s="30"/>
      <c r="QJW43" s="30"/>
      <c r="QJX43" s="30"/>
      <c r="QJY43" s="30"/>
      <c r="QJZ43" s="30"/>
      <c r="QKA43" s="30"/>
      <c r="QKB43" s="30"/>
      <c r="QKC43" s="30"/>
      <c r="QKD43" s="30"/>
      <c r="QKE43" s="30"/>
      <c r="QKF43" s="30"/>
      <c r="QKG43" s="30"/>
      <c r="QKH43" s="30"/>
      <c r="QKI43" s="30"/>
      <c r="QKJ43" s="30"/>
      <c r="QKK43" s="30"/>
      <c r="QKL43" s="30"/>
      <c r="QKM43" s="30"/>
      <c r="QKN43" s="30"/>
      <c r="QKO43" s="30"/>
      <c r="QKP43" s="30"/>
      <c r="QKQ43" s="30"/>
      <c r="QKR43" s="30"/>
      <c r="QKS43" s="30"/>
      <c r="QKT43" s="30"/>
      <c r="QKU43" s="30"/>
      <c r="QKV43" s="30"/>
      <c r="QKW43" s="30"/>
      <c r="QKX43" s="30"/>
      <c r="QKY43" s="30"/>
      <c r="QKZ43" s="30"/>
      <c r="QLA43" s="30"/>
      <c r="QLB43" s="30"/>
      <c r="QLC43" s="30"/>
      <c r="QLD43" s="30"/>
      <c r="QLE43" s="30"/>
      <c r="QLF43" s="30"/>
      <c r="QLG43" s="30"/>
      <c r="QLH43" s="30"/>
      <c r="QLI43" s="30"/>
      <c r="QLJ43" s="30"/>
      <c r="QLK43" s="30"/>
      <c r="QLL43" s="30"/>
      <c r="QLM43" s="30"/>
      <c r="QLN43" s="30"/>
      <c r="QLO43" s="30"/>
      <c r="QLP43" s="30"/>
      <c r="QLQ43" s="30"/>
      <c r="QLR43" s="30"/>
      <c r="QLS43" s="30"/>
      <c r="QLT43" s="30"/>
      <c r="QLU43" s="30"/>
      <c r="QLV43" s="30"/>
      <c r="QLW43" s="30"/>
      <c r="QLX43" s="30"/>
      <c r="QLY43" s="30"/>
      <c r="QLZ43" s="30"/>
      <c r="QMA43" s="30"/>
      <c r="QMB43" s="30"/>
      <c r="QMC43" s="30"/>
      <c r="QMD43" s="30"/>
      <c r="QME43" s="30"/>
      <c r="QMF43" s="30"/>
      <c r="QMG43" s="30"/>
      <c r="QMH43" s="30"/>
      <c r="QMI43" s="30"/>
      <c r="QMJ43" s="30"/>
      <c r="QMK43" s="30"/>
      <c r="QML43" s="30"/>
      <c r="QMM43" s="30"/>
      <c r="QMN43" s="30"/>
      <c r="QMO43" s="30"/>
      <c r="QMP43" s="30"/>
      <c r="QMQ43" s="30"/>
      <c r="QMR43" s="30"/>
      <c r="QMS43" s="30"/>
      <c r="QMT43" s="30"/>
      <c r="QMU43" s="30"/>
      <c r="QMV43" s="30"/>
      <c r="QMW43" s="30"/>
      <c r="QMX43" s="30"/>
      <c r="QMY43" s="30"/>
      <c r="QMZ43" s="30"/>
      <c r="QNA43" s="30"/>
      <c r="QNB43" s="30"/>
      <c r="QNC43" s="30"/>
      <c r="QND43" s="30"/>
      <c r="QNE43" s="30"/>
      <c r="QNF43" s="30"/>
      <c r="QNG43" s="30"/>
      <c r="QNH43" s="30"/>
      <c r="QNI43" s="30"/>
      <c r="QNJ43" s="30"/>
      <c r="QNK43" s="30"/>
      <c r="QNL43" s="30"/>
      <c r="QNM43" s="30"/>
      <c r="QNN43" s="30"/>
      <c r="QNO43" s="30"/>
      <c r="QNP43" s="30"/>
      <c r="QNQ43" s="30"/>
      <c r="QNR43" s="30"/>
      <c r="QNS43" s="30"/>
      <c r="QNT43" s="30"/>
      <c r="QNU43" s="30"/>
      <c r="QNV43" s="30"/>
      <c r="QNW43" s="30"/>
      <c r="QNX43" s="30"/>
      <c r="QNY43" s="30"/>
      <c r="QNZ43" s="30"/>
      <c r="QOA43" s="30"/>
      <c r="QOB43" s="30"/>
      <c r="QOC43" s="30"/>
      <c r="QOD43" s="30"/>
      <c r="QOE43" s="30"/>
      <c r="QOF43" s="30"/>
      <c r="QOG43" s="30"/>
      <c r="QOH43" s="30"/>
      <c r="QOI43" s="30"/>
      <c r="QOJ43" s="30"/>
      <c r="QOK43" s="30"/>
      <c r="QOL43" s="30"/>
      <c r="QOM43" s="30"/>
      <c r="QON43" s="30"/>
      <c r="QOO43" s="30"/>
      <c r="QOP43" s="30"/>
      <c r="QOQ43" s="30"/>
      <c r="QOR43" s="30"/>
      <c r="QOS43" s="30"/>
      <c r="QOT43" s="30"/>
      <c r="QOU43" s="30"/>
      <c r="QOV43" s="30"/>
      <c r="QOW43" s="30"/>
      <c r="QOX43" s="30"/>
      <c r="QOY43" s="30"/>
      <c r="QOZ43" s="30"/>
      <c r="QPA43" s="30"/>
      <c r="QPB43" s="30"/>
      <c r="QPC43" s="30"/>
      <c r="QPD43" s="30"/>
      <c r="QPE43" s="30"/>
      <c r="QPF43" s="30"/>
      <c r="QPG43" s="30"/>
      <c r="QPH43" s="30"/>
      <c r="QPI43" s="30"/>
      <c r="QPJ43" s="30"/>
      <c r="QPK43" s="30"/>
      <c r="QPL43" s="30"/>
      <c r="QPM43" s="30"/>
      <c r="QPN43" s="30"/>
      <c r="QPO43" s="30"/>
      <c r="QPP43" s="30"/>
      <c r="QPQ43" s="30"/>
      <c r="QPR43" s="30"/>
      <c r="QPS43" s="30"/>
      <c r="QPT43" s="30"/>
      <c r="QPU43" s="30"/>
      <c r="QPV43" s="30"/>
      <c r="QPW43" s="30"/>
      <c r="QPX43" s="30"/>
      <c r="QPY43" s="30"/>
      <c r="QPZ43" s="30"/>
      <c r="QQA43" s="30"/>
      <c r="QQB43" s="30"/>
      <c r="QQC43" s="30"/>
      <c r="QQD43" s="30"/>
      <c r="QQE43" s="30"/>
      <c r="QQF43" s="30"/>
      <c r="QQG43" s="30"/>
      <c r="QQH43" s="30"/>
      <c r="QQI43" s="30"/>
      <c r="QQJ43" s="30"/>
      <c r="QQK43" s="30"/>
      <c r="QQL43" s="30"/>
      <c r="QQM43" s="30"/>
      <c r="QQN43" s="30"/>
      <c r="QQO43" s="30"/>
      <c r="QQP43" s="30"/>
      <c r="QQQ43" s="30"/>
      <c r="QQR43" s="30"/>
      <c r="QQS43" s="30"/>
      <c r="QQT43" s="30"/>
      <c r="QQU43" s="30"/>
      <c r="QQV43" s="30"/>
      <c r="QQW43" s="30"/>
      <c r="QQX43" s="30"/>
      <c r="QQY43" s="30"/>
      <c r="QQZ43" s="30"/>
      <c r="QRA43" s="30"/>
      <c r="QRB43" s="30"/>
      <c r="QRC43" s="30"/>
      <c r="QRD43" s="30"/>
      <c r="QRE43" s="30"/>
      <c r="QRF43" s="30"/>
      <c r="QRG43" s="30"/>
      <c r="QRH43" s="30"/>
      <c r="QRI43" s="30"/>
      <c r="QRJ43" s="30"/>
      <c r="QRK43" s="30"/>
      <c r="QRL43" s="30"/>
      <c r="QRM43" s="30"/>
      <c r="QRN43" s="30"/>
      <c r="QRO43" s="30"/>
      <c r="QRP43" s="30"/>
      <c r="QRQ43" s="30"/>
      <c r="QRR43" s="30"/>
      <c r="QRS43" s="30"/>
      <c r="QRT43" s="30"/>
      <c r="QRU43" s="30"/>
      <c r="QRV43" s="30"/>
      <c r="QRW43" s="30"/>
      <c r="QRX43" s="30"/>
      <c r="QRY43" s="30"/>
      <c r="QRZ43" s="30"/>
      <c r="QSA43" s="30"/>
      <c r="QSB43" s="30"/>
      <c r="QSC43" s="30"/>
      <c r="QSD43" s="30"/>
      <c r="QSE43" s="30"/>
      <c r="QSF43" s="30"/>
      <c r="QSG43" s="30"/>
      <c r="QSH43" s="30"/>
      <c r="QSI43" s="30"/>
      <c r="QSJ43" s="30"/>
      <c r="QSK43" s="30"/>
      <c r="QSL43" s="30"/>
      <c r="QSM43" s="30"/>
      <c r="QSN43" s="30"/>
      <c r="QSO43" s="30"/>
      <c r="QSP43" s="30"/>
      <c r="QSQ43" s="30"/>
      <c r="QSR43" s="30"/>
      <c r="QSS43" s="30"/>
      <c r="QST43" s="30"/>
      <c r="QSU43" s="30"/>
      <c r="QSV43" s="30"/>
      <c r="QSW43" s="30"/>
      <c r="QSX43" s="30"/>
      <c r="QSY43" s="30"/>
      <c r="QSZ43" s="30"/>
      <c r="QTA43" s="30"/>
      <c r="QTB43" s="30"/>
      <c r="QTC43" s="30"/>
      <c r="QTD43" s="30"/>
      <c r="QTE43" s="30"/>
      <c r="QTF43" s="30"/>
      <c r="QTG43" s="30"/>
      <c r="QTH43" s="30"/>
      <c r="QTI43" s="30"/>
      <c r="QTJ43" s="30"/>
      <c r="QTK43" s="30"/>
      <c r="QTL43" s="30"/>
      <c r="QTM43" s="30"/>
      <c r="QTN43" s="30"/>
      <c r="QTO43" s="30"/>
      <c r="QTP43" s="30"/>
      <c r="QTQ43" s="30"/>
      <c r="QTR43" s="30"/>
      <c r="QTS43" s="30"/>
      <c r="QTT43" s="30"/>
      <c r="QTU43" s="30"/>
      <c r="QTV43" s="30"/>
      <c r="QTW43" s="30"/>
      <c r="QTX43" s="30"/>
      <c r="QTY43" s="30"/>
      <c r="QTZ43" s="30"/>
      <c r="QUA43" s="30"/>
      <c r="QUB43" s="30"/>
      <c r="QUC43" s="30"/>
      <c r="QUD43" s="30"/>
      <c r="QUE43" s="30"/>
      <c r="QUF43" s="30"/>
      <c r="QUG43" s="30"/>
      <c r="QUH43" s="30"/>
      <c r="QUI43" s="30"/>
      <c r="QUJ43" s="30"/>
      <c r="QUK43" s="30"/>
      <c r="QUL43" s="30"/>
      <c r="QUM43" s="30"/>
      <c r="QUN43" s="30"/>
      <c r="QUO43" s="30"/>
      <c r="QUP43" s="30"/>
      <c r="QUQ43" s="30"/>
      <c r="QUR43" s="30"/>
      <c r="QUS43" s="30"/>
      <c r="QUT43" s="30"/>
      <c r="QUU43" s="30"/>
      <c r="QUV43" s="30"/>
      <c r="QUW43" s="30"/>
      <c r="QUX43" s="30"/>
      <c r="QUY43" s="30"/>
      <c r="QUZ43" s="30"/>
      <c r="QVA43" s="30"/>
      <c r="QVB43" s="30"/>
      <c r="QVC43" s="30"/>
      <c r="QVD43" s="30"/>
      <c r="QVE43" s="30"/>
      <c r="QVF43" s="30"/>
      <c r="QVG43" s="30"/>
      <c r="QVH43" s="30"/>
      <c r="QVI43" s="30"/>
      <c r="QVJ43" s="30"/>
      <c r="QVK43" s="30"/>
      <c r="QVL43" s="30"/>
      <c r="QVM43" s="30"/>
      <c r="QVN43" s="30"/>
      <c r="QVO43" s="30"/>
      <c r="QVP43" s="30"/>
      <c r="QVQ43" s="30"/>
      <c r="QVR43" s="30"/>
      <c r="QVS43" s="30"/>
      <c r="QVT43" s="30"/>
      <c r="QVU43" s="30"/>
      <c r="QVV43" s="30"/>
      <c r="QVW43" s="30"/>
      <c r="QVX43" s="30"/>
      <c r="QVY43" s="30"/>
      <c r="QVZ43" s="30"/>
      <c r="QWA43" s="30"/>
      <c r="QWB43" s="30"/>
      <c r="QWC43" s="30"/>
      <c r="QWD43" s="30"/>
      <c r="QWE43" s="30"/>
      <c r="QWF43" s="30"/>
      <c r="QWG43" s="30"/>
      <c r="QWH43" s="30"/>
      <c r="QWI43" s="30"/>
      <c r="QWJ43" s="30"/>
      <c r="QWK43" s="30"/>
      <c r="QWL43" s="30"/>
      <c r="QWM43" s="30"/>
      <c r="QWN43" s="30"/>
      <c r="QWO43" s="30"/>
      <c r="QWP43" s="30"/>
      <c r="QWQ43" s="30"/>
      <c r="QWR43" s="30"/>
      <c r="QWS43" s="30"/>
      <c r="QWT43" s="30"/>
      <c r="QWU43" s="30"/>
      <c r="QWV43" s="30"/>
      <c r="QWW43" s="30"/>
      <c r="QWX43" s="30"/>
      <c r="QWY43" s="30"/>
      <c r="QWZ43" s="30"/>
      <c r="QXA43" s="30"/>
      <c r="QXB43" s="30"/>
      <c r="QXC43" s="30"/>
      <c r="QXD43" s="30"/>
      <c r="QXE43" s="30"/>
      <c r="QXF43" s="30"/>
      <c r="QXG43" s="30"/>
      <c r="QXH43" s="30"/>
      <c r="QXI43" s="30"/>
      <c r="QXJ43" s="30"/>
      <c r="QXK43" s="30"/>
      <c r="QXL43" s="30"/>
      <c r="QXM43" s="30"/>
      <c r="QXN43" s="30"/>
      <c r="QXO43" s="30"/>
      <c r="QXP43" s="30"/>
      <c r="QXQ43" s="30"/>
      <c r="QXR43" s="30"/>
      <c r="QXS43" s="30"/>
      <c r="QXT43" s="30"/>
      <c r="QXU43" s="30"/>
      <c r="QXV43" s="30"/>
      <c r="QXW43" s="30"/>
      <c r="QXX43" s="30"/>
      <c r="QXY43" s="30"/>
      <c r="QXZ43" s="30"/>
      <c r="QYA43" s="30"/>
      <c r="QYB43" s="30"/>
      <c r="QYC43" s="30"/>
      <c r="QYD43" s="30"/>
      <c r="QYE43" s="30"/>
      <c r="QYF43" s="30"/>
      <c r="QYG43" s="30"/>
      <c r="QYH43" s="30"/>
      <c r="QYI43" s="30"/>
      <c r="QYJ43" s="30"/>
      <c r="QYK43" s="30"/>
      <c r="QYL43" s="30"/>
      <c r="QYM43" s="30"/>
      <c r="QYN43" s="30"/>
      <c r="QYO43" s="30"/>
      <c r="QYP43" s="30"/>
      <c r="QYQ43" s="30"/>
      <c r="QYR43" s="30"/>
      <c r="QYS43" s="30"/>
      <c r="QYT43" s="30"/>
      <c r="QYU43" s="30"/>
      <c r="QYV43" s="30"/>
      <c r="QYW43" s="30"/>
      <c r="QYX43" s="30"/>
      <c r="QYY43" s="30"/>
      <c r="QYZ43" s="30"/>
      <c r="QZA43" s="30"/>
      <c r="QZB43" s="30"/>
      <c r="QZC43" s="30"/>
      <c r="QZD43" s="30"/>
      <c r="QZE43" s="30"/>
      <c r="QZF43" s="30"/>
      <c r="QZG43" s="30"/>
      <c r="QZH43" s="30"/>
      <c r="QZI43" s="30"/>
      <c r="QZJ43" s="30"/>
      <c r="QZK43" s="30"/>
      <c r="QZL43" s="30"/>
      <c r="QZM43" s="30"/>
      <c r="QZN43" s="30"/>
      <c r="QZO43" s="30"/>
      <c r="QZP43" s="30"/>
      <c r="QZQ43" s="30"/>
      <c r="QZR43" s="30"/>
      <c r="QZS43" s="30"/>
      <c r="QZT43" s="30"/>
      <c r="QZU43" s="30"/>
      <c r="QZV43" s="30"/>
      <c r="QZW43" s="30"/>
      <c r="QZX43" s="30"/>
      <c r="QZY43" s="30"/>
      <c r="QZZ43" s="30"/>
      <c r="RAA43" s="30"/>
      <c r="RAB43" s="30"/>
      <c r="RAC43" s="30"/>
      <c r="RAD43" s="30"/>
      <c r="RAE43" s="30"/>
      <c r="RAF43" s="30"/>
      <c r="RAG43" s="30"/>
      <c r="RAH43" s="30"/>
      <c r="RAI43" s="30"/>
      <c r="RAJ43" s="30"/>
      <c r="RAK43" s="30"/>
      <c r="RAL43" s="30"/>
      <c r="RAM43" s="30"/>
      <c r="RAN43" s="30"/>
      <c r="RAO43" s="30"/>
      <c r="RAP43" s="30"/>
      <c r="RAQ43" s="30"/>
      <c r="RAR43" s="30"/>
      <c r="RAS43" s="30"/>
      <c r="RAT43" s="30"/>
      <c r="RAU43" s="30"/>
      <c r="RAV43" s="30"/>
      <c r="RAW43" s="30"/>
      <c r="RAX43" s="30"/>
      <c r="RAY43" s="30"/>
      <c r="RAZ43" s="30"/>
      <c r="RBA43" s="30"/>
      <c r="RBB43" s="30"/>
      <c r="RBC43" s="30"/>
      <c r="RBD43" s="30"/>
      <c r="RBE43" s="30"/>
      <c r="RBF43" s="30"/>
      <c r="RBG43" s="30"/>
      <c r="RBH43" s="30"/>
      <c r="RBI43" s="30"/>
      <c r="RBJ43" s="30"/>
      <c r="RBK43" s="30"/>
      <c r="RBL43" s="30"/>
      <c r="RBM43" s="30"/>
      <c r="RBN43" s="30"/>
      <c r="RBO43" s="30"/>
      <c r="RBP43" s="30"/>
      <c r="RBQ43" s="30"/>
      <c r="RBR43" s="30"/>
      <c r="RBS43" s="30"/>
      <c r="RBT43" s="30"/>
      <c r="RBU43" s="30"/>
      <c r="RBV43" s="30"/>
      <c r="RBW43" s="30"/>
      <c r="RBX43" s="30"/>
      <c r="RBY43" s="30"/>
      <c r="RBZ43" s="30"/>
      <c r="RCA43" s="30"/>
      <c r="RCB43" s="30"/>
      <c r="RCC43" s="30"/>
      <c r="RCD43" s="30"/>
      <c r="RCE43" s="30"/>
      <c r="RCF43" s="30"/>
      <c r="RCG43" s="30"/>
      <c r="RCH43" s="30"/>
      <c r="RCI43" s="30"/>
      <c r="RCJ43" s="30"/>
      <c r="RCK43" s="30"/>
      <c r="RCL43" s="30"/>
      <c r="RCM43" s="30"/>
      <c r="RCN43" s="30"/>
      <c r="RCO43" s="30"/>
      <c r="RCP43" s="30"/>
      <c r="RCQ43" s="30"/>
      <c r="RCR43" s="30"/>
      <c r="RCS43" s="30"/>
      <c r="RCT43" s="30"/>
      <c r="RCU43" s="30"/>
      <c r="RCV43" s="30"/>
      <c r="RCW43" s="30"/>
      <c r="RCX43" s="30"/>
      <c r="RCY43" s="30"/>
      <c r="RCZ43" s="30"/>
      <c r="RDA43" s="30"/>
      <c r="RDB43" s="30"/>
      <c r="RDC43" s="30"/>
      <c r="RDD43" s="30"/>
      <c r="RDE43" s="30"/>
      <c r="RDF43" s="30"/>
      <c r="RDG43" s="30"/>
      <c r="RDH43" s="30"/>
      <c r="RDI43" s="30"/>
      <c r="RDJ43" s="30"/>
      <c r="RDK43" s="30"/>
      <c r="RDL43" s="30"/>
      <c r="RDM43" s="30"/>
      <c r="RDN43" s="30"/>
      <c r="RDO43" s="30"/>
      <c r="RDP43" s="30"/>
      <c r="RDQ43" s="30"/>
      <c r="RDR43" s="30"/>
      <c r="RDS43" s="30"/>
      <c r="RDT43" s="30"/>
      <c r="RDU43" s="30"/>
      <c r="RDV43" s="30"/>
      <c r="RDW43" s="30"/>
      <c r="RDX43" s="30"/>
      <c r="RDY43" s="30"/>
      <c r="RDZ43" s="30"/>
      <c r="REA43" s="30"/>
      <c r="REB43" s="30"/>
      <c r="REC43" s="30"/>
      <c r="RED43" s="30"/>
      <c r="REE43" s="30"/>
      <c r="REF43" s="30"/>
      <c r="REG43" s="30"/>
      <c r="REH43" s="30"/>
      <c r="REI43" s="30"/>
      <c r="REJ43" s="30"/>
      <c r="REK43" s="30"/>
      <c r="REL43" s="30"/>
      <c r="REM43" s="30"/>
      <c r="REN43" s="30"/>
      <c r="REO43" s="30"/>
      <c r="REP43" s="30"/>
      <c r="REQ43" s="30"/>
      <c r="RER43" s="30"/>
      <c r="RES43" s="30"/>
      <c r="RET43" s="30"/>
      <c r="REU43" s="30"/>
      <c r="REV43" s="30"/>
      <c r="REW43" s="30"/>
      <c r="REX43" s="30"/>
      <c r="REY43" s="30"/>
      <c r="REZ43" s="30"/>
      <c r="RFA43" s="30"/>
      <c r="RFB43" s="30"/>
      <c r="RFC43" s="30"/>
      <c r="RFD43" s="30"/>
      <c r="RFE43" s="30"/>
      <c r="RFF43" s="30"/>
      <c r="RFG43" s="30"/>
      <c r="RFH43" s="30"/>
      <c r="RFI43" s="30"/>
      <c r="RFJ43" s="30"/>
      <c r="RFK43" s="30"/>
      <c r="RFL43" s="30"/>
      <c r="RFM43" s="30"/>
      <c r="RFN43" s="30"/>
      <c r="RFO43" s="30"/>
      <c r="RFP43" s="30"/>
      <c r="RFQ43" s="30"/>
      <c r="RFR43" s="30"/>
      <c r="RFS43" s="30"/>
      <c r="RFT43" s="30"/>
      <c r="RFU43" s="30"/>
      <c r="RFV43" s="30"/>
      <c r="RFW43" s="30"/>
      <c r="RFX43" s="30"/>
      <c r="RFY43" s="30"/>
      <c r="RFZ43" s="30"/>
      <c r="RGA43" s="30"/>
      <c r="RGB43" s="30"/>
      <c r="RGC43" s="30"/>
      <c r="RGD43" s="30"/>
      <c r="RGE43" s="30"/>
      <c r="RGF43" s="30"/>
      <c r="RGG43" s="30"/>
      <c r="RGH43" s="30"/>
      <c r="RGI43" s="30"/>
      <c r="RGJ43" s="30"/>
      <c r="RGK43" s="30"/>
      <c r="RGL43" s="30"/>
      <c r="RGM43" s="30"/>
      <c r="RGN43" s="30"/>
      <c r="RGO43" s="30"/>
      <c r="RGP43" s="30"/>
      <c r="RGQ43" s="30"/>
      <c r="RGR43" s="30"/>
      <c r="RGS43" s="30"/>
      <c r="RGT43" s="30"/>
      <c r="RGU43" s="30"/>
      <c r="RGV43" s="30"/>
      <c r="RGW43" s="30"/>
      <c r="RGX43" s="30"/>
      <c r="RGY43" s="30"/>
      <c r="RGZ43" s="30"/>
      <c r="RHA43" s="30"/>
      <c r="RHB43" s="30"/>
      <c r="RHC43" s="30"/>
      <c r="RHD43" s="30"/>
      <c r="RHE43" s="30"/>
      <c r="RHF43" s="30"/>
      <c r="RHG43" s="30"/>
      <c r="RHH43" s="30"/>
      <c r="RHI43" s="30"/>
      <c r="RHJ43" s="30"/>
      <c r="RHK43" s="30"/>
      <c r="RHL43" s="30"/>
      <c r="RHM43" s="30"/>
      <c r="RHN43" s="30"/>
      <c r="RHO43" s="30"/>
      <c r="RHP43" s="30"/>
      <c r="RHQ43" s="30"/>
      <c r="RHR43" s="30"/>
      <c r="RHS43" s="30"/>
      <c r="RHT43" s="30"/>
      <c r="RHU43" s="30"/>
      <c r="RHV43" s="30"/>
      <c r="RHW43" s="30"/>
      <c r="RHX43" s="30"/>
      <c r="RHY43" s="30"/>
      <c r="RHZ43" s="30"/>
      <c r="RIA43" s="30"/>
      <c r="RIB43" s="30"/>
      <c r="RIC43" s="30"/>
      <c r="RID43" s="30"/>
      <c r="RIE43" s="30"/>
      <c r="RIF43" s="30"/>
      <c r="RIG43" s="30"/>
      <c r="RIH43" s="30"/>
      <c r="RII43" s="30"/>
      <c r="RIJ43" s="30"/>
      <c r="RIK43" s="30"/>
      <c r="RIL43" s="30"/>
      <c r="RIM43" s="30"/>
      <c r="RIN43" s="30"/>
      <c r="RIO43" s="30"/>
      <c r="RIP43" s="30"/>
      <c r="RIQ43" s="30"/>
      <c r="RIR43" s="30"/>
      <c r="RIS43" s="30"/>
      <c r="RIT43" s="30"/>
      <c r="RIU43" s="30"/>
      <c r="RIV43" s="30"/>
      <c r="RIW43" s="30"/>
      <c r="RIX43" s="30"/>
      <c r="RIY43" s="30"/>
      <c r="RIZ43" s="30"/>
      <c r="RJA43" s="30"/>
      <c r="RJB43" s="30"/>
      <c r="RJC43" s="30"/>
      <c r="RJD43" s="30"/>
      <c r="RJE43" s="30"/>
      <c r="RJF43" s="30"/>
      <c r="RJG43" s="30"/>
      <c r="RJH43" s="30"/>
      <c r="RJI43" s="30"/>
      <c r="RJJ43" s="30"/>
      <c r="RJK43" s="30"/>
      <c r="RJL43" s="30"/>
      <c r="RJM43" s="30"/>
      <c r="RJN43" s="30"/>
      <c r="RJO43" s="30"/>
      <c r="RJP43" s="30"/>
      <c r="RJQ43" s="30"/>
      <c r="RJR43" s="30"/>
      <c r="RJS43" s="30"/>
      <c r="RJT43" s="30"/>
      <c r="RJU43" s="30"/>
      <c r="RJV43" s="30"/>
      <c r="RJW43" s="30"/>
      <c r="RJX43" s="30"/>
      <c r="RJY43" s="30"/>
      <c r="RJZ43" s="30"/>
      <c r="RKA43" s="30"/>
      <c r="RKB43" s="30"/>
      <c r="RKC43" s="30"/>
      <c r="RKD43" s="30"/>
      <c r="RKE43" s="30"/>
      <c r="RKF43" s="30"/>
      <c r="RKG43" s="30"/>
      <c r="RKH43" s="30"/>
      <c r="RKI43" s="30"/>
      <c r="RKJ43" s="30"/>
      <c r="RKK43" s="30"/>
      <c r="RKL43" s="30"/>
      <c r="RKM43" s="30"/>
      <c r="RKN43" s="30"/>
      <c r="RKO43" s="30"/>
      <c r="RKP43" s="30"/>
      <c r="RKQ43" s="30"/>
      <c r="RKR43" s="30"/>
      <c r="RKS43" s="30"/>
      <c r="RKT43" s="30"/>
      <c r="RKU43" s="30"/>
      <c r="RKV43" s="30"/>
      <c r="RKW43" s="30"/>
      <c r="RKX43" s="30"/>
      <c r="RKY43" s="30"/>
      <c r="RKZ43" s="30"/>
      <c r="RLA43" s="30"/>
      <c r="RLB43" s="30"/>
      <c r="RLC43" s="30"/>
      <c r="RLD43" s="30"/>
      <c r="RLE43" s="30"/>
      <c r="RLF43" s="30"/>
      <c r="RLG43" s="30"/>
      <c r="RLH43" s="30"/>
      <c r="RLI43" s="30"/>
      <c r="RLJ43" s="30"/>
      <c r="RLK43" s="30"/>
      <c r="RLL43" s="30"/>
      <c r="RLM43" s="30"/>
      <c r="RLN43" s="30"/>
      <c r="RLO43" s="30"/>
      <c r="RLP43" s="30"/>
      <c r="RLQ43" s="30"/>
      <c r="RLR43" s="30"/>
      <c r="RLS43" s="30"/>
      <c r="RLT43" s="30"/>
      <c r="RLU43" s="30"/>
      <c r="RLV43" s="30"/>
      <c r="RLW43" s="30"/>
      <c r="RLX43" s="30"/>
      <c r="RLY43" s="30"/>
      <c r="RLZ43" s="30"/>
      <c r="RMA43" s="30"/>
      <c r="RMB43" s="30"/>
      <c r="RMC43" s="30"/>
      <c r="RMD43" s="30"/>
      <c r="RME43" s="30"/>
      <c r="RMF43" s="30"/>
      <c r="RMG43" s="30"/>
      <c r="RMH43" s="30"/>
      <c r="RMI43" s="30"/>
      <c r="RMJ43" s="30"/>
      <c r="RMK43" s="30"/>
      <c r="RML43" s="30"/>
      <c r="RMM43" s="30"/>
      <c r="RMN43" s="30"/>
      <c r="RMO43" s="30"/>
      <c r="RMP43" s="30"/>
      <c r="RMQ43" s="30"/>
      <c r="RMR43" s="30"/>
      <c r="RMS43" s="30"/>
      <c r="RMT43" s="30"/>
      <c r="RMU43" s="30"/>
      <c r="RMV43" s="30"/>
      <c r="RMW43" s="30"/>
      <c r="RMX43" s="30"/>
      <c r="RMY43" s="30"/>
      <c r="RMZ43" s="30"/>
      <c r="RNA43" s="30"/>
      <c r="RNB43" s="30"/>
      <c r="RNC43" s="30"/>
      <c r="RND43" s="30"/>
      <c r="RNE43" s="30"/>
      <c r="RNF43" s="30"/>
      <c r="RNG43" s="30"/>
      <c r="RNH43" s="30"/>
      <c r="RNI43" s="30"/>
      <c r="RNJ43" s="30"/>
      <c r="RNK43" s="30"/>
      <c r="RNL43" s="30"/>
      <c r="RNM43" s="30"/>
      <c r="RNN43" s="30"/>
      <c r="RNO43" s="30"/>
      <c r="RNP43" s="30"/>
      <c r="RNQ43" s="30"/>
      <c r="RNR43" s="30"/>
      <c r="RNS43" s="30"/>
      <c r="RNT43" s="30"/>
      <c r="RNU43" s="30"/>
      <c r="RNV43" s="30"/>
      <c r="RNW43" s="30"/>
      <c r="RNX43" s="30"/>
      <c r="RNY43" s="30"/>
      <c r="RNZ43" s="30"/>
      <c r="ROA43" s="30"/>
      <c r="ROB43" s="30"/>
      <c r="ROC43" s="30"/>
      <c r="ROD43" s="30"/>
      <c r="ROE43" s="30"/>
      <c r="ROF43" s="30"/>
      <c r="ROG43" s="30"/>
      <c r="ROH43" s="30"/>
      <c r="ROI43" s="30"/>
      <c r="ROJ43" s="30"/>
      <c r="ROK43" s="30"/>
      <c r="ROL43" s="30"/>
      <c r="ROM43" s="30"/>
      <c r="RON43" s="30"/>
      <c r="ROO43" s="30"/>
      <c r="ROP43" s="30"/>
      <c r="ROQ43" s="30"/>
      <c r="ROR43" s="30"/>
      <c r="ROS43" s="30"/>
      <c r="ROT43" s="30"/>
      <c r="ROU43" s="30"/>
      <c r="ROV43" s="30"/>
      <c r="ROW43" s="30"/>
      <c r="ROX43" s="30"/>
      <c r="ROY43" s="30"/>
      <c r="ROZ43" s="30"/>
      <c r="RPA43" s="30"/>
      <c r="RPB43" s="30"/>
      <c r="RPC43" s="30"/>
      <c r="RPD43" s="30"/>
      <c r="RPE43" s="30"/>
      <c r="RPF43" s="30"/>
      <c r="RPG43" s="30"/>
      <c r="RPH43" s="30"/>
      <c r="RPI43" s="30"/>
      <c r="RPJ43" s="30"/>
      <c r="RPK43" s="30"/>
      <c r="RPL43" s="30"/>
      <c r="RPM43" s="30"/>
      <c r="RPN43" s="30"/>
      <c r="RPO43" s="30"/>
      <c r="RPP43" s="30"/>
      <c r="RPQ43" s="30"/>
      <c r="RPR43" s="30"/>
      <c r="RPS43" s="30"/>
      <c r="RPT43" s="30"/>
      <c r="RPU43" s="30"/>
      <c r="RPV43" s="30"/>
      <c r="RPW43" s="30"/>
      <c r="RPX43" s="30"/>
      <c r="RPY43" s="30"/>
      <c r="RPZ43" s="30"/>
      <c r="RQA43" s="30"/>
      <c r="RQB43" s="30"/>
      <c r="RQC43" s="30"/>
      <c r="RQD43" s="30"/>
      <c r="RQE43" s="30"/>
      <c r="RQF43" s="30"/>
      <c r="RQG43" s="30"/>
      <c r="RQH43" s="30"/>
      <c r="RQI43" s="30"/>
      <c r="RQJ43" s="30"/>
      <c r="RQK43" s="30"/>
      <c r="RQL43" s="30"/>
      <c r="RQM43" s="30"/>
      <c r="RQN43" s="30"/>
      <c r="RQO43" s="30"/>
      <c r="RQP43" s="30"/>
      <c r="RQQ43" s="30"/>
      <c r="RQR43" s="30"/>
      <c r="RQS43" s="30"/>
      <c r="RQT43" s="30"/>
      <c r="RQU43" s="30"/>
      <c r="RQV43" s="30"/>
      <c r="RQW43" s="30"/>
      <c r="RQX43" s="30"/>
      <c r="RQY43" s="30"/>
      <c r="RQZ43" s="30"/>
      <c r="RRA43" s="30"/>
      <c r="RRB43" s="30"/>
      <c r="RRC43" s="30"/>
      <c r="RRD43" s="30"/>
      <c r="RRE43" s="30"/>
      <c r="RRF43" s="30"/>
      <c r="RRG43" s="30"/>
      <c r="RRH43" s="30"/>
      <c r="RRI43" s="30"/>
      <c r="RRJ43" s="30"/>
      <c r="RRK43" s="30"/>
      <c r="RRL43" s="30"/>
      <c r="RRM43" s="30"/>
      <c r="RRN43" s="30"/>
      <c r="RRO43" s="30"/>
      <c r="RRP43" s="30"/>
      <c r="RRQ43" s="30"/>
      <c r="RRR43" s="30"/>
      <c r="RRS43" s="30"/>
      <c r="RRT43" s="30"/>
      <c r="RRU43" s="30"/>
      <c r="RRV43" s="30"/>
      <c r="RRW43" s="30"/>
      <c r="RRX43" s="30"/>
      <c r="RRY43" s="30"/>
      <c r="RRZ43" s="30"/>
      <c r="RSA43" s="30"/>
      <c r="RSB43" s="30"/>
      <c r="RSC43" s="30"/>
      <c r="RSD43" s="30"/>
      <c r="RSE43" s="30"/>
      <c r="RSF43" s="30"/>
      <c r="RSG43" s="30"/>
      <c r="RSH43" s="30"/>
      <c r="RSI43" s="30"/>
      <c r="RSJ43" s="30"/>
      <c r="RSK43" s="30"/>
      <c r="RSL43" s="30"/>
      <c r="RSM43" s="30"/>
      <c r="RSN43" s="30"/>
      <c r="RSO43" s="30"/>
      <c r="RSP43" s="30"/>
      <c r="RSQ43" s="30"/>
      <c r="RSR43" s="30"/>
      <c r="RSS43" s="30"/>
      <c r="RST43" s="30"/>
      <c r="RSU43" s="30"/>
      <c r="RSV43" s="30"/>
      <c r="RSW43" s="30"/>
      <c r="RSX43" s="30"/>
      <c r="RSY43" s="30"/>
      <c r="RSZ43" s="30"/>
      <c r="RTA43" s="30"/>
      <c r="RTB43" s="30"/>
      <c r="RTC43" s="30"/>
      <c r="RTD43" s="30"/>
      <c r="RTE43" s="30"/>
      <c r="RTF43" s="30"/>
      <c r="RTG43" s="30"/>
      <c r="RTH43" s="30"/>
      <c r="RTI43" s="30"/>
      <c r="RTJ43" s="30"/>
      <c r="RTK43" s="30"/>
      <c r="RTL43" s="30"/>
      <c r="RTM43" s="30"/>
      <c r="RTN43" s="30"/>
      <c r="RTO43" s="30"/>
      <c r="RTP43" s="30"/>
      <c r="RTQ43" s="30"/>
      <c r="RTR43" s="30"/>
      <c r="RTS43" s="30"/>
      <c r="RTT43" s="30"/>
      <c r="RTU43" s="30"/>
      <c r="RTV43" s="30"/>
      <c r="RTW43" s="30"/>
      <c r="RTX43" s="30"/>
      <c r="RTY43" s="30"/>
      <c r="RTZ43" s="30"/>
      <c r="RUA43" s="30"/>
      <c r="RUB43" s="30"/>
      <c r="RUC43" s="30"/>
      <c r="RUD43" s="30"/>
      <c r="RUE43" s="30"/>
      <c r="RUF43" s="30"/>
      <c r="RUG43" s="30"/>
      <c r="RUH43" s="30"/>
      <c r="RUI43" s="30"/>
      <c r="RUJ43" s="30"/>
      <c r="RUK43" s="30"/>
      <c r="RUL43" s="30"/>
      <c r="RUM43" s="30"/>
      <c r="RUN43" s="30"/>
      <c r="RUO43" s="30"/>
      <c r="RUP43" s="30"/>
      <c r="RUQ43" s="30"/>
      <c r="RUR43" s="30"/>
      <c r="RUS43" s="30"/>
      <c r="RUT43" s="30"/>
      <c r="RUU43" s="30"/>
      <c r="RUV43" s="30"/>
      <c r="RUW43" s="30"/>
      <c r="RUX43" s="30"/>
      <c r="RUY43" s="30"/>
      <c r="RUZ43" s="30"/>
      <c r="RVA43" s="30"/>
      <c r="RVB43" s="30"/>
      <c r="RVC43" s="30"/>
      <c r="RVD43" s="30"/>
      <c r="RVE43" s="30"/>
      <c r="RVF43" s="30"/>
      <c r="RVG43" s="30"/>
      <c r="RVH43" s="30"/>
      <c r="RVI43" s="30"/>
      <c r="RVJ43" s="30"/>
      <c r="RVK43" s="30"/>
      <c r="RVL43" s="30"/>
      <c r="RVM43" s="30"/>
      <c r="RVN43" s="30"/>
      <c r="RVO43" s="30"/>
      <c r="RVP43" s="30"/>
      <c r="RVQ43" s="30"/>
      <c r="RVR43" s="30"/>
      <c r="RVS43" s="30"/>
      <c r="RVT43" s="30"/>
      <c r="RVU43" s="30"/>
      <c r="RVV43" s="30"/>
      <c r="RVW43" s="30"/>
      <c r="RVX43" s="30"/>
      <c r="RVY43" s="30"/>
      <c r="RVZ43" s="30"/>
      <c r="RWA43" s="30"/>
      <c r="RWB43" s="30"/>
      <c r="RWC43" s="30"/>
      <c r="RWD43" s="30"/>
      <c r="RWE43" s="30"/>
      <c r="RWF43" s="30"/>
      <c r="RWG43" s="30"/>
      <c r="RWH43" s="30"/>
      <c r="RWI43" s="30"/>
      <c r="RWJ43" s="30"/>
      <c r="RWK43" s="30"/>
      <c r="RWL43" s="30"/>
      <c r="RWM43" s="30"/>
      <c r="RWN43" s="30"/>
      <c r="RWO43" s="30"/>
      <c r="RWP43" s="30"/>
      <c r="RWQ43" s="30"/>
      <c r="RWR43" s="30"/>
      <c r="RWS43" s="30"/>
      <c r="RWT43" s="30"/>
      <c r="RWU43" s="30"/>
      <c r="RWV43" s="30"/>
      <c r="RWW43" s="30"/>
      <c r="RWX43" s="30"/>
      <c r="RWY43" s="30"/>
      <c r="RWZ43" s="30"/>
      <c r="RXA43" s="30"/>
      <c r="RXB43" s="30"/>
      <c r="RXC43" s="30"/>
      <c r="RXD43" s="30"/>
      <c r="RXE43" s="30"/>
      <c r="RXF43" s="30"/>
      <c r="RXG43" s="30"/>
      <c r="RXH43" s="30"/>
      <c r="RXI43" s="30"/>
      <c r="RXJ43" s="30"/>
      <c r="RXK43" s="30"/>
      <c r="RXL43" s="30"/>
      <c r="RXM43" s="30"/>
      <c r="RXN43" s="30"/>
      <c r="RXO43" s="30"/>
      <c r="RXP43" s="30"/>
      <c r="RXQ43" s="30"/>
      <c r="RXR43" s="30"/>
      <c r="RXS43" s="30"/>
      <c r="RXT43" s="30"/>
      <c r="RXU43" s="30"/>
      <c r="RXV43" s="30"/>
      <c r="RXW43" s="30"/>
      <c r="RXX43" s="30"/>
      <c r="RXY43" s="30"/>
      <c r="RXZ43" s="30"/>
      <c r="RYA43" s="30"/>
      <c r="RYB43" s="30"/>
      <c r="RYC43" s="30"/>
      <c r="RYD43" s="30"/>
      <c r="RYE43" s="30"/>
      <c r="RYF43" s="30"/>
      <c r="RYG43" s="30"/>
      <c r="RYH43" s="30"/>
      <c r="RYI43" s="30"/>
      <c r="RYJ43" s="30"/>
      <c r="RYK43" s="30"/>
      <c r="RYL43" s="30"/>
      <c r="RYM43" s="30"/>
      <c r="RYN43" s="30"/>
      <c r="RYO43" s="30"/>
      <c r="RYP43" s="30"/>
      <c r="RYQ43" s="30"/>
      <c r="RYR43" s="30"/>
      <c r="RYS43" s="30"/>
      <c r="RYT43" s="30"/>
      <c r="RYU43" s="30"/>
      <c r="RYV43" s="30"/>
      <c r="RYW43" s="30"/>
      <c r="RYX43" s="30"/>
      <c r="RYY43" s="30"/>
      <c r="RYZ43" s="30"/>
      <c r="RZA43" s="30"/>
      <c r="RZB43" s="30"/>
      <c r="RZC43" s="30"/>
      <c r="RZD43" s="30"/>
      <c r="RZE43" s="30"/>
      <c r="RZF43" s="30"/>
      <c r="RZG43" s="30"/>
      <c r="RZH43" s="30"/>
      <c r="RZI43" s="30"/>
      <c r="RZJ43" s="30"/>
      <c r="RZK43" s="30"/>
      <c r="RZL43" s="30"/>
      <c r="RZM43" s="30"/>
      <c r="RZN43" s="30"/>
      <c r="RZO43" s="30"/>
      <c r="RZP43" s="30"/>
      <c r="RZQ43" s="30"/>
      <c r="RZR43" s="30"/>
      <c r="RZS43" s="30"/>
      <c r="RZT43" s="30"/>
      <c r="RZU43" s="30"/>
      <c r="RZV43" s="30"/>
      <c r="RZW43" s="30"/>
      <c r="RZX43" s="30"/>
      <c r="RZY43" s="30"/>
      <c r="RZZ43" s="30"/>
      <c r="SAA43" s="30"/>
      <c r="SAB43" s="30"/>
      <c r="SAC43" s="30"/>
      <c r="SAD43" s="30"/>
      <c r="SAE43" s="30"/>
      <c r="SAF43" s="30"/>
      <c r="SAG43" s="30"/>
      <c r="SAH43" s="30"/>
      <c r="SAI43" s="30"/>
      <c r="SAJ43" s="30"/>
      <c r="SAK43" s="30"/>
      <c r="SAL43" s="30"/>
      <c r="SAM43" s="30"/>
      <c r="SAN43" s="30"/>
      <c r="SAO43" s="30"/>
      <c r="SAP43" s="30"/>
      <c r="SAQ43" s="30"/>
      <c r="SAR43" s="30"/>
      <c r="SAS43" s="30"/>
      <c r="SAT43" s="30"/>
      <c r="SAU43" s="30"/>
      <c r="SAV43" s="30"/>
      <c r="SAW43" s="30"/>
      <c r="SAX43" s="30"/>
      <c r="SAY43" s="30"/>
      <c r="SAZ43" s="30"/>
      <c r="SBA43" s="30"/>
      <c r="SBB43" s="30"/>
      <c r="SBC43" s="30"/>
      <c r="SBD43" s="30"/>
      <c r="SBE43" s="30"/>
      <c r="SBF43" s="30"/>
      <c r="SBG43" s="30"/>
      <c r="SBH43" s="30"/>
      <c r="SBI43" s="30"/>
      <c r="SBJ43" s="30"/>
      <c r="SBK43" s="30"/>
      <c r="SBL43" s="30"/>
      <c r="SBM43" s="30"/>
      <c r="SBN43" s="30"/>
      <c r="SBO43" s="30"/>
      <c r="SBP43" s="30"/>
      <c r="SBQ43" s="30"/>
      <c r="SBR43" s="30"/>
      <c r="SBS43" s="30"/>
      <c r="SBT43" s="30"/>
      <c r="SBU43" s="30"/>
      <c r="SBV43" s="30"/>
      <c r="SBW43" s="30"/>
      <c r="SBX43" s="30"/>
      <c r="SBY43" s="30"/>
      <c r="SBZ43" s="30"/>
      <c r="SCA43" s="30"/>
      <c r="SCB43" s="30"/>
      <c r="SCC43" s="30"/>
      <c r="SCD43" s="30"/>
      <c r="SCE43" s="30"/>
      <c r="SCF43" s="30"/>
      <c r="SCG43" s="30"/>
      <c r="SCH43" s="30"/>
      <c r="SCI43" s="30"/>
      <c r="SCJ43" s="30"/>
      <c r="SCK43" s="30"/>
      <c r="SCL43" s="30"/>
      <c r="SCM43" s="30"/>
      <c r="SCN43" s="30"/>
      <c r="SCO43" s="30"/>
      <c r="SCP43" s="30"/>
      <c r="SCQ43" s="30"/>
      <c r="SCR43" s="30"/>
      <c r="SCS43" s="30"/>
      <c r="SCT43" s="30"/>
      <c r="SCU43" s="30"/>
      <c r="SCV43" s="30"/>
      <c r="SCW43" s="30"/>
      <c r="SCX43" s="30"/>
      <c r="SCY43" s="30"/>
      <c r="SCZ43" s="30"/>
      <c r="SDA43" s="30"/>
      <c r="SDB43" s="30"/>
      <c r="SDC43" s="30"/>
      <c r="SDD43" s="30"/>
      <c r="SDE43" s="30"/>
      <c r="SDF43" s="30"/>
      <c r="SDG43" s="30"/>
      <c r="SDH43" s="30"/>
      <c r="SDI43" s="30"/>
      <c r="SDJ43" s="30"/>
      <c r="SDK43" s="30"/>
      <c r="SDL43" s="30"/>
      <c r="SDM43" s="30"/>
      <c r="SDN43" s="30"/>
      <c r="SDO43" s="30"/>
      <c r="SDP43" s="30"/>
      <c r="SDQ43" s="30"/>
      <c r="SDR43" s="30"/>
      <c r="SDS43" s="30"/>
      <c r="SDT43" s="30"/>
      <c r="SDU43" s="30"/>
      <c r="SDV43" s="30"/>
      <c r="SDW43" s="30"/>
      <c r="SDX43" s="30"/>
      <c r="SDY43" s="30"/>
      <c r="SDZ43" s="30"/>
      <c r="SEA43" s="30"/>
      <c r="SEB43" s="30"/>
      <c r="SEC43" s="30"/>
      <c r="SED43" s="30"/>
      <c r="SEE43" s="30"/>
      <c r="SEF43" s="30"/>
      <c r="SEG43" s="30"/>
      <c r="SEH43" s="30"/>
      <c r="SEI43" s="30"/>
      <c r="SEJ43" s="30"/>
      <c r="SEK43" s="30"/>
      <c r="SEL43" s="30"/>
      <c r="SEM43" s="30"/>
      <c r="SEN43" s="30"/>
      <c r="SEO43" s="30"/>
      <c r="SEP43" s="30"/>
      <c r="SEQ43" s="30"/>
      <c r="SER43" s="30"/>
      <c r="SES43" s="30"/>
      <c r="SET43" s="30"/>
      <c r="SEU43" s="30"/>
      <c r="SEV43" s="30"/>
      <c r="SEW43" s="30"/>
      <c r="SEX43" s="30"/>
      <c r="SEY43" s="30"/>
      <c r="SEZ43" s="30"/>
      <c r="SFA43" s="30"/>
      <c r="SFB43" s="30"/>
      <c r="SFC43" s="30"/>
      <c r="SFD43" s="30"/>
      <c r="SFE43" s="30"/>
      <c r="SFF43" s="30"/>
      <c r="SFG43" s="30"/>
      <c r="SFH43" s="30"/>
      <c r="SFI43" s="30"/>
      <c r="SFJ43" s="30"/>
      <c r="SFK43" s="30"/>
      <c r="SFL43" s="30"/>
      <c r="SFM43" s="30"/>
      <c r="SFN43" s="30"/>
      <c r="SFO43" s="30"/>
      <c r="SFP43" s="30"/>
      <c r="SFQ43" s="30"/>
      <c r="SFR43" s="30"/>
      <c r="SFS43" s="30"/>
      <c r="SFT43" s="30"/>
      <c r="SFU43" s="30"/>
      <c r="SFV43" s="30"/>
      <c r="SFW43" s="30"/>
      <c r="SFX43" s="30"/>
      <c r="SFY43" s="30"/>
      <c r="SFZ43" s="30"/>
      <c r="SGA43" s="30"/>
      <c r="SGB43" s="30"/>
      <c r="SGC43" s="30"/>
      <c r="SGD43" s="30"/>
      <c r="SGE43" s="30"/>
      <c r="SGF43" s="30"/>
      <c r="SGG43" s="30"/>
      <c r="SGH43" s="30"/>
      <c r="SGI43" s="30"/>
      <c r="SGJ43" s="30"/>
      <c r="SGK43" s="30"/>
      <c r="SGL43" s="30"/>
      <c r="SGM43" s="30"/>
      <c r="SGN43" s="30"/>
      <c r="SGO43" s="30"/>
      <c r="SGP43" s="30"/>
      <c r="SGQ43" s="30"/>
      <c r="SGR43" s="30"/>
      <c r="SGS43" s="30"/>
      <c r="SGT43" s="30"/>
      <c r="SGU43" s="30"/>
      <c r="SGV43" s="30"/>
      <c r="SGW43" s="30"/>
      <c r="SGX43" s="30"/>
      <c r="SGY43" s="30"/>
      <c r="SGZ43" s="30"/>
      <c r="SHA43" s="30"/>
      <c r="SHB43" s="30"/>
      <c r="SHC43" s="30"/>
      <c r="SHD43" s="30"/>
      <c r="SHE43" s="30"/>
      <c r="SHF43" s="30"/>
      <c r="SHG43" s="30"/>
      <c r="SHH43" s="30"/>
      <c r="SHI43" s="30"/>
      <c r="SHJ43" s="30"/>
      <c r="SHK43" s="30"/>
      <c r="SHL43" s="30"/>
      <c r="SHM43" s="30"/>
      <c r="SHN43" s="30"/>
      <c r="SHO43" s="30"/>
      <c r="SHP43" s="30"/>
      <c r="SHQ43" s="30"/>
      <c r="SHR43" s="30"/>
      <c r="SHS43" s="30"/>
      <c r="SHT43" s="30"/>
      <c r="SHU43" s="30"/>
      <c r="SHV43" s="30"/>
      <c r="SHW43" s="30"/>
      <c r="SHX43" s="30"/>
      <c r="SHY43" s="30"/>
      <c r="SHZ43" s="30"/>
      <c r="SIA43" s="30"/>
      <c r="SIB43" s="30"/>
      <c r="SIC43" s="30"/>
      <c r="SID43" s="30"/>
      <c r="SIE43" s="30"/>
      <c r="SIF43" s="30"/>
      <c r="SIG43" s="30"/>
      <c r="SIH43" s="30"/>
      <c r="SII43" s="30"/>
      <c r="SIJ43" s="30"/>
      <c r="SIK43" s="30"/>
      <c r="SIL43" s="30"/>
      <c r="SIM43" s="30"/>
      <c r="SIN43" s="30"/>
      <c r="SIO43" s="30"/>
      <c r="SIP43" s="30"/>
      <c r="SIQ43" s="30"/>
      <c r="SIR43" s="30"/>
      <c r="SIS43" s="30"/>
      <c r="SIT43" s="30"/>
      <c r="SIU43" s="30"/>
      <c r="SIV43" s="30"/>
      <c r="SIW43" s="30"/>
      <c r="SIX43" s="30"/>
      <c r="SIY43" s="30"/>
      <c r="SIZ43" s="30"/>
      <c r="SJA43" s="30"/>
      <c r="SJB43" s="30"/>
      <c r="SJC43" s="30"/>
      <c r="SJD43" s="30"/>
      <c r="SJE43" s="30"/>
      <c r="SJF43" s="30"/>
      <c r="SJG43" s="30"/>
      <c r="SJH43" s="30"/>
      <c r="SJI43" s="30"/>
      <c r="SJJ43" s="30"/>
      <c r="SJK43" s="30"/>
      <c r="SJL43" s="30"/>
      <c r="SJM43" s="30"/>
      <c r="SJN43" s="30"/>
      <c r="SJO43" s="30"/>
      <c r="SJP43" s="30"/>
      <c r="SJQ43" s="30"/>
      <c r="SJR43" s="30"/>
      <c r="SJS43" s="30"/>
      <c r="SJT43" s="30"/>
      <c r="SJU43" s="30"/>
      <c r="SJV43" s="30"/>
      <c r="SJW43" s="30"/>
      <c r="SJX43" s="30"/>
      <c r="SJY43" s="30"/>
      <c r="SJZ43" s="30"/>
      <c r="SKA43" s="30"/>
      <c r="SKB43" s="30"/>
      <c r="SKC43" s="30"/>
      <c r="SKD43" s="30"/>
      <c r="SKE43" s="30"/>
      <c r="SKF43" s="30"/>
      <c r="SKG43" s="30"/>
      <c r="SKH43" s="30"/>
      <c r="SKI43" s="30"/>
      <c r="SKJ43" s="30"/>
      <c r="SKK43" s="30"/>
      <c r="SKL43" s="30"/>
      <c r="SKM43" s="30"/>
      <c r="SKN43" s="30"/>
      <c r="SKO43" s="30"/>
      <c r="SKP43" s="30"/>
      <c r="SKQ43" s="30"/>
      <c r="SKR43" s="30"/>
      <c r="SKS43" s="30"/>
      <c r="SKT43" s="30"/>
      <c r="SKU43" s="30"/>
      <c r="SKV43" s="30"/>
      <c r="SKW43" s="30"/>
      <c r="SKX43" s="30"/>
      <c r="SKY43" s="30"/>
      <c r="SKZ43" s="30"/>
      <c r="SLA43" s="30"/>
      <c r="SLB43" s="30"/>
      <c r="SLC43" s="30"/>
      <c r="SLD43" s="30"/>
      <c r="SLE43" s="30"/>
      <c r="SLF43" s="30"/>
      <c r="SLG43" s="30"/>
      <c r="SLH43" s="30"/>
      <c r="SLI43" s="30"/>
      <c r="SLJ43" s="30"/>
      <c r="SLK43" s="30"/>
      <c r="SLL43" s="30"/>
      <c r="SLM43" s="30"/>
      <c r="SLN43" s="30"/>
      <c r="SLO43" s="30"/>
      <c r="SLP43" s="30"/>
      <c r="SLQ43" s="30"/>
      <c r="SLR43" s="30"/>
      <c r="SLS43" s="30"/>
      <c r="SLT43" s="30"/>
      <c r="SLU43" s="30"/>
      <c r="SLV43" s="30"/>
      <c r="SLW43" s="30"/>
      <c r="SLX43" s="30"/>
      <c r="SLY43" s="30"/>
      <c r="SLZ43" s="30"/>
      <c r="SMA43" s="30"/>
      <c r="SMB43" s="30"/>
      <c r="SMC43" s="30"/>
      <c r="SMD43" s="30"/>
      <c r="SME43" s="30"/>
      <c r="SMF43" s="30"/>
      <c r="SMG43" s="30"/>
      <c r="SMH43" s="30"/>
      <c r="SMI43" s="30"/>
      <c r="SMJ43" s="30"/>
      <c r="SMK43" s="30"/>
      <c r="SML43" s="30"/>
      <c r="SMM43" s="30"/>
      <c r="SMN43" s="30"/>
      <c r="SMO43" s="30"/>
      <c r="SMP43" s="30"/>
      <c r="SMQ43" s="30"/>
      <c r="SMR43" s="30"/>
      <c r="SMS43" s="30"/>
      <c r="SMT43" s="30"/>
      <c r="SMU43" s="30"/>
      <c r="SMV43" s="30"/>
      <c r="SMW43" s="30"/>
      <c r="SMX43" s="30"/>
      <c r="SMY43" s="30"/>
      <c r="SMZ43" s="30"/>
      <c r="SNA43" s="30"/>
      <c r="SNB43" s="30"/>
      <c r="SNC43" s="30"/>
      <c r="SND43" s="30"/>
      <c r="SNE43" s="30"/>
      <c r="SNF43" s="30"/>
      <c r="SNG43" s="30"/>
      <c r="SNH43" s="30"/>
      <c r="SNI43" s="30"/>
      <c r="SNJ43" s="30"/>
      <c r="SNK43" s="30"/>
      <c r="SNL43" s="30"/>
      <c r="SNM43" s="30"/>
      <c r="SNN43" s="30"/>
      <c r="SNO43" s="30"/>
      <c r="SNP43" s="30"/>
      <c r="SNQ43" s="30"/>
      <c r="SNR43" s="30"/>
      <c r="SNS43" s="30"/>
      <c r="SNT43" s="30"/>
      <c r="SNU43" s="30"/>
      <c r="SNV43" s="30"/>
      <c r="SNW43" s="30"/>
      <c r="SNX43" s="30"/>
      <c r="SNY43" s="30"/>
      <c r="SNZ43" s="30"/>
      <c r="SOA43" s="30"/>
      <c r="SOB43" s="30"/>
      <c r="SOC43" s="30"/>
      <c r="SOD43" s="30"/>
      <c r="SOE43" s="30"/>
      <c r="SOF43" s="30"/>
      <c r="SOG43" s="30"/>
      <c r="SOH43" s="30"/>
      <c r="SOI43" s="30"/>
      <c r="SOJ43" s="30"/>
      <c r="SOK43" s="30"/>
      <c r="SOL43" s="30"/>
      <c r="SOM43" s="30"/>
      <c r="SON43" s="30"/>
      <c r="SOO43" s="30"/>
      <c r="SOP43" s="30"/>
      <c r="SOQ43" s="30"/>
      <c r="SOR43" s="30"/>
      <c r="SOS43" s="30"/>
      <c r="SOT43" s="30"/>
      <c r="SOU43" s="30"/>
      <c r="SOV43" s="30"/>
      <c r="SOW43" s="30"/>
      <c r="SOX43" s="30"/>
      <c r="SOY43" s="30"/>
      <c r="SOZ43" s="30"/>
      <c r="SPA43" s="30"/>
      <c r="SPB43" s="30"/>
      <c r="SPC43" s="30"/>
      <c r="SPD43" s="30"/>
      <c r="SPE43" s="30"/>
      <c r="SPF43" s="30"/>
      <c r="SPG43" s="30"/>
      <c r="SPH43" s="30"/>
      <c r="SPI43" s="30"/>
      <c r="SPJ43" s="30"/>
      <c r="SPK43" s="30"/>
      <c r="SPL43" s="30"/>
      <c r="SPM43" s="30"/>
      <c r="SPN43" s="30"/>
      <c r="SPO43" s="30"/>
      <c r="SPP43" s="30"/>
      <c r="SPQ43" s="30"/>
      <c r="SPR43" s="30"/>
      <c r="SPS43" s="30"/>
      <c r="SPT43" s="30"/>
      <c r="SPU43" s="30"/>
      <c r="SPV43" s="30"/>
      <c r="SPW43" s="30"/>
      <c r="SPX43" s="30"/>
      <c r="SPY43" s="30"/>
      <c r="SPZ43" s="30"/>
      <c r="SQA43" s="30"/>
      <c r="SQB43" s="30"/>
      <c r="SQC43" s="30"/>
      <c r="SQD43" s="30"/>
      <c r="SQE43" s="30"/>
      <c r="SQF43" s="30"/>
      <c r="SQG43" s="30"/>
      <c r="SQH43" s="30"/>
      <c r="SQI43" s="30"/>
      <c r="SQJ43" s="30"/>
      <c r="SQK43" s="30"/>
      <c r="SQL43" s="30"/>
      <c r="SQM43" s="30"/>
      <c r="SQN43" s="30"/>
      <c r="SQO43" s="30"/>
      <c r="SQP43" s="30"/>
      <c r="SQQ43" s="30"/>
      <c r="SQR43" s="30"/>
      <c r="SQS43" s="30"/>
      <c r="SQT43" s="30"/>
      <c r="SQU43" s="30"/>
      <c r="SQV43" s="30"/>
      <c r="SQW43" s="30"/>
      <c r="SQX43" s="30"/>
      <c r="SQY43" s="30"/>
      <c r="SQZ43" s="30"/>
      <c r="SRA43" s="30"/>
      <c r="SRB43" s="30"/>
      <c r="SRC43" s="30"/>
      <c r="SRD43" s="30"/>
      <c r="SRE43" s="30"/>
      <c r="SRF43" s="30"/>
      <c r="SRG43" s="30"/>
      <c r="SRH43" s="30"/>
      <c r="SRI43" s="30"/>
      <c r="SRJ43" s="30"/>
      <c r="SRK43" s="30"/>
      <c r="SRL43" s="30"/>
      <c r="SRM43" s="30"/>
      <c r="SRN43" s="30"/>
      <c r="SRO43" s="30"/>
      <c r="SRP43" s="30"/>
      <c r="SRQ43" s="30"/>
      <c r="SRR43" s="30"/>
      <c r="SRS43" s="30"/>
      <c r="SRT43" s="30"/>
      <c r="SRU43" s="30"/>
      <c r="SRV43" s="30"/>
      <c r="SRW43" s="30"/>
      <c r="SRX43" s="30"/>
      <c r="SRY43" s="30"/>
      <c r="SRZ43" s="30"/>
      <c r="SSA43" s="30"/>
      <c r="SSB43" s="30"/>
      <c r="SSC43" s="30"/>
      <c r="SSD43" s="30"/>
      <c r="SSE43" s="30"/>
      <c r="SSF43" s="30"/>
      <c r="SSG43" s="30"/>
      <c r="SSH43" s="30"/>
      <c r="SSI43" s="30"/>
      <c r="SSJ43" s="30"/>
      <c r="SSK43" s="30"/>
      <c r="SSL43" s="30"/>
      <c r="SSM43" s="30"/>
      <c r="SSN43" s="30"/>
      <c r="SSO43" s="30"/>
      <c r="SSP43" s="30"/>
      <c r="SSQ43" s="30"/>
      <c r="SSR43" s="30"/>
      <c r="SSS43" s="30"/>
      <c r="SST43" s="30"/>
      <c r="SSU43" s="30"/>
      <c r="SSV43" s="30"/>
      <c r="SSW43" s="30"/>
      <c r="SSX43" s="30"/>
      <c r="SSY43" s="30"/>
      <c r="SSZ43" s="30"/>
      <c r="STA43" s="30"/>
      <c r="STB43" s="30"/>
      <c r="STC43" s="30"/>
      <c r="STD43" s="30"/>
      <c r="STE43" s="30"/>
      <c r="STF43" s="30"/>
      <c r="STG43" s="30"/>
      <c r="STH43" s="30"/>
      <c r="STI43" s="30"/>
      <c r="STJ43" s="30"/>
      <c r="STK43" s="30"/>
      <c r="STL43" s="30"/>
      <c r="STM43" s="30"/>
      <c r="STN43" s="30"/>
      <c r="STO43" s="30"/>
      <c r="STP43" s="30"/>
      <c r="STQ43" s="30"/>
      <c r="STR43" s="30"/>
      <c r="STS43" s="30"/>
      <c r="STT43" s="30"/>
      <c r="STU43" s="30"/>
      <c r="STV43" s="30"/>
      <c r="STW43" s="30"/>
      <c r="STX43" s="30"/>
      <c r="STY43" s="30"/>
      <c r="STZ43" s="30"/>
      <c r="SUA43" s="30"/>
      <c r="SUB43" s="30"/>
      <c r="SUC43" s="30"/>
      <c r="SUD43" s="30"/>
      <c r="SUE43" s="30"/>
      <c r="SUF43" s="30"/>
      <c r="SUG43" s="30"/>
      <c r="SUH43" s="30"/>
      <c r="SUI43" s="30"/>
      <c r="SUJ43" s="30"/>
      <c r="SUK43" s="30"/>
      <c r="SUL43" s="30"/>
      <c r="SUM43" s="30"/>
      <c r="SUN43" s="30"/>
      <c r="SUO43" s="30"/>
      <c r="SUP43" s="30"/>
      <c r="SUQ43" s="30"/>
      <c r="SUR43" s="30"/>
      <c r="SUS43" s="30"/>
      <c r="SUT43" s="30"/>
      <c r="SUU43" s="30"/>
      <c r="SUV43" s="30"/>
      <c r="SUW43" s="30"/>
      <c r="SUX43" s="30"/>
      <c r="SUY43" s="30"/>
      <c r="SUZ43" s="30"/>
      <c r="SVA43" s="30"/>
      <c r="SVB43" s="30"/>
      <c r="SVC43" s="30"/>
      <c r="SVD43" s="30"/>
      <c r="SVE43" s="30"/>
      <c r="SVF43" s="30"/>
      <c r="SVG43" s="30"/>
      <c r="SVH43" s="30"/>
      <c r="SVI43" s="30"/>
      <c r="SVJ43" s="30"/>
      <c r="SVK43" s="30"/>
      <c r="SVL43" s="30"/>
      <c r="SVM43" s="30"/>
      <c r="SVN43" s="30"/>
      <c r="SVO43" s="30"/>
      <c r="SVP43" s="30"/>
      <c r="SVQ43" s="30"/>
      <c r="SVR43" s="30"/>
      <c r="SVS43" s="30"/>
      <c r="SVT43" s="30"/>
      <c r="SVU43" s="30"/>
      <c r="SVV43" s="30"/>
      <c r="SVW43" s="30"/>
      <c r="SVX43" s="30"/>
      <c r="SVY43" s="30"/>
      <c r="SVZ43" s="30"/>
      <c r="SWA43" s="30"/>
      <c r="SWB43" s="30"/>
      <c r="SWC43" s="30"/>
      <c r="SWD43" s="30"/>
      <c r="SWE43" s="30"/>
      <c r="SWF43" s="30"/>
      <c r="SWG43" s="30"/>
      <c r="SWH43" s="30"/>
      <c r="SWI43" s="30"/>
      <c r="SWJ43" s="30"/>
      <c r="SWK43" s="30"/>
      <c r="SWL43" s="30"/>
      <c r="SWM43" s="30"/>
      <c r="SWN43" s="30"/>
      <c r="SWO43" s="30"/>
      <c r="SWP43" s="30"/>
      <c r="SWQ43" s="30"/>
      <c r="SWR43" s="30"/>
      <c r="SWS43" s="30"/>
      <c r="SWT43" s="30"/>
      <c r="SWU43" s="30"/>
      <c r="SWV43" s="30"/>
      <c r="SWW43" s="30"/>
      <c r="SWX43" s="30"/>
      <c r="SWY43" s="30"/>
      <c r="SWZ43" s="30"/>
      <c r="SXA43" s="30"/>
      <c r="SXB43" s="30"/>
      <c r="SXC43" s="30"/>
      <c r="SXD43" s="30"/>
      <c r="SXE43" s="30"/>
      <c r="SXF43" s="30"/>
      <c r="SXG43" s="30"/>
      <c r="SXH43" s="30"/>
      <c r="SXI43" s="30"/>
      <c r="SXJ43" s="30"/>
      <c r="SXK43" s="30"/>
      <c r="SXL43" s="30"/>
      <c r="SXM43" s="30"/>
      <c r="SXN43" s="30"/>
      <c r="SXO43" s="30"/>
      <c r="SXP43" s="30"/>
      <c r="SXQ43" s="30"/>
      <c r="SXR43" s="30"/>
      <c r="SXS43" s="30"/>
      <c r="SXT43" s="30"/>
      <c r="SXU43" s="30"/>
      <c r="SXV43" s="30"/>
      <c r="SXW43" s="30"/>
      <c r="SXX43" s="30"/>
      <c r="SXY43" s="30"/>
      <c r="SXZ43" s="30"/>
      <c r="SYA43" s="30"/>
      <c r="SYB43" s="30"/>
      <c r="SYC43" s="30"/>
      <c r="SYD43" s="30"/>
      <c r="SYE43" s="30"/>
      <c r="SYF43" s="30"/>
      <c r="SYG43" s="30"/>
      <c r="SYH43" s="30"/>
      <c r="SYI43" s="30"/>
      <c r="SYJ43" s="30"/>
      <c r="SYK43" s="30"/>
      <c r="SYL43" s="30"/>
      <c r="SYM43" s="30"/>
      <c r="SYN43" s="30"/>
      <c r="SYO43" s="30"/>
      <c r="SYP43" s="30"/>
      <c r="SYQ43" s="30"/>
      <c r="SYR43" s="30"/>
      <c r="SYS43" s="30"/>
      <c r="SYT43" s="30"/>
      <c r="SYU43" s="30"/>
      <c r="SYV43" s="30"/>
      <c r="SYW43" s="30"/>
      <c r="SYX43" s="30"/>
      <c r="SYY43" s="30"/>
      <c r="SYZ43" s="30"/>
      <c r="SZA43" s="30"/>
      <c r="SZB43" s="30"/>
      <c r="SZC43" s="30"/>
      <c r="SZD43" s="30"/>
      <c r="SZE43" s="30"/>
      <c r="SZF43" s="30"/>
      <c r="SZG43" s="30"/>
      <c r="SZH43" s="30"/>
      <c r="SZI43" s="30"/>
      <c r="SZJ43" s="30"/>
      <c r="SZK43" s="30"/>
      <c r="SZL43" s="30"/>
      <c r="SZM43" s="30"/>
      <c r="SZN43" s="30"/>
      <c r="SZO43" s="30"/>
      <c r="SZP43" s="30"/>
      <c r="SZQ43" s="30"/>
      <c r="SZR43" s="30"/>
      <c r="SZS43" s="30"/>
      <c r="SZT43" s="30"/>
      <c r="SZU43" s="30"/>
      <c r="SZV43" s="30"/>
      <c r="SZW43" s="30"/>
      <c r="SZX43" s="30"/>
      <c r="SZY43" s="30"/>
      <c r="SZZ43" s="30"/>
      <c r="TAA43" s="30"/>
      <c r="TAB43" s="30"/>
      <c r="TAC43" s="30"/>
      <c r="TAD43" s="30"/>
      <c r="TAE43" s="30"/>
      <c r="TAF43" s="30"/>
      <c r="TAG43" s="30"/>
      <c r="TAH43" s="30"/>
      <c r="TAI43" s="30"/>
      <c r="TAJ43" s="30"/>
      <c r="TAK43" s="30"/>
      <c r="TAL43" s="30"/>
      <c r="TAM43" s="30"/>
      <c r="TAN43" s="30"/>
      <c r="TAO43" s="30"/>
      <c r="TAP43" s="30"/>
      <c r="TAQ43" s="30"/>
      <c r="TAR43" s="30"/>
      <c r="TAS43" s="30"/>
      <c r="TAT43" s="30"/>
      <c r="TAU43" s="30"/>
      <c r="TAV43" s="30"/>
      <c r="TAW43" s="30"/>
      <c r="TAX43" s="30"/>
      <c r="TAY43" s="30"/>
      <c r="TAZ43" s="30"/>
      <c r="TBA43" s="30"/>
      <c r="TBB43" s="30"/>
      <c r="TBC43" s="30"/>
      <c r="TBD43" s="30"/>
      <c r="TBE43" s="30"/>
      <c r="TBF43" s="30"/>
      <c r="TBG43" s="30"/>
      <c r="TBH43" s="30"/>
      <c r="TBI43" s="30"/>
      <c r="TBJ43" s="30"/>
      <c r="TBK43" s="30"/>
      <c r="TBL43" s="30"/>
      <c r="TBM43" s="30"/>
      <c r="TBN43" s="30"/>
      <c r="TBO43" s="30"/>
      <c r="TBP43" s="30"/>
      <c r="TBQ43" s="30"/>
      <c r="TBR43" s="30"/>
      <c r="TBS43" s="30"/>
      <c r="TBT43" s="30"/>
      <c r="TBU43" s="30"/>
      <c r="TBV43" s="30"/>
      <c r="TBW43" s="30"/>
      <c r="TBX43" s="30"/>
      <c r="TBY43" s="30"/>
      <c r="TBZ43" s="30"/>
      <c r="TCA43" s="30"/>
      <c r="TCB43" s="30"/>
      <c r="TCC43" s="30"/>
      <c r="TCD43" s="30"/>
      <c r="TCE43" s="30"/>
      <c r="TCF43" s="30"/>
      <c r="TCG43" s="30"/>
      <c r="TCH43" s="30"/>
      <c r="TCI43" s="30"/>
      <c r="TCJ43" s="30"/>
      <c r="TCK43" s="30"/>
      <c r="TCL43" s="30"/>
      <c r="TCM43" s="30"/>
      <c r="TCN43" s="30"/>
      <c r="TCO43" s="30"/>
      <c r="TCP43" s="30"/>
      <c r="TCQ43" s="30"/>
      <c r="TCR43" s="30"/>
      <c r="TCS43" s="30"/>
      <c r="TCT43" s="30"/>
      <c r="TCU43" s="30"/>
      <c r="TCV43" s="30"/>
      <c r="TCW43" s="30"/>
      <c r="TCX43" s="30"/>
      <c r="TCY43" s="30"/>
      <c r="TCZ43" s="30"/>
      <c r="TDA43" s="30"/>
      <c r="TDB43" s="30"/>
      <c r="TDC43" s="30"/>
      <c r="TDD43" s="30"/>
      <c r="TDE43" s="30"/>
      <c r="TDF43" s="30"/>
      <c r="TDG43" s="30"/>
      <c r="TDH43" s="30"/>
      <c r="TDI43" s="30"/>
      <c r="TDJ43" s="30"/>
      <c r="TDK43" s="30"/>
      <c r="TDL43" s="30"/>
      <c r="TDM43" s="30"/>
      <c r="TDN43" s="30"/>
      <c r="TDO43" s="30"/>
      <c r="TDP43" s="30"/>
      <c r="TDQ43" s="30"/>
      <c r="TDR43" s="30"/>
      <c r="TDS43" s="30"/>
      <c r="TDT43" s="30"/>
      <c r="TDU43" s="30"/>
      <c r="TDV43" s="30"/>
      <c r="TDW43" s="30"/>
      <c r="TDX43" s="30"/>
      <c r="TDY43" s="30"/>
      <c r="TDZ43" s="30"/>
      <c r="TEA43" s="30"/>
      <c r="TEB43" s="30"/>
      <c r="TEC43" s="30"/>
      <c r="TED43" s="30"/>
      <c r="TEE43" s="30"/>
      <c r="TEF43" s="30"/>
      <c r="TEG43" s="30"/>
      <c r="TEH43" s="30"/>
      <c r="TEI43" s="30"/>
      <c r="TEJ43" s="30"/>
      <c r="TEK43" s="30"/>
      <c r="TEL43" s="30"/>
      <c r="TEM43" s="30"/>
      <c r="TEN43" s="30"/>
      <c r="TEO43" s="30"/>
      <c r="TEP43" s="30"/>
      <c r="TEQ43" s="30"/>
      <c r="TER43" s="30"/>
      <c r="TES43" s="30"/>
      <c r="TET43" s="30"/>
      <c r="TEU43" s="30"/>
      <c r="TEV43" s="30"/>
      <c r="TEW43" s="30"/>
      <c r="TEX43" s="30"/>
      <c r="TEY43" s="30"/>
      <c r="TEZ43" s="30"/>
      <c r="TFA43" s="30"/>
      <c r="TFB43" s="30"/>
      <c r="TFC43" s="30"/>
      <c r="TFD43" s="30"/>
      <c r="TFE43" s="30"/>
      <c r="TFF43" s="30"/>
      <c r="TFG43" s="30"/>
      <c r="TFH43" s="30"/>
      <c r="TFI43" s="30"/>
      <c r="TFJ43" s="30"/>
      <c r="TFK43" s="30"/>
      <c r="TFL43" s="30"/>
      <c r="TFM43" s="30"/>
      <c r="TFN43" s="30"/>
      <c r="TFO43" s="30"/>
      <c r="TFP43" s="30"/>
      <c r="TFQ43" s="30"/>
      <c r="TFR43" s="30"/>
      <c r="TFS43" s="30"/>
      <c r="TFT43" s="30"/>
      <c r="TFU43" s="30"/>
      <c r="TFV43" s="30"/>
      <c r="TFW43" s="30"/>
      <c r="TFX43" s="30"/>
      <c r="TFY43" s="30"/>
      <c r="TFZ43" s="30"/>
      <c r="TGA43" s="30"/>
      <c r="TGB43" s="30"/>
      <c r="TGC43" s="30"/>
      <c r="TGD43" s="30"/>
      <c r="TGE43" s="30"/>
      <c r="TGF43" s="30"/>
      <c r="TGG43" s="30"/>
      <c r="TGH43" s="30"/>
      <c r="TGI43" s="30"/>
      <c r="TGJ43" s="30"/>
      <c r="TGK43" s="30"/>
      <c r="TGL43" s="30"/>
      <c r="TGM43" s="30"/>
      <c r="TGN43" s="30"/>
      <c r="TGO43" s="30"/>
      <c r="TGP43" s="30"/>
      <c r="TGQ43" s="30"/>
      <c r="TGR43" s="30"/>
      <c r="TGS43" s="30"/>
      <c r="TGT43" s="30"/>
      <c r="TGU43" s="30"/>
      <c r="TGV43" s="30"/>
      <c r="TGW43" s="30"/>
      <c r="TGX43" s="30"/>
      <c r="TGY43" s="30"/>
      <c r="TGZ43" s="30"/>
      <c r="THA43" s="30"/>
      <c r="THB43" s="30"/>
      <c r="THC43" s="30"/>
      <c r="THD43" s="30"/>
      <c r="THE43" s="30"/>
      <c r="THF43" s="30"/>
      <c r="THG43" s="30"/>
      <c r="THH43" s="30"/>
      <c r="THI43" s="30"/>
      <c r="THJ43" s="30"/>
      <c r="THK43" s="30"/>
      <c r="THL43" s="30"/>
      <c r="THM43" s="30"/>
      <c r="THN43" s="30"/>
      <c r="THO43" s="30"/>
      <c r="THP43" s="30"/>
      <c r="THQ43" s="30"/>
      <c r="THR43" s="30"/>
      <c r="THS43" s="30"/>
      <c r="THT43" s="30"/>
      <c r="THU43" s="30"/>
      <c r="THV43" s="30"/>
      <c r="THW43" s="30"/>
      <c r="THX43" s="30"/>
      <c r="THY43" s="30"/>
      <c r="THZ43" s="30"/>
      <c r="TIA43" s="30"/>
      <c r="TIB43" s="30"/>
      <c r="TIC43" s="30"/>
      <c r="TID43" s="30"/>
      <c r="TIE43" s="30"/>
      <c r="TIF43" s="30"/>
      <c r="TIG43" s="30"/>
      <c r="TIH43" s="30"/>
      <c r="TII43" s="30"/>
      <c r="TIJ43" s="30"/>
      <c r="TIK43" s="30"/>
      <c r="TIL43" s="30"/>
      <c r="TIM43" s="30"/>
      <c r="TIN43" s="30"/>
      <c r="TIO43" s="30"/>
      <c r="TIP43" s="30"/>
      <c r="TIQ43" s="30"/>
      <c r="TIR43" s="30"/>
      <c r="TIS43" s="30"/>
      <c r="TIT43" s="30"/>
      <c r="TIU43" s="30"/>
      <c r="TIV43" s="30"/>
      <c r="TIW43" s="30"/>
      <c r="TIX43" s="30"/>
      <c r="TIY43" s="30"/>
      <c r="TIZ43" s="30"/>
      <c r="TJA43" s="30"/>
      <c r="TJB43" s="30"/>
      <c r="TJC43" s="30"/>
      <c r="TJD43" s="30"/>
      <c r="TJE43" s="30"/>
      <c r="TJF43" s="30"/>
      <c r="TJG43" s="30"/>
      <c r="TJH43" s="30"/>
      <c r="TJI43" s="30"/>
      <c r="TJJ43" s="30"/>
      <c r="TJK43" s="30"/>
      <c r="TJL43" s="30"/>
      <c r="TJM43" s="30"/>
      <c r="TJN43" s="30"/>
      <c r="TJO43" s="30"/>
      <c r="TJP43" s="30"/>
      <c r="TJQ43" s="30"/>
      <c r="TJR43" s="30"/>
      <c r="TJS43" s="30"/>
      <c r="TJT43" s="30"/>
      <c r="TJU43" s="30"/>
      <c r="TJV43" s="30"/>
      <c r="TJW43" s="30"/>
      <c r="TJX43" s="30"/>
      <c r="TJY43" s="30"/>
      <c r="TJZ43" s="30"/>
      <c r="TKA43" s="30"/>
      <c r="TKB43" s="30"/>
      <c r="TKC43" s="30"/>
      <c r="TKD43" s="30"/>
      <c r="TKE43" s="30"/>
      <c r="TKF43" s="30"/>
      <c r="TKG43" s="30"/>
      <c r="TKH43" s="30"/>
      <c r="TKI43" s="30"/>
      <c r="TKJ43" s="30"/>
      <c r="TKK43" s="30"/>
      <c r="TKL43" s="30"/>
      <c r="TKM43" s="30"/>
      <c r="TKN43" s="30"/>
      <c r="TKO43" s="30"/>
      <c r="TKP43" s="30"/>
      <c r="TKQ43" s="30"/>
      <c r="TKR43" s="30"/>
      <c r="TKS43" s="30"/>
      <c r="TKT43" s="30"/>
      <c r="TKU43" s="30"/>
      <c r="TKV43" s="30"/>
      <c r="TKW43" s="30"/>
      <c r="TKX43" s="30"/>
      <c r="TKY43" s="30"/>
      <c r="TKZ43" s="30"/>
      <c r="TLA43" s="30"/>
      <c r="TLB43" s="30"/>
      <c r="TLC43" s="30"/>
      <c r="TLD43" s="30"/>
      <c r="TLE43" s="30"/>
      <c r="TLF43" s="30"/>
      <c r="TLG43" s="30"/>
      <c r="TLH43" s="30"/>
      <c r="TLI43" s="30"/>
      <c r="TLJ43" s="30"/>
      <c r="TLK43" s="30"/>
      <c r="TLL43" s="30"/>
      <c r="TLM43" s="30"/>
      <c r="TLN43" s="30"/>
      <c r="TLO43" s="30"/>
      <c r="TLP43" s="30"/>
      <c r="TLQ43" s="30"/>
      <c r="TLR43" s="30"/>
      <c r="TLS43" s="30"/>
      <c r="TLT43" s="30"/>
      <c r="TLU43" s="30"/>
      <c r="TLV43" s="30"/>
      <c r="TLW43" s="30"/>
      <c r="TLX43" s="30"/>
      <c r="TLY43" s="30"/>
      <c r="TLZ43" s="30"/>
      <c r="TMA43" s="30"/>
      <c r="TMB43" s="30"/>
      <c r="TMC43" s="30"/>
      <c r="TMD43" s="30"/>
      <c r="TME43" s="30"/>
      <c r="TMF43" s="30"/>
      <c r="TMG43" s="30"/>
      <c r="TMH43" s="30"/>
      <c r="TMI43" s="30"/>
      <c r="TMJ43" s="30"/>
      <c r="TMK43" s="30"/>
      <c r="TML43" s="30"/>
      <c r="TMM43" s="30"/>
      <c r="TMN43" s="30"/>
      <c r="TMO43" s="30"/>
      <c r="TMP43" s="30"/>
      <c r="TMQ43" s="30"/>
      <c r="TMR43" s="30"/>
      <c r="TMS43" s="30"/>
      <c r="TMT43" s="30"/>
      <c r="TMU43" s="30"/>
      <c r="TMV43" s="30"/>
      <c r="TMW43" s="30"/>
      <c r="TMX43" s="30"/>
      <c r="TMY43" s="30"/>
      <c r="TMZ43" s="30"/>
      <c r="TNA43" s="30"/>
      <c r="TNB43" s="30"/>
      <c r="TNC43" s="30"/>
      <c r="TND43" s="30"/>
      <c r="TNE43" s="30"/>
      <c r="TNF43" s="30"/>
      <c r="TNG43" s="30"/>
      <c r="TNH43" s="30"/>
      <c r="TNI43" s="30"/>
      <c r="TNJ43" s="30"/>
      <c r="TNK43" s="30"/>
      <c r="TNL43" s="30"/>
      <c r="TNM43" s="30"/>
      <c r="TNN43" s="30"/>
      <c r="TNO43" s="30"/>
      <c r="TNP43" s="30"/>
      <c r="TNQ43" s="30"/>
      <c r="TNR43" s="30"/>
      <c r="TNS43" s="30"/>
      <c r="TNT43" s="30"/>
      <c r="TNU43" s="30"/>
      <c r="TNV43" s="30"/>
      <c r="TNW43" s="30"/>
      <c r="TNX43" s="30"/>
      <c r="TNY43" s="30"/>
      <c r="TNZ43" s="30"/>
      <c r="TOA43" s="30"/>
      <c r="TOB43" s="30"/>
      <c r="TOC43" s="30"/>
      <c r="TOD43" s="30"/>
      <c r="TOE43" s="30"/>
      <c r="TOF43" s="30"/>
      <c r="TOG43" s="30"/>
      <c r="TOH43" s="30"/>
      <c r="TOI43" s="30"/>
      <c r="TOJ43" s="30"/>
      <c r="TOK43" s="30"/>
      <c r="TOL43" s="30"/>
      <c r="TOM43" s="30"/>
      <c r="TON43" s="30"/>
      <c r="TOO43" s="30"/>
      <c r="TOP43" s="30"/>
      <c r="TOQ43" s="30"/>
      <c r="TOR43" s="30"/>
      <c r="TOS43" s="30"/>
      <c r="TOT43" s="30"/>
      <c r="TOU43" s="30"/>
      <c r="TOV43" s="30"/>
      <c r="TOW43" s="30"/>
      <c r="TOX43" s="30"/>
      <c r="TOY43" s="30"/>
      <c r="TOZ43" s="30"/>
      <c r="TPA43" s="30"/>
      <c r="TPB43" s="30"/>
      <c r="TPC43" s="30"/>
      <c r="TPD43" s="30"/>
      <c r="TPE43" s="30"/>
      <c r="TPF43" s="30"/>
      <c r="TPG43" s="30"/>
      <c r="TPH43" s="30"/>
      <c r="TPI43" s="30"/>
      <c r="TPJ43" s="30"/>
      <c r="TPK43" s="30"/>
      <c r="TPL43" s="30"/>
      <c r="TPM43" s="30"/>
      <c r="TPN43" s="30"/>
      <c r="TPO43" s="30"/>
      <c r="TPP43" s="30"/>
      <c r="TPQ43" s="30"/>
      <c r="TPR43" s="30"/>
      <c r="TPS43" s="30"/>
      <c r="TPT43" s="30"/>
      <c r="TPU43" s="30"/>
      <c r="TPV43" s="30"/>
      <c r="TPW43" s="30"/>
      <c r="TPX43" s="30"/>
      <c r="TPY43" s="30"/>
      <c r="TPZ43" s="30"/>
      <c r="TQA43" s="30"/>
      <c r="TQB43" s="30"/>
      <c r="TQC43" s="30"/>
      <c r="TQD43" s="30"/>
      <c r="TQE43" s="30"/>
      <c r="TQF43" s="30"/>
      <c r="TQG43" s="30"/>
      <c r="TQH43" s="30"/>
      <c r="TQI43" s="30"/>
      <c r="TQJ43" s="30"/>
      <c r="TQK43" s="30"/>
      <c r="TQL43" s="30"/>
      <c r="TQM43" s="30"/>
      <c r="TQN43" s="30"/>
      <c r="TQO43" s="30"/>
      <c r="TQP43" s="30"/>
      <c r="TQQ43" s="30"/>
      <c r="TQR43" s="30"/>
      <c r="TQS43" s="30"/>
      <c r="TQT43" s="30"/>
      <c r="TQU43" s="30"/>
      <c r="TQV43" s="30"/>
      <c r="TQW43" s="30"/>
      <c r="TQX43" s="30"/>
      <c r="TQY43" s="30"/>
      <c r="TQZ43" s="30"/>
      <c r="TRA43" s="30"/>
      <c r="TRB43" s="30"/>
      <c r="TRC43" s="30"/>
      <c r="TRD43" s="30"/>
      <c r="TRE43" s="30"/>
      <c r="TRF43" s="30"/>
      <c r="TRG43" s="30"/>
      <c r="TRH43" s="30"/>
      <c r="TRI43" s="30"/>
      <c r="TRJ43" s="30"/>
      <c r="TRK43" s="30"/>
      <c r="TRL43" s="30"/>
      <c r="TRM43" s="30"/>
      <c r="TRN43" s="30"/>
      <c r="TRO43" s="30"/>
      <c r="TRP43" s="30"/>
      <c r="TRQ43" s="30"/>
      <c r="TRR43" s="30"/>
      <c r="TRS43" s="30"/>
      <c r="TRT43" s="30"/>
      <c r="TRU43" s="30"/>
      <c r="TRV43" s="30"/>
      <c r="TRW43" s="30"/>
      <c r="TRX43" s="30"/>
      <c r="TRY43" s="30"/>
      <c r="TRZ43" s="30"/>
      <c r="TSA43" s="30"/>
      <c r="TSB43" s="30"/>
      <c r="TSC43" s="30"/>
      <c r="TSD43" s="30"/>
      <c r="TSE43" s="30"/>
      <c r="TSF43" s="30"/>
      <c r="TSG43" s="30"/>
      <c r="TSH43" s="30"/>
      <c r="TSI43" s="30"/>
      <c r="TSJ43" s="30"/>
      <c r="TSK43" s="30"/>
      <c r="TSL43" s="30"/>
      <c r="TSM43" s="30"/>
      <c r="TSN43" s="30"/>
      <c r="TSO43" s="30"/>
      <c r="TSP43" s="30"/>
      <c r="TSQ43" s="30"/>
      <c r="TSR43" s="30"/>
      <c r="TSS43" s="30"/>
      <c r="TST43" s="30"/>
      <c r="TSU43" s="30"/>
      <c r="TSV43" s="30"/>
      <c r="TSW43" s="30"/>
      <c r="TSX43" s="30"/>
      <c r="TSY43" s="30"/>
      <c r="TSZ43" s="30"/>
      <c r="TTA43" s="30"/>
      <c r="TTB43" s="30"/>
      <c r="TTC43" s="30"/>
      <c r="TTD43" s="30"/>
      <c r="TTE43" s="30"/>
      <c r="TTF43" s="30"/>
      <c r="TTG43" s="30"/>
      <c r="TTH43" s="30"/>
      <c r="TTI43" s="30"/>
      <c r="TTJ43" s="30"/>
      <c r="TTK43" s="30"/>
      <c r="TTL43" s="30"/>
      <c r="TTM43" s="30"/>
      <c r="TTN43" s="30"/>
      <c r="TTO43" s="30"/>
      <c r="TTP43" s="30"/>
      <c r="TTQ43" s="30"/>
      <c r="TTR43" s="30"/>
      <c r="TTS43" s="30"/>
      <c r="TTT43" s="30"/>
      <c r="TTU43" s="30"/>
      <c r="TTV43" s="30"/>
      <c r="TTW43" s="30"/>
      <c r="TTX43" s="30"/>
      <c r="TTY43" s="30"/>
      <c r="TTZ43" s="30"/>
      <c r="TUA43" s="30"/>
      <c r="TUB43" s="30"/>
      <c r="TUC43" s="30"/>
      <c r="TUD43" s="30"/>
      <c r="TUE43" s="30"/>
      <c r="TUF43" s="30"/>
      <c r="TUG43" s="30"/>
      <c r="TUH43" s="30"/>
      <c r="TUI43" s="30"/>
      <c r="TUJ43" s="30"/>
      <c r="TUK43" s="30"/>
      <c r="TUL43" s="30"/>
      <c r="TUM43" s="30"/>
      <c r="TUN43" s="30"/>
      <c r="TUO43" s="30"/>
      <c r="TUP43" s="30"/>
      <c r="TUQ43" s="30"/>
      <c r="TUR43" s="30"/>
      <c r="TUS43" s="30"/>
      <c r="TUT43" s="30"/>
      <c r="TUU43" s="30"/>
      <c r="TUV43" s="30"/>
      <c r="TUW43" s="30"/>
      <c r="TUX43" s="30"/>
      <c r="TUY43" s="30"/>
      <c r="TUZ43" s="30"/>
      <c r="TVA43" s="30"/>
      <c r="TVB43" s="30"/>
      <c r="TVC43" s="30"/>
      <c r="TVD43" s="30"/>
      <c r="TVE43" s="30"/>
      <c r="TVF43" s="30"/>
      <c r="TVG43" s="30"/>
      <c r="TVH43" s="30"/>
      <c r="TVI43" s="30"/>
      <c r="TVJ43" s="30"/>
      <c r="TVK43" s="30"/>
      <c r="TVL43" s="30"/>
      <c r="TVM43" s="30"/>
      <c r="TVN43" s="30"/>
      <c r="TVO43" s="30"/>
      <c r="TVP43" s="30"/>
      <c r="TVQ43" s="30"/>
      <c r="TVR43" s="30"/>
      <c r="TVS43" s="30"/>
      <c r="TVT43" s="30"/>
      <c r="TVU43" s="30"/>
      <c r="TVV43" s="30"/>
      <c r="TVW43" s="30"/>
      <c r="TVX43" s="30"/>
      <c r="TVY43" s="30"/>
      <c r="TVZ43" s="30"/>
      <c r="TWA43" s="30"/>
      <c r="TWB43" s="30"/>
      <c r="TWC43" s="30"/>
      <c r="TWD43" s="30"/>
      <c r="TWE43" s="30"/>
      <c r="TWF43" s="30"/>
      <c r="TWG43" s="30"/>
      <c r="TWH43" s="30"/>
      <c r="TWI43" s="30"/>
      <c r="TWJ43" s="30"/>
      <c r="TWK43" s="30"/>
      <c r="TWL43" s="30"/>
      <c r="TWM43" s="30"/>
      <c r="TWN43" s="30"/>
      <c r="TWO43" s="30"/>
      <c r="TWP43" s="30"/>
      <c r="TWQ43" s="30"/>
      <c r="TWR43" s="30"/>
      <c r="TWS43" s="30"/>
      <c r="TWT43" s="30"/>
      <c r="TWU43" s="30"/>
      <c r="TWV43" s="30"/>
      <c r="TWW43" s="30"/>
      <c r="TWX43" s="30"/>
      <c r="TWY43" s="30"/>
      <c r="TWZ43" s="30"/>
      <c r="TXA43" s="30"/>
      <c r="TXB43" s="30"/>
      <c r="TXC43" s="30"/>
      <c r="TXD43" s="30"/>
      <c r="TXE43" s="30"/>
      <c r="TXF43" s="30"/>
      <c r="TXG43" s="30"/>
      <c r="TXH43" s="30"/>
      <c r="TXI43" s="30"/>
      <c r="TXJ43" s="30"/>
      <c r="TXK43" s="30"/>
      <c r="TXL43" s="30"/>
      <c r="TXM43" s="30"/>
      <c r="TXN43" s="30"/>
      <c r="TXO43" s="30"/>
      <c r="TXP43" s="30"/>
      <c r="TXQ43" s="30"/>
      <c r="TXR43" s="30"/>
      <c r="TXS43" s="30"/>
      <c r="TXT43" s="30"/>
      <c r="TXU43" s="30"/>
      <c r="TXV43" s="30"/>
      <c r="TXW43" s="30"/>
      <c r="TXX43" s="30"/>
      <c r="TXY43" s="30"/>
      <c r="TXZ43" s="30"/>
      <c r="TYA43" s="30"/>
      <c r="TYB43" s="30"/>
      <c r="TYC43" s="30"/>
      <c r="TYD43" s="30"/>
      <c r="TYE43" s="30"/>
      <c r="TYF43" s="30"/>
      <c r="TYG43" s="30"/>
      <c r="TYH43" s="30"/>
      <c r="TYI43" s="30"/>
      <c r="TYJ43" s="30"/>
      <c r="TYK43" s="30"/>
      <c r="TYL43" s="30"/>
      <c r="TYM43" s="30"/>
      <c r="TYN43" s="30"/>
      <c r="TYO43" s="30"/>
      <c r="TYP43" s="30"/>
      <c r="TYQ43" s="30"/>
      <c r="TYR43" s="30"/>
      <c r="TYS43" s="30"/>
      <c r="TYT43" s="30"/>
      <c r="TYU43" s="30"/>
      <c r="TYV43" s="30"/>
      <c r="TYW43" s="30"/>
      <c r="TYX43" s="30"/>
      <c r="TYY43" s="30"/>
      <c r="TYZ43" s="30"/>
      <c r="TZA43" s="30"/>
      <c r="TZB43" s="30"/>
      <c r="TZC43" s="30"/>
      <c r="TZD43" s="30"/>
      <c r="TZE43" s="30"/>
      <c r="TZF43" s="30"/>
      <c r="TZG43" s="30"/>
      <c r="TZH43" s="30"/>
      <c r="TZI43" s="30"/>
      <c r="TZJ43" s="30"/>
      <c r="TZK43" s="30"/>
      <c r="TZL43" s="30"/>
      <c r="TZM43" s="30"/>
      <c r="TZN43" s="30"/>
      <c r="TZO43" s="30"/>
      <c r="TZP43" s="30"/>
      <c r="TZQ43" s="30"/>
      <c r="TZR43" s="30"/>
      <c r="TZS43" s="30"/>
      <c r="TZT43" s="30"/>
      <c r="TZU43" s="30"/>
      <c r="TZV43" s="30"/>
      <c r="TZW43" s="30"/>
      <c r="TZX43" s="30"/>
      <c r="TZY43" s="30"/>
      <c r="TZZ43" s="30"/>
      <c r="UAA43" s="30"/>
      <c r="UAB43" s="30"/>
      <c r="UAC43" s="30"/>
      <c r="UAD43" s="30"/>
      <c r="UAE43" s="30"/>
      <c r="UAF43" s="30"/>
      <c r="UAG43" s="30"/>
      <c r="UAH43" s="30"/>
      <c r="UAI43" s="30"/>
      <c r="UAJ43" s="30"/>
      <c r="UAK43" s="30"/>
      <c r="UAL43" s="30"/>
      <c r="UAM43" s="30"/>
      <c r="UAN43" s="30"/>
      <c r="UAO43" s="30"/>
      <c r="UAP43" s="30"/>
      <c r="UAQ43" s="30"/>
      <c r="UAR43" s="30"/>
      <c r="UAS43" s="30"/>
      <c r="UAT43" s="30"/>
      <c r="UAU43" s="30"/>
      <c r="UAV43" s="30"/>
      <c r="UAW43" s="30"/>
      <c r="UAX43" s="30"/>
      <c r="UAY43" s="30"/>
      <c r="UAZ43" s="30"/>
      <c r="UBA43" s="30"/>
      <c r="UBB43" s="30"/>
      <c r="UBC43" s="30"/>
      <c r="UBD43" s="30"/>
      <c r="UBE43" s="30"/>
      <c r="UBF43" s="30"/>
      <c r="UBG43" s="30"/>
      <c r="UBH43" s="30"/>
      <c r="UBI43" s="30"/>
      <c r="UBJ43" s="30"/>
      <c r="UBK43" s="30"/>
      <c r="UBL43" s="30"/>
      <c r="UBM43" s="30"/>
      <c r="UBN43" s="30"/>
      <c r="UBO43" s="30"/>
      <c r="UBP43" s="30"/>
      <c r="UBQ43" s="30"/>
      <c r="UBR43" s="30"/>
      <c r="UBS43" s="30"/>
      <c r="UBT43" s="30"/>
      <c r="UBU43" s="30"/>
      <c r="UBV43" s="30"/>
      <c r="UBW43" s="30"/>
      <c r="UBX43" s="30"/>
      <c r="UBY43" s="30"/>
      <c r="UBZ43" s="30"/>
      <c r="UCA43" s="30"/>
      <c r="UCB43" s="30"/>
      <c r="UCC43" s="30"/>
      <c r="UCD43" s="30"/>
      <c r="UCE43" s="30"/>
      <c r="UCF43" s="30"/>
      <c r="UCG43" s="30"/>
      <c r="UCH43" s="30"/>
      <c r="UCI43" s="30"/>
      <c r="UCJ43" s="30"/>
      <c r="UCK43" s="30"/>
      <c r="UCL43" s="30"/>
      <c r="UCM43" s="30"/>
      <c r="UCN43" s="30"/>
      <c r="UCO43" s="30"/>
      <c r="UCP43" s="30"/>
      <c r="UCQ43" s="30"/>
      <c r="UCR43" s="30"/>
      <c r="UCS43" s="30"/>
      <c r="UCT43" s="30"/>
      <c r="UCU43" s="30"/>
      <c r="UCV43" s="30"/>
      <c r="UCW43" s="30"/>
      <c r="UCX43" s="30"/>
      <c r="UCY43" s="30"/>
      <c r="UCZ43" s="30"/>
      <c r="UDA43" s="30"/>
      <c r="UDB43" s="30"/>
      <c r="UDC43" s="30"/>
      <c r="UDD43" s="30"/>
      <c r="UDE43" s="30"/>
      <c r="UDF43" s="30"/>
      <c r="UDG43" s="30"/>
      <c r="UDH43" s="30"/>
      <c r="UDI43" s="30"/>
      <c r="UDJ43" s="30"/>
      <c r="UDK43" s="30"/>
      <c r="UDL43" s="30"/>
      <c r="UDM43" s="30"/>
      <c r="UDN43" s="30"/>
      <c r="UDO43" s="30"/>
      <c r="UDP43" s="30"/>
      <c r="UDQ43" s="30"/>
      <c r="UDR43" s="30"/>
      <c r="UDS43" s="30"/>
      <c r="UDT43" s="30"/>
      <c r="UDU43" s="30"/>
      <c r="UDV43" s="30"/>
      <c r="UDW43" s="30"/>
      <c r="UDX43" s="30"/>
      <c r="UDY43" s="30"/>
      <c r="UDZ43" s="30"/>
      <c r="UEA43" s="30"/>
      <c r="UEB43" s="30"/>
      <c r="UEC43" s="30"/>
      <c r="UED43" s="30"/>
      <c r="UEE43" s="30"/>
      <c r="UEF43" s="30"/>
      <c r="UEG43" s="30"/>
      <c r="UEH43" s="30"/>
      <c r="UEI43" s="30"/>
      <c r="UEJ43" s="30"/>
      <c r="UEK43" s="30"/>
      <c r="UEL43" s="30"/>
      <c r="UEM43" s="30"/>
      <c r="UEN43" s="30"/>
      <c r="UEO43" s="30"/>
      <c r="UEP43" s="30"/>
      <c r="UEQ43" s="30"/>
      <c r="UER43" s="30"/>
      <c r="UES43" s="30"/>
      <c r="UET43" s="30"/>
      <c r="UEU43" s="30"/>
      <c r="UEV43" s="30"/>
      <c r="UEW43" s="30"/>
      <c r="UEX43" s="30"/>
      <c r="UEY43" s="30"/>
      <c r="UEZ43" s="30"/>
      <c r="UFA43" s="30"/>
      <c r="UFB43" s="30"/>
      <c r="UFC43" s="30"/>
      <c r="UFD43" s="30"/>
      <c r="UFE43" s="30"/>
      <c r="UFF43" s="30"/>
      <c r="UFG43" s="30"/>
      <c r="UFH43" s="30"/>
      <c r="UFI43" s="30"/>
      <c r="UFJ43" s="30"/>
      <c r="UFK43" s="30"/>
      <c r="UFL43" s="30"/>
      <c r="UFM43" s="30"/>
      <c r="UFN43" s="30"/>
      <c r="UFO43" s="30"/>
      <c r="UFP43" s="30"/>
      <c r="UFQ43" s="30"/>
      <c r="UFR43" s="30"/>
      <c r="UFS43" s="30"/>
      <c r="UFT43" s="30"/>
      <c r="UFU43" s="30"/>
      <c r="UFV43" s="30"/>
      <c r="UFW43" s="30"/>
      <c r="UFX43" s="30"/>
      <c r="UFY43" s="30"/>
      <c r="UFZ43" s="30"/>
      <c r="UGA43" s="30"/>
      <c r="UGB43" s="30"/>
      <c r="UGC43" s="30"/>
      <c r="UGD43" s="30"/>
      <c r="UGE43" s="30"/>
      <c r="UGF43" s="30"/>
      <c r="UGG43" s="30"/>
      <c r="UGH43" s="30"/>
      <c r="UGI43" s="30"/>
      <c r="UGJ43" s="30"/>
      <c r="UGK43" s="30"/>
      <c r="UGL43" s="30"/>
      <c r="UGM43" s="30"/>
      <c r="UGN43" s="30"/>
      <c r="UGO43" s="30"/>
      <c r="UGP43" s="30"/>
      <c r="UGQ43" s="30"/>
      <c r="UGR43" s="30"/>
      <c r="UGS43" s="30"/>
      <c r="UGT43" s="30"/>
      <c r="UGU43" s="30"/>
      <c r="UGV43" s="30"/>
      <c r="UGW43" s="30"/>
      <c r="UGX43" s="30"/>
      <c r="UGY43" s="30"/>
      <c r="UGZ43" s="30"/>
      <c r="UHA43" s="30"/>
      <c r="UHB43" s="30"/>
      <c r="UHC43" s="30"/>
      <c r="UHD43" s="30"/>
      <c r="UHE43" s="30"/>
      <c r="UHF43" s="30"/>
      <c r="UHG43" s="30"/>
      <c r="UHH43" s="30"/>
      <c r="UHI43" s="30"/>
      <c r="UHJ43" s="30"/>
      <c r="UHK43" s="30"/>
      <c r="UHL43" s="30"/>
      <c r="UHM43" s="30"/>
      <c r="UHN43" s="30"/>
      <c r="UHO43" s="30"/>
      <c r="UHP43" s="30"/>
      <c r="UHQ43" s="30"/>
      <c r="UHR43" s="30"/>
      <c r="UHS43" s="30"/>
      <c r="UHT43" s="30"/>
      <c r="UHU43" s="30"/>
      <c r="UHV43" s="30"/>
      <c r="UHW43" s="30"/>
      <c r="UHX43" s="30"/>
      <c r="UHY43" s="30"/>
      <c r="UHZ43" s="30"/>
      <c r="UIA43" s="30"/>
      <c r="UIB43" s="30"/>
      <c r="UIC43" s="30"/>
      <c r="UID43" s="30"/>
      <c r="UIE43" s="30"/>
      <c r="UIF43" s="30"/>
      <c r="UIG43" s="30"/>
      <c r="UIH43" s="30"/>
      <c r="UII43" s="30"/>
      <c r="UIJ43" s="30"/>
      <c r="UIK43" s="30"/>
      <c r="UIL43" s="30"/>
      <c r="UIM43" s="30"/>
      <c r="UIN43" s="30"/>
      <c r="UIO43" s="30"/>
      <c r="UIP43" s="30"/>
      <c r="UIQ43" s="30"/>
      <c r="UIR43" s="30"/>
      <c r="UIS43" s="30"/>
      <c r="UIT43" s="30"/>
      <c r="UIU43" s="30"/>
      <c r="UIV43" s="30"/>
      <c r="UIW43" s="30"/>
      <c r="UIX43" s="30"/>
      <c r="UIY43" s="30"/>
      <c r="UIZ43" s="30"/>
      <c r="UJA43" s="30"/>
      <c r="UJB43" s="30"/>
      <c r="UJC43" s="30"/>
      <c r="UJD43" s="30"/>
      <c r="UJE43" s="30"/>
      <c r="UJF43" s="30"/>
      <c r="UJG43" s="30"/>
      <c r="UJH43" s="30"/>
      <c r="UJI43" s="30"/>
      <c r="UJJ43" s="30"/>
      <c r="UJK43" s="30"/>
      <c r="UJL43" s="30"/>
      <c r="UJM43" s="30"/>
      <c r="UJN43" s="30"/>
      <c r="UJO43" s="30"/>
      <c r="UJP43" s="30"/>
      <c r="UJQ43" s="30"/>
      <c r="UJR43" s="30"/>
      <c r="UJS43" s="30"/>
      <c r="UJT43" s="30"/>
      <c r="UJU43" s="30"/>
      <c r="UJV43" s="30"/>
      <c r="UJW43" s="30"/>
      <c r="UJX43" s="30"/>
      <c r="UJY43" s="30"/>
      <c r="UJZ43" s="30"/>
      <c r="UKA43" s="30"/>
      <c r="UKB43" s="30"/>
      <c r="UKC43" s="30"/>
      <c r="UKD43" s="30"/>
      <c r="UKE43" s="30"/>
      <c r="UKF43" s="30"/>
      <c r="UKG43" s="30"/>
      <c r="UKH43" s="30"/>
      <c r="UKI43" s="30"/>
      <c r="UKJ43" s="30"/>
      <c r="UKK43" s="30"/>
      <c r="UKL43" s="30"/>
      <c r="UKM43" s="30"/>
      <c r="UKN43" s="30"/>
      <c r="UKO43" s="30"/>
      <c r="UKP43" s="30"/>
      <c r="UKQ43" s="30"/>
      <c r="UKR43" s="30"/>
      <c r="UKS43" s="30"/>
      <c r="UKT43" s="30"/>
      <c r="UKU43" s="30"/>
      <c r="UKV43" s="30"/>
      <c r="UKW43" s="30"/>
      <c r="UKX43" s="30"/>
      <c r="UKY43" s="30"/>
      <c r="UKZ43" s="30"/>
      <c r="ULA43" s="30"/>
      <c r="ULB43" s="30"/>
      <c r="ULC43" s="30"/>
      <c r="ULD43" s="30"/>
      <c r="ULE43" s="30"/>
      <c r="ULF43" s="30"/>
      <c r="ULG43" s="30"/>
      <c r="ULH43" s="30"/>
      <c r="ULI43" s="30"/>
      <c r="ULJ43" s="30"/>
      <c r="ULK43" s="30"/>
      <c r="ULL43" s="30"/>
      <c r="ULM43" s="30"/>
      <c r="ULN43" s="30"/>
      <c r="ULO43" s="30"/>
      <c r="ULP43" s="30"/>
      <c r="ULQ43" s="30"/>
      <c r="ULR43" s="30"/>
      <c r="ULS43" s="30"/>
      <c r="ULT43" s="30"/>
      <c r="ULU43" s="30"/>
      <c r="ULV43" s="30"/>
      <c r="ULW43" s="30"/>
      <c r="ULX43" s="30"/>
      <c r="ULY43" s="30"/>
      <c r="ULZ43" s="30"/>
      <c r="UMA43" s="30"/>
      <c r="UMB43" s="30"/>
      <c r="UMC43" s="30"/>
      <c r="UMD43" s="30"/>
      <c r="UME43" s="30"/>
      <c r="UMF43" s="30"/>
      <c r="UMG43" s="30"/>
      <c r="UMH43" s="30"/>
      <c r="UMI43" s="30"/>
      <c r="UMJ43" s="30"/>
      <c r="UMK43" s="30"/>
      <c r="UML43" s="30"/>
      <c r="UMM43" s="30"/>
      <c r="UMN43" s="30"/>
      <c r="UMO43" s="30"/>
      <c r="UMP43" s="30"/>
      <c r="UMQ43" s="30"/>
      <c r="UMR43" s="30"/>
      <c r="UMS43" s="30"/>
      <c r="UMT43" s="30"/>
      <c r="UMU43" s="30"/>
      <c r="UMV43" s="30"/>
      <c r="UMW43" s="30"/>
      <c r="UMX43" s="30"/>
      <c r="UMY43" s="30"/>
      <c r="UMZ43" s="30"/>
      <c r="UNA43" s="30"/>
      <c r="UNB43" s="30"/>
      <c r="UNC43" s="30"/>
      <c r="UND43" s="30"/>
      <c r="UNE43" s="30"/>
      <c r="UNF43" s="30"/>
      <c r="UNG43" s="30"/>
      <c r="UNH43" s="30"/>
      <c r="UNI43" s="30"/>
      <c r="UNJ43" s="30"/>
      <c r="UNK43" s="30"/>
      <c r="UNL43" s="30"/>
      <c r="UNM43" s="30"/>
      <c r="UNN43" s="30"/>
      <c r="UNO43" s="30"/>
      <c r="UNP43" s="30"/>
      <c r="UNQ43" s="30"/>
      <c r="UNR43" s="30"/>
      <c r="UNS43" s="30"/>
      <c r="UNT43" s="30"/>
      <c r="UNU43" s="30"/>
      <c r="UNV43" s="30"/>
      <c r="UNW43" s="30"/>
      <c r="UNX43" s="30"/>
      <c r="UNY43" s="30"/>
      <c r="UNZ43" s="30"/>
      <c r="UOA43" s="30"/>
      <c r="UOB43" s="30"/>
      <c r="UOC43" s="30"/>
      <c r="UOD43" s="30"/>
      <c r="UOE43" s="30"/>
      <c r="UOF43" s="30"/>
      <c r="UOG43" s="30"/>
      <c r="UOH43" s="30"/>
      <c r="UOI43" s="30"/>
      <c r="UOJ43" s="30"/>
      <c r="UOK43" s="30"/>
      <c r="UOL43" s="30"/>
      <c r="UOM43" s="30"/>
      <c r="UON43" s="30"/>
      <c r="UOO43" s="30"/>
      <c r="UOP43" s="30"/>
      <c r="UOQ43" s="30"/>
      <c r="UOR43" s="30"/>
      <c r="UOS43" s="30"/>
      <c r="UOT43" s="30"/>
      <c r="UOU43" s="30"/>
      <c r="UOV43" s="30"/>
      <c r="UOW43" s="30"/>
      <c r="UOX43" s="30"/>
      <c r="UOY43" s="30"/>
      <c r="UOZ43" s="30"/>
      <c r="UPA43" s="30"/>
      <c r="UPB43" s="30"/>
      <c r="UPC43" s="30"/>
      <c r="UPD43" s="30"/>
      <c r="UPE43" s="30"/>
      <c r="UPF43" s="30"/>
      <c r="UPG43" s="30"/>
      <c r="UPH43" s="30"/>
      <c r="UPI43" s="30"/>
      <c r="UPJ43" s="30"/>
      <c r="UPK43" s="30"/>
      <c r="UPL43" s="30"/>
      <c r="UPM43" s="30"/>
      <c r="UPN43" s="30"/>
      <c r="UPO43" s="30"/>
      <c r="UPP43" s="30"/>
      <c r="UPQ43" s="30"/>
      <c r="UPR43" s="30"/>
      <c r="UPS43" s="30"/>
      <c r="UPT43" s="30"/>
      <c r="UPU43" s="30"/>
      <c r="UPV43" s="30"/>
      <c r="UPW43" s="30"/>
      <c r="UPX43" s="30"/>
      <c r="UPY43" s="30"/>
      <c r="UPZ43" s="30"/>
      <c r="UQA43" s="30"/>
      <c r="UQB43" s="30"/>
      <c r="UQC43" s="30"/>
      <c r="UQD43" s="30"/>
      <c r="UQE43" s="30"/>
      <c r="UQF43" s="30"/>
      <c r="UQG43" s="30"/>
      <c r="UQH43" s="30"/>
      <c r="UQI43" s="30"/>
      <c r="UQJ43" s="30"/>
      <c r="UQK43" s="30"/>
      <c r="UQL43" s="30"/>
      <c r="UQM43" s="30"/>
      <c r="UQN43" s="30"/>
      <c r="UQO43" s="30"/>
      <c r="UQP43" s="30"/>
      <c r="UQQ43" s="30"/>
      <c r="UQR43" s="30"/>
      <c r="UQS43" s="30"/>
      <c r="UQT43" s="30"/>
      <c r="UQU43" s="30"/>
      <c r="UQV43" s="30"/>
      <c r="UQW43" s="30"/>
      <c r="UQX43" s="30"/>
      <c r="UQY43" s="30"/>
      <c r="UQZ43" s="30"/>
      <c r="URA43" s="30"/>
      <c r="URB43" s="30"/>
      <c r="URC43" s="30"/>
      <c r="URD43" s="30"/>
      <c r="URE43" s="30"/>
      <c r="URF43" s="30"/>
      <c r="URG43" s="30"/>
      <c r="URH43" s="30"/>
      <c r="URI43" s="30"/>
      <c r="URJ43" s="30"/>
      <c r="URK43" s="30"/>
      <c r="URL43" s="30"/>
      <c r="URM43" s="30"/>
      <c r="URN43" s="30"/>
      <c r="URO43" s="30"/>
      <c r="URP43" s="30"/>
      <c r="URQ43" s="30"/>
      <c r="URR43" s="30"/>
      <c r="URS43" s="30"/>
      <c r="URT43" s="30"/>
      <c r="URU43" s="30"/>
      <c r="URV43" s="30"/>
      <c r="URW43" s="30"/>
      <c r="URX43" s="30"/>
      <c r="URY43" s="30"/>
      <c r="URZ43" s="30"/>
      <c r="USA43" s="30"/>
      <c r="USB43" s="30"/>
      <c r="USC43" s="30"/>
      <c r="USD43" s="30"/>
      <c r="USE43" s="30"/>
      <c r="USF43" s="30"/>
      <c r="USG43" s="30"/>
      <c r="USH43" s="30"/>
      <c r="USI43" s="30"/>
      <c r="USJ43" s="30"/>
      <c r="USK43" s="30"/>
      <c r="USL43" s="30"/>
      <c r="USM43" s="30"/>
      <c r="USN43" s="30"/>
      <c r="USO43" s="30"/>
      <c r="USP43" s="30"/>
      <c r="USQ43" s="30"/>
      <c r="USR43" s="30"/>
      <c r="USS43" s="30"/>
      <c r="UST43" s="30"/>
      <c r="USU43" s="30"/>
      <c r="USV43" s="30"/>
      <c r="USW43" s="30"/>
      <c r="USX43" s="30"/>
      <c r="USY43" s="30"/>
      <c r="USZ43" s="30"/>
      <c r="UTA43" s="30"/>
      <c r="UTB43" s="30"/>
      <c r="UTC43" s="30"/>
      <c r="UTD43" s="30"/>
      <c r="UTE43" s="30"/>
      <c r="UTF43" s="30"/>
      <c r="UTG43" s="30"/>
      <c r="UTH43" s="30"/>
      <c r="UTI43" s="30"/>
      <c r="UTJ43" s="30"/>
      <c r="UTK43" s="30"/>
      <c r="UTL43" s="30"/>
      <c r="UTM43" s="30"/>
      <c r="UTN43" s="30"/>
      <c r="UTO43" s="30"/>
      <c r="UTP43" s="30"/>
      <c r="UTQ43" s="30"/>
      <c r="UTR43" s="30"/>
      <c r="UTS43" s="30"/>
      <c r="UTT43" s="30"/>
      <c r="UTU43" s="30"/>
      <c r="UTV43" s="30"/>
      <c r="UTW43" s="30"/>
      <c r="UTX43" s="30"/>
      <c r="UTY43" s="30"/>
      <c r="UTZ43" s="30"/>
      <c r="UUA43" s="30"/>
      <c r="UUB43" s="30"/>
      <c r="UUC43" s="30"/>
      <c r="UUD43" s="30"/>
      <c r="UUE43" s="30"/>
      <c r="UUF43" s="30"/>
      <c r="UUG43" s="30"/>
      <c r="UUH43" s="30"/>
      <c r="UUI43" s="30"/>
      <c r="UUJ43" s="30"/>
      <c r="UUK43" s="30"/>
      <c r="UUL43" s="30"/>
      <c r="UUM43" s="30"/>
      <c r="UUN43" s="30"/>
      <c r="UUO43" s="30"/>
      <c r="UUP43" s="30"/>
      <c r="UUQ43" s="30"/>
      <c r="UUR43" s="30"/>
      <c r="UUS43" s="30"/>
      <c r="UUT43" s="30"/>
      <c r="UUU43" s="30"/>
      <c r="UUV43" s="30"/>
      <c r="UUW43" s="30"/>
      <c r="UUX43" s="30"/>
      <c r="UUY43" s="30"/>
      <c r="UUZ43" s="30"/>
      <c r="UVA43" s="30"/>
      <c r="UVB43" s="30"/>
      <c r="UVC43" s="30"/>
      <c r="UVD43" s="30"/>
      <c r="UVE43" s="30"/>
      <c r="UVF43" s="30"/>
      <c r="UVG43" s="30"/>
      <c r="UVH43" s="30"/>
      <c r="UVI43" s="30"/>
      <c r="UVJ43" s="30"/>
      <c r="UVK43" s="30"/>
      <c r="UVL43" s="30"/>
      <c r="UVM43" s="30"/>
      <c r="UVN43" s="30"/>
      <c r="UVO43" s="30"/>
      <c r="UVP43" s="30"/>
      <c r="UVQ43" s="30"/>
      <c r="UVR43" s="30"/>
      <c r="UVS43" s="30"/>
      <c r="UVT43" s="30"/>
      <c r="UVU43" s="30"/>
      <c r="UVV43" s="30"/>
      <c r="UVW43" s="30"/>
      <c r="UVX43" s="30"/>
      <c r="UVY43" s="30"/>
      <c r="UVZ43" s="30"/>
      <c r="UWA43" s="30"/>
      <c r="UWB43" s="30"/>
      <c r="UWC43" s="30"/>
      <c r="UWD43" s="30"/>
      <c r="UWE43" s="30"/>
      <c r="UWF43" s="30"/>
      <c r="UWG43" s="30"/>
      <c r="UWH43" s="30"/>
      <c r="UWI43" s="30"/>
      <c r="UWJ43" s="30"/>
      <c r="UWK43" s="30"/>
      <c r="UWL43" s="30"/>
      <c r="UWM43" s="30"/>
      <c r="UWN43" s="30"/>
      <c r="UWO43" s="30"/>
      <c r="UWP43" s="30"/>
      <c r="UWQ43" s="30"/>
      <c r="UWR43" s="30"/>
      <c r="UWS43" s="30"/>
      <c r="UWT43" s="30"/>
      <c r="UWU43" s="30"/>
      <c r="UWV43" s="30"/>
      <c r="UWW43" s="30"/>
      <c r="UWX43" s="30"/>
      <c r="UWY43" s="30"/>
      <c r="UWZ43" s="30"/>
      <c r="UXA43" s="30"/>
      <c r="UXB43" s="30"/>
      <c r="UXC43" s="30"/>
      <c r="UXD43" s="30"/>
      <c r="UXE43" s="30"/>
      <c r="UXF43" s="30"/>
      <c r="UXG43" s="30"/>
      <c r="UXH43" s="30"/>
      <c r="UXI43" s="30"/>
      <c r="UXJ43" s="30"/>
      <c r="UXK43" s="30"/>
      <c r="UXL43" s="30"/>
      <c r="UXM43" s="30"/>
      <c r="UXN43" s="30"/>
      <c r="UXO43" s="30"/>
      <c r="UXP43" s="30"/>
      <c r="UXQ43" s="30"/>
      <c r="UXR43" s="30"/>
      <c r="UXS43" s="30"/>
      <c r="UXT43" s="30"/>
      <c r="UXU43" s="30"/>
      <c r="UXV43" s="30"/>
      <c r="UXW43" s="30"/>
      <c r="UXX43" s="30"/>
      <c r="UXY43" s="30"/>
      <c r="UXZ43" s="30"/>
      <c r="UYA43" s="30"/>
      <c r="UYB43" s="30"/>
      <c r="UYC43" s="30"/>
      <c r="UYD43" s="30"/>
      <c r="UYE43" s="30"/>
      <c r="UYF43" s="30"/>
      <c r="UYG43" s="30"/>
      <c r="UYH43" s="30"/>
      <c r="UYI43" s="30"/>
      <c r="UYJ43" s="30"/>
      <c r="UYK43" s="30"/>
      <c r="UYL43" s="30"/>
      <c r="UYM43" s="30"/>
      <c r="UYN43" s="30"/>
      <c r="UYO43" s="30"/>
      <c r="UYP43" s="30"/>
      <c r="UYQ43" s="30"/>
      <c r="UYR43" s="30"/>
      <c r="UYS43" s="30"/>
      <c r="UYT43" s="30"/>
      <c r="UYU43" s="30"/>
      <c r="UYV43" s="30"/>
      <c r="UYW43" s="30"/>
      <c r="UYX43" s="30"/>
      <c r="UYY43" s="30"/>
      <c r="UYZ43" s="30"/>
      <c r="UZA43" s="30"/>
      <c r="UZB43" s="30"/>
      <c r="UZC43" s="30"/>
      <c r="UZD43" s="30"/>
      <c r="UZE43" s="30"/>
      <c r="UZF43" s="30"/>
      <c r="UZG43" s="30"/>
      <c r="UZH43" s="30"/>
      <c r="UZI43" s="30"/>
      <c r="UZJ43" s="30"/>
      <c r="UZK43" s="30"/>
      <c r="UZL43" s="30"/>
      <c r="UZM43" s="30"/>
      <c r="UZN43" s="30"/>
      <c r="UZO43" s="30"/>
      <c r="UZP43" s="30"/>
      <c r="UZQ43" s="30"/>
      <c r="UZR43" s="30"/>
      <c r="UZS43" s="30"/>
      <c r="UZT43" s="30"/>
      <c r="UZU43" s="30"/>
      <c r="UZV43" s="30"/>
      <c r="UZW43" s="30"/>
      <c r="UZX43" s="30"/>
      <c r="UZY43" s="30"/>
      <c r="UZZ43" s="30"/>
      <c r="VAA43" s="30"/>
      <c r="VAB43" s="30"/>
      <c r="VAC43" s="30"/>
      <c r="VAD43" s="30"/>
      <c r="VAE43" s="30"/>
      <c r="VAF43" s="30"/>
      <c r="VAG43" s="30"/>
      <c r="VAH43" s="30"/>
      <c r="VAI43" s="30"/>
      <c r="VAJ43" s="30"/>
      <c r="VAK43" s="30"/>
      <c r="VAL43" s="30"/>
      <c r="VAM43" s="30"/>
      <c r="VAN43" s="30"/>
      <c r="VAO43" s="30"/>
      <c r="VAP43" s="30"/>
      <c r="VAQ43" s="30"/>
      <c r="VAR43" s="30"/>
      <c r="VAS43" s="30"/>
      <c r="VAT43" s="30"/>
      <c r="VAU43" s="30"/>
      <c r="VAV43" s="30"/>
      <c r="VAW43" s="30"/>
      <c r="VAX43" s="30"/>
      <c r="VAY43" s="30"/>
      <c r="VAZ43" s="30"/>
      <c r="VBA43" s="30"/>
      <c r="VBB43" s="30"/>
      <c r="VBC43" s="30"/>
      <c r="VBD43" s="30"/>
      <c r="VBE43" s="30"/>
      <c r="VBF43" s="30"/>
      <c r="VBG43" s="30"/>
      <c r="VBH43" s="30"/>
      <c r="VBI43" s="30"/>
      <c r="VBJ43" s="30"/>
      <c r="VBK43" s="30"/>
      <c r="VBL43" s="30"/>
      <c r="VBM43" s="30"/>
      <c r="VBN43" s="30"/>
      <c r="VBO43" s="30"/>
      <c r="VBP43" s="30"/>
      <c r="VBQ43" s="30"/>
      <c r="VBR43" s="30"/>
      <c r="VBS43" s="30"/>
      <c r="VBT43" s="30"/>
      <c r="VBU43" s="30"/>
      <c r="VBV43" s="30"/>
      <c r="VBW43" s="30"/>
      <c r="VBX43" s="30"/>
      <c r="VBY43" s="30"/>
      <c r="VBZ43" s="30"/>
      <c r="VCA43" s="30"/>
      <c r="VCB43" s="30"/>
      <c r="VCC43" s="30"/>
      <c r="VCD43" s="30"/>
      <c r="VCE43" s="30"/>
      <c r="VCF43" s="30"/>
      <c r="VCG43" s="30"/>
      <c r="VCH43" s="30"/>
      <c r="VCI43" s="30"/>
      <c r="VCJ43" s="30"/>
      <c r="VCK43" s="30"/>
      <c r="VCL43" s="30"/>
      <c r="VCM43" s="30"/>
      <c r="VCN43" s="30"/>
      <c r="VCO43" s="30"/>
      <c r="VCP43" s="30"/>
      <c r="VCQ43" s="30"/>
      <c r="VCR43" s="30"/>
      <c r="VCS43" s="30"/>
      <c r="VCT43" s="30"/>
      <c r="VCU43" s="30"/>
      <c r="VCV43" s="30"/>
      <c r="VCW43" s="30"/>
      <c r="VCX43" s="30"/>
      <c r="VCY43" s="30"/>
      <c r="VCZ43" s="30"/>
      <c r="VDA43" s="30"/>
      <c r="VDB43" s="30"/>
      <c r="VDC43" s="30"/>
      <c r="VDD43" s="30"/>
      <c r="VDE43" s="30"/>
      <c r="VDF43" s="30"/>
      <c r="VDG43" s="30"/>
      <c r="VDH43" s="30"/>
      <c r="VDI43" s="30"/>
      <c r="VDJ43" s="30"/>
      <c r="VDK43" s="30"/>
      <c r="VDL43" s="30"/>
      <c r="VDM43" s="30"/>
      <c r="VDN43" s="30"/>
      <c r="VDO43" s="30"/>
      <c r="VDP43" s="30"/>
      <c r="VDQ43" s="30"/>
      <c r="VDR43" s="30"/>
      <c r="VDS43" s="30"/>
      <c r="VDT43" s="30"/>
      <c r="VDU43" s="30"/>
      <c r="VDV43" s="30"/>
      <c r="VDW43" s="30"/>
      <c r="VDX43" s="30"/>
      <c r="VDY43" s="30"/>
      <c r="VDZ43" s="30"/>
      <c r="VEA43" s="30"/>
      <c r="VEB43" s="30"/>
      <c r="VEC43" s="30"/>
      <c r="VED43" s="30"/>
      <c r="VEE43" s="30"/>
      <c r="VEF43" s="30"/>
      <c r="VEG43" s="30"/>
      <c r="VEH43" s="30"/>
      <c r="VEI43" s="30"/>
      <c r="VEJ43" s="30"/>
      <c r="VEK43" s="30"/>
      <c r="VEL43" s="30"/>
      <c r="VEM43" s="30"/>
      <c r="VEN43" s="30"/>
      <c r="VEO43" s="30"/>
      <c r="VEP43" s="30"/>
      <c r="VEQ43" s="30"/>
      <c r="VER43" s="30"/>
      <c r="VES43" s="30"/>
      <c r="VET43" s="30"/>
      <c r="VEU43" s="30"/>
      <c r="VEV43" s="30"/>
      <c r="VEW43" s="30"/>
      <c r="VEX43" s="30"/>
      <c r="VEY43" s="30"/>
      <c r="VEZ43" s="30"/>
      <c r="VFA43" s="30"/>
      <c r="VFB43" s="30"/>
      <c r="VFC43" s="30"/>
      <c r="VFD43" s="30"/>
      <c r="VFE43" s="30"/>
      <c r="VFF43" s="30"/>
      <c r="VFG43" s="30"/>
      <c r="VFH43" s="30"/>
      <c r="VFI43" s="30"/>
      <c r="VFJ43" s="30"/>
      <c r="VFK43" s="30"/>
      <c r="VFL43" s="30"/>
      <c r="VFM43" s="30"/>
      <c r="VFN43" s="30"/>
      <c r="VFO43" s="30"/>
      <c r="VFP43" s="30"/>
      <c r="VFQ43" s="30"/>
      <c r="VFR43" s="30"/>
      <c r="VFS43" s="30"/>
      <c r="VFT43" s="30"/>
      <c r="VFU43" s="30"/>
      <c r="VFV43" s="30"/>
      <c r="VFW43" s="30"/>
      <c r="VFX43" s="30"/>
      <c r="VFY43" s="30"/>
      <c r="VFZ43" s="30"/>
      <c r="VGA43" s="30"/>
      <c r="VGB43" s="30"/>
      <c r="VGC43" s="30"/>
      <c r="VGD43" s="30"/>
      <c r="VGE43" s="30"/>
      <c r="VGF43" s="30"/>
      <c r="VGG43" s="30"/>
      <c r="VGH43" s="30"/>
      <c r="VGI43" s="30"/>
      <c r="VGJ43" s="30"/>
      <c r="VGK43" s="30"/>
      <c r="VGL43" s="30"/>
      <c r="VGM43" s="30"/>
      <c r="VGN43" s="30"/>
      <c r="VGO43" s="30"/>
      <c r="VGP43" s="30"/>
      <c r="VGQ43" s="30"/>
      <c r="VGR43" s="30"/>
      <c r="VGS43" s="30"/>
      <c r="VGT43" s="30"/>
      <c r="VGU43" s="30"/>
      <c r="VGV43" s="30"/>
      <c r="VGW43" s="30"/>
      <c r="VGX43" s="30"/>
      <c r="VGY43" s="30"/>
      <c r="VGZ43" s="30"/>
      <c r="VHA43" s="30"/>
      <c r="VHB43" s="30"/>
      <c r="VHC43" s="30"/>
      <c r="VHD43" s="30"/>
      <c r="VHE43" s="30"/>
      <c r="VHF43" s="30"/>
      <c r="VHG43" s="30"/>
      <c r="VHH43" s="30"/>
      <c r="VHI43" s="30"/>
      <c r="VHJ43" s="30"/>
      <c r="VHK43" s="30"/>
      <c r="VHL43" s="30"/>
      <c r="VHM43" s="30"/>
      <c r="VHN43" s="30"/>
      <c r="VHO43" s="30"/>
      <c r="VHP43" s="30"/>
      <c r="VHQ43" s="30"/>
      <c r="VHR43" s="30"/>
      <c r="VHS43" s="30"/>
      <c r="VHT43" s="30"/>
      <c r="VHU43" s="30"/>
      <c r="VHV43" s="30"/>
      <c r="VHW43" s="30"/>
      <c r="VHX43" s="30"/>
      <c r="VHY43" s="30"/>
      <c r="VHZ43" s="30"/>
      <c r="VIA43" s="30"/>
      <c r="VIB43" s="30"/>
      <c r="VIC43" s="30"/>
      <c r="VID43" s="30"/>
      <c r="VIE43" s="30"/>
      <c r="VIF43" s="30"/>
      <c r="VIG43" s="30"/>
      <c r="VIH43" s="30"/>
      <c r="VII43" s="30"/>
      <c r="VIJ43" s="30"/>
      <c r="VIK43" s="30"/>
      <c r="VIL43" s="30"/>
      <c r="VIM43" s="30"/>
      <c r="VIN43" s="30"/>
      <c r="VIO43" s="30"/>
      <c r="VIP43" s="30"/>
      <c r="VIQ43" s="30"/>
      <c r="VIR43" s="30"/>
      <c r="VIS43" s="30"/>
      <c r="VIT43" s="30"/>
      <c r="VIU43" s="30"/>
      <c r="VIV43" s="30"/>
      <c r="VIW43" s="30"/>
      <c r="VIX43" s="30"/>
      <c r="VIY43" s="30"/>
      <c r="VIZ43" s="30"/>
      <c r="VJA43" s="30"/>
      <c r="VJB43" s="30"/>
      <c r="VJC43" s="30"/>
      <c r="VJD43" s="30"/>
      <c r="VJE43" s="30"/>
      <c r="VJF43" s="30"/>
      <c r="VJG43" s="30"/>
      <c r="VJH43" s="30"/>
      <c r="VJI43" s="30"/>
      <c r="VJJ43" s="30"/>
      <c r="VJK43" s="30"/>
      <c r="VJL43" s="30"/>
      <c r="VJM43" s="30"/>
      <c r="VJN43" s="30"/>
      <c r="VJO43" s="30"/>
      <c r="VJP43" s="30"/>
      <c r="VJQ43" s="30"/>
      <c r="VJR43" s="30"/>
      <c r="VJS43" s="30"/>
      <c r="VJT43" s="30"/>
      <c r="VJU43" s="30"/>
      <c r="VJV43" s="30"/>
      <c r="VJW43" s="30"/>
      <c r="VJX43" s="30"/>
      <c r="VJY43" s="30"/>
      <c r="VJZ43" s="30"/>
      <c r="VKA43" s="30"/>
      <c r="VKB43" s="30"/>
      <c r="VKC43" s="30"/>
      <c r="VKD43" s="30"/>
      <c r="VKE43" s="30"/>
      <c r="VKF43" s="30"/>
      <c r="VKG43" s="30"/>
      <c r="VKH43" s="30"/>
      <c r="VKI43" s="30"/>
      <c r="VKJ43" s="30"/>
      <c r="VKK43" s="30"/>
      <c r="VKL43" s="30"/>
      <c r="VKM43" s="30"/>
      <c r="VKN43" s="30"/>
      <c r="VKO43" s="30"/>
      <c r="VKP43" s="30"/>
      <c r="VKQ43" s="30"/>
      <c r="VKR43" s="30"/>
      <c r="VKS43" s="30"/>
      <c r="VKT43" s="30"/>
      <c r="VKU43" s="30"/>
      <c r="VKV43" s="30"/>
      <c r="VKW43" s="30"/>
      <c r="VKX43" s="30"/>
      <c r="VKY43" s="30"/>
      <c r="VKZ43" s="30"/>
      <c r="VLA43" s="30"/>
      <c r="VLB43" s="30"/>
      <c r="VLC43" s="30"/>
      <c r="VLD43" s="30"/>
      <c r="VLE43" s="30"/>
      <c r="VLF43" s="30"/>
      <c r="VLG43" s="30"/>
      <c r="VLH43" s="30"/>
      <c r="VLI43" s="30"/>
      <c r="VLJ43" s="30"/>
      <c r="VLK43" s="30"/>
      <c r="VLL43" s="30"/>
      <c r="VLM43" s="30"/>
      <c r="VLN43" s="30"/>
      <c r="VLO43" s="30"/>
      <c r="VLP43" s="30"/>
      <c r="VLQ43" s="30"/>
      <c r="VLR43" s="30"/>
      <c r="VLS43" s="30"/>
      <c r="VLT43" s="30"/>
      <c r="VLU43" s="30"/>
      <c r="VLV43" s="30"/>
      <c r="VLW43" s="30"/>
      <c r="VLX43" s="30"/>
      <c r="VLY43" s="30"/>
      <c r="VLZ43" s="30"/>
      <c r="VMA43" s="30"/>
      <c r="VMB43" s="30"/>
      <c r="VMC43" s="30"/>
      <c r="VMD43" s="30"/>
      <c r="VME43" s="30"/>
      <c r="VMF43" s="30"/>
      <c r="VMG43" s="30"/>
      <c r="VMH43" s="30"/>
      <c r="VMI43" s="30"/>
      <c r="VMJ43" s="30"/>
      <c r="VMK43" s="30"/>
      <c r="VML43" s="30"/>
      <c r="VMM43" s="30"/>
      <c r="VMN43" s="30"/>
      <c r="VMO43" s="30"/>
      <c r="VMP43" s="30"/>
      <c r="VMQ43" s="30"/>
      <c r="VMR43" s="30"/>
      <c r="VMS43" s="30"/>
      <c r="VMT43" s="30"/>
      <c r="VMU43" s="30"/>
      <c r="VMV43" s="30"/>
      <c r="VMW43" s="30"/>
      <c r="VMX43" s="30"/>
      <c r="VMY43" s="30"/>
      <c r="VMZ43" s="30"/>
      <c r="VNA43" s="30"/>
      <c r="VNB43" s="30"/>
      <c r="VNC43" s="30"/>
      <c r="VND43" s="30"/>
      <c r="VNE43" s="30"/>
      <c r="VNF43" s="30"/>
      <c r="VNG43" s="30"/>
      <c r="VNH43" s="30"/>
      <c r="VNI43" s="30"/>
      <c r="VNJ43" s="30"/>
      <c r="VNK43" s="30"/>
      <c r="VNL43" s="30"/>
      <c r="VNM43" s="30"/>
      <c r="VNN43" s="30"/>
      <c r="VNO43" s="30"/>
      <c r="VNP43" s="30"/>
      <c r="VNQ43" s="30"/>
      <c r="VNR43" s="30"/>
      <c r="VNS43" s="30"/>
      <c r="VNT43" s="30"/>
      <c r="VNU43" s="30"/>
      <c r="VNV43" s="30"/>
      <c r="VNW43" s="30"/>
      <c r="VNX43" s="30"/>
      <c r="VNY43" s="30"/>
      <c r="VNZ43" s="30"/>
      <c r="VOA43" s="30"/>
      <c r="VOB43" s="30"/>
      <c r="VOC43" s="30"/>
      <c r="VOD43" s="30"/>
      <c r="VOE43" s="30"/>
      <c r="VOF43" s="30"/>
      <c r="VOG43" s="30"/>
      <c r="VOH43" s="30"/>
      <c r="VOI43" s="30"/>
      <c r="VOJ43" s="30"/>
      <c r="VOK43" s="30"/>
      <c r="VOL43" s="30"/>
      <c r="VOM43" s="30"/>
      <c r="VON43" s="30"/>
      <c r="VOO43" s="30"/>
      <c r="VOP43" s="30"/>
      <c r="VOQ43" s="30"/>
      <c r="VOR43" s="30"/>
      <c r="VOS43" s="30"/>
      <c r="VOT43" s="30"/>
      <c r="VOU43" s="30"/>
      <c r="VOV43" s="30"/>
      <c r="VOW43" s="30"/>
      <c r="VOX43" s="30"/>
      <c r="VOY43" s="30"/>
      <c r="VOZ43" s="30"/>
      <c r="VPA43" s="30"/>
      <c r="VPB43" s="30"/>
      <c r="VPC43" s="30"/>
      <c r="VPD43" s="30"/>
      <c r="VPE43" s="30"/>
      <c r="VPF43" s="30"/>
      <c r="VPG43" s="30"/>
      <c r="VPH43" s="30"/>
      <c r="VPI43" s="30"/>
      <c r="VPJ43" s="30"/>
      <c r="VPK43" s="30"/>
      <c r="VPL43" s="30"/>
      <c r="VPM43" s="30"/>
      <c r="VPN43" s="30"/>
      <c r="VPO43" s="30"/>
      <c r="VPP43" s="30"/>
      <c r="VPQ43" s="30"/>
      <c r="VPR43" s="30"/>
      <c r="VPS43" s="30"/>
      <c r="VPT43" s="30"/>
      <c r="VPU43" s="30"/>
      <c r="VPV43" s="30"/>
      <c r="VPW43" s="30"/>
      <c r="VPX43" s="30"/>
      <c r="VPY43" s="30"/>
      <c r="VPZ43" s="30"/>
      <c r="VQA43" s="30"/>
      <c r="VQB43" s="30"/>
      <c r="VQC43" s="30"/>
      <c r="VQD43" s="30"/>
      <c r="VQE43" s="30"/>
      <c r="VQF43" s="30"/>
      <c r="VQG43" s="30"/>
      <c r="VQH43" s="30"/>
      <c r="VQI43" s="30"/>
      <c r="VQJ43" s="30"/>
      <c r="VQK43" s="30"/>
      <c r="VQL43" s="30"/>
      <c r="VQM43" s="30"/>
      <c r="VQN43" s="30"/>
      <c r="VQO43" s="30"/>
      <c r="VQP43" s="30"/>
      <c r="VQQ43" s="30"/>
      <c r="VQR43" s="30"/>
      <c r="VQS43" s="30"/>
      <c r="VQT43" s="30"/>
      <c r="VQU43" s="30"/>
      <c r="VQV43" s="30"/>
      <c r="VQW43" s="30"/>
      <c r="VQX43" s="30"/>
      <c r="VQY43" s="30"/>
      <c r="VQZ43" s="30"/>
      <c r="VRA43" s="30"/>
      <c r="VRB43" s="30"/>
      <c r="VRC43" s="30"/>
      <c r="VRD43" s="30"/>
      <c r="VRE43" s="30"/>
      <c r="VRF43" s="30"/>
      <c r="VRG43" s="30"/>
      <c r="VRH43" s="30"/>
      <c r="VRI43" s="30"/>
      <c r="VRJ43" s="30"/>
      <c r="VRK43" s="30"/>
      <c r="VRL43" s="30"/>
      <c r="VRM43" s="30"/>
      <c r="VRN43" s="30"/>
      <c r="VRO43" s="30"/>
      <c r="VRP43" s="30"/>
      <c r="VRQ43" s="30"/>
      <c r="VRR43" s="30"/>
      <c r="VRS43" s="30"/>
      <c r="VRT43" s="30"/>
      <c r="VRU43" s="30"/>
      <c r="VRV43" s="30"/>
      <c r="VRW43" s="30"/>
      <c r="VRX43" s="30"/>
      <c r="VRY43" s="30"/>
      <c r="VRZ43" s="30"/>
      <c r="VSA43" s="30"/>
      <c r="VSB43" s="30"/>
      <c r="VSC43" s="30"/>
      <c r="VSD43" s="30"/>
      <c r="VSE43" s="30"/>
      <c r="VSF43" s="30"/>
      <c r="VSG43" s="30"/>
      <c r="VSH43" s="30"/>
      <c r="VSI43" s="30"/>
      <c r="VSJ43" s="30"/>
      <c r="VSK43" s="30"/>
      <c r="VSL43" s="30"/>
      <c r="VSM43" s="30"/>
      <c r="VSN43" s="30"/>
      <c r="VSO43" s="30"/>
      <c r="VSP43" s="30"/>
      <c r="VSQ43" s="30"/>
      <c r="VSR43" s="30"/>
      <c r="VSS43" s="30"/>
      <c r="VST43" s="30"/>
      <c r="VSU43" s="30"/>
      <c r="VSV43" s="30"/>
      <c r="VSW43" s="30"/>
      <c r="VSX43" s="30"/>
      <c r="VSY43" s="30"/>
      <c r="VSZ43" s="30"/>
      <c r="VTA43" s="30"/>
      <c r="VTB43" s="30"/>
      <c r="VTC43" s="30"/>
      <c r="VTD43" s="30"/>
      <c r="VTE43" s="30"/>
      <c r="VTF43" s="30"/>
      <c r="VTG43" s="30"/>
      <c r="VTH43" s="30"/>
      <c r="VTI43" s="30"/>
      <c r="VTJ43" s="30"/>
      <c r="VTK43" s="30"/>
      <c r="VTL43" s="30"/>
      <c r="VTM43" s="30"/>
      <c r="VTN43" s="30"/>
      <c r="VTO43" s="30"/>
      <c r="VTP43" s="30"/>
      <c r="VTQ43" s="30"/>
      <c r="VTR43" s="30"/>
      <c r="VTS43" s="30"/>
      <c r="VTT43" s="30"/>
      <c r="VTU43" s="30"/>
      <c r="VTV43" s="30"/>
      <c r="VTW43" s="30"/>
      <c r="VTX43" s="30"/>
      <c r="VTY43" s="30"/>
      <c r="VTZ43" s="30"/>
      <c r="VUA43" s="30"/>
      <c r="VUB43" s="30"/>
      <c r="VUC43" s="30"/>
      <c r="VUD43" s="30"/>
      <c r="VUE43" s="30"/>
      <c r="VUF43" s="30"/>
      <c r="VUG43" s="30"/>
      <c r="VUH43" s="30"/>
      <c r="VUI43" s="30"/>
      <c r="VUJ43" s="30"/>
      <c r="VUK43" s="30"/>
      <c r="VUL43" s="30"/>
      <c r="VUM43" s="30"/>
      <c r="VUN43" s="30"/>
      <c r="VUO43" s="30"/>
      <c r="VUP43" s="30"/>
      <c r="VUQ43" s="30"/>
      <c r="VUR43" s="30"/>
      <c r="VUS43" s="30"/>
      <c r="VUT43" s="30"/>
      <c r="VUU43" s="30"/>
      <c r="VUV43" s="30"/>
      <c r="VUW43" s="30"/>
      <c r="VUX43" s="30"/>
      <c r="VUY43" s="30"/>
      <c r="VUZ43" s="30"/>
      <c r="VVA43" s="30"/>
      <c r="VVB43" s="30"/>
      <c r="VVC43" s="30"/>
      <c r="VVD43" s="30"/>
      <c r="VVE43" s="30"/>
      <c r="VVF43" s="30"/>
      <c r="VVG43" s="30"/>
      <c r="VVH43" s="30"/>
      <c r="VVI43" s="30"/>
      <c r="VVJ43" s="30"/>
      <c r="VVK43" s="30"/>
      <c r="VVL43" s="30"/>
      <c r="VVM43" s="30"/>
      <c r="VVN43" s="30"/>
      <c r="VVO43" s="30"/>
      <c r="VVP43" s="30"/>
      <c r="VVQ43" s="30"/>
      <c r="VVR43" s="30"/>
      <c r="VVS43" s="30"/>
      <c r="VVT43" s="30"/>
      <c r="VVU43" s="30"/>
      <c r="VVV43" s="30"/>
      <c r="VVW43" s="30"/>
      <c r="VVX43" s="30"/>
      <c r="VVY43" s="30"/>
      <c r="VVZ43" s="30"/>
      <c r="VWA43" s="30"/>
      <c r="VWB43" s="30"/>
      <c r="VWC43" s="30"/>
      <c r="VWD43" s="30"/>
      <c r="VWE43" s="30"/>
      <c r="VWF43" s="30"/>
      <c r="VWG43" s="30"/>
      <c r="VWH43" s="30"/>
      <c r="VWI43" s="30"/>
      <c r="VWJ43" s="30"/>
      <c r="VWK43" s="30"/>
      <c r="VWL43" s="30"/>
      <c r="VWM43" s="30"/>
      <c r="VWN43" s="30"/>
      <c r="VWO43" s="30"/>
      <c r="VWP43" s="30"/>
      <c r="VWQ43" s="30"/>
      <c r="VWR43" s="30"/>
      <c r="VWS43" s="30"/>
      <c r="VWT43" s="30"/>
      <c r="VWU43" s="30"/>
      <c r="VWV43" s="30"/>
      <c r="VWW43" s="30"/>
      <c r="VWX43" s="30"/>
      <c r="VWY43" s="30"/>
      <c r="VWZ43" s="30"/>
      <c r="VXA43" s="30"/>
      <c r="VXB43" s="30"/>
      <c r="VXC43" s="30"/>
      <c r="VXD43" s="30"/>
      <c r="VXE43" s="30"/>
      <c r="VXF43" s="30"/>
      <c r="VXG43" s="30"/>
      <c r="VXH43" s="30"/>
      <c r="VXI43" s="30"/>
      <c r="VXJ43" s="30"/>
      <c r="VXK43" s="30"/>
      <c r="VXL43" s="30"/>
      <c r="VXM43" s="30"/>
      <c r="VXN43" s="30"/>
      <c r="VXO43" s="30"/>
      <c r="VXP43" s="30"/>
      <c r="VXQ43" s="30"/>
      <c r="VXR43" s="30"/>
      <c r="VXS43" s="30"/>
      <c r="VXT43" s="30"/>
      <c r="VXU43" s="30"/>
      <c r="VXV43" s="30"/>
      <c r="VXW43" s="30"/>
      <c r="VXX43" s="30"/>
      <c r="VXY43" s="30"/>
      <c r="VXZ43" s="30"/>
      <c r="VYA43" s="30"/>
      <c r="VYB43" s="30"/>
      <c r="VYC43" s="30"/>
      <c r="VYD43" s="30"/>
      <c r="VYE43" s="30"/>
      <c r="VYF43" s="30"/>
      <c r="VYG43" s="30"/>
      <c r="VYH43" s="30"/>
      <c r="VYI43" s="30"/>
      <c r="VYJ43" s="30"/>
      <c r="VYK43" s="30"/>
      <c r="VYL43" s="30"/>
      <c r="VYM43" s="30"/>
      <c r="VYN43" s="30"/>
      <c r="VYO43" s="30"/>
      <c r="VYP43" s="30"/>
      <c r="VYQ43" s="30"/>
      <c r="VYR43" s="30"/>
      <c r="VYS43" s="30"/>
      <c r="VYT43" s="30"/>
      <c r="VYU43" s="30"/>
      <c r="VYV43" s="30"/>
      <c r="VYW43" s="30"/>
      <c r="VYX43" s="30"/>
      <c r="VYY43" s="30"/>
      <c r="VYZ43" s="30"/>
      <c r="VZA43" s="30"/>
      <c r="VZB43" s="30"/>
      <c r="VZC43" s="30"/>
      <c r="VZD43" s="30"/>
      <c r="VZE43" s="30"/>
      <c r="VZF43" s="30"/>
      <c r="VZG43" s="30"/>
      <c r="VZH43" s="30"/>
      <c r="VZI43" s="30"/>
      <c r="VZJ43" s="30"/>
      <c r="VZK43" s="30"/>
      <c r="VZL43" s="30"/>
      <c r="VZM43" s="30"/>
      <c r="VZN43" s="30"/>
      <c r="VZO43" s="30"/>
      <c r="VZP43" s="30"/>
      <c r="VZQ43" s="30"/>
      <c r="VZR43" s="30"/>
      <c r="VZS43" s="30"/>
      <c r="VZT43" s="30"/>
      <c r="VZU43" s="30"/>
      <c r="VZV43" s="30"/>
      <c r="VZW43" s="30"/>
      <c r="VZX43" s="30"/>
      <c r="VZY43" s="30"/>
      <c r="VZZ43" s="30"/>
      <c r="WAA43" s="30"/>
      <c r="WAB43" s="30"/>
      <c r="WAC43" s="30"/>
      <c r="WAD43" s="30"/>
      <c r="WAE43" s="30"/>
      <c r="WAF43" s="30"/>
      <c r="WAG43" s="30"/>
      <c r="WAH43" s="30"/>
      <c r="WAI43" s="30"/>
      <c r="WAJ43" s="30"/>
      <c r="WAK43" s="30"/>
      <c r="WAL43" s="30"/>
      <c r="WAM43" s="30"/>
      <c r="WAN43" s="30"/>
      <c r="WAO43" s="30"/>
      <c r="WAP43" s="30"/>
      <c r="WAQ43" s="30"/>
      <c r="WAR43" s="30"/>
      <c r="WAS43" s="30"/>
      <c r="WAT43" s="30"/>
      <c r="WAU43" s="30"/>
      <c r="WAV43" s="30"/>
      <c r="WAW43" s="30"/>
      <c r="WAX43" s="30"/>
      <c r="WAY43" s="30"/>
      <c r="WAZ43" s="30"/>
      <c r="WBA43" s="30"/>
      <c r="WBB43" s="30"/>
      <c r="WBC43" s="30"/>
      <c r="WBD43" s="30"/>
      <c r="WBE43" s="30"/>
      <c r="WBF43" s="30"/>
      <c r="WBG43" s="30"/>
      <c r="WBH43" s="30"/>
      <c r="WBI43" s="30"/>
      <c r="WBJ43" s="30"/>
      <c r="WBK43" s="30"/>
      <c r="WBL43" s="30"/>
      <c r="WBM43" s="30"/>
      <c r="WBN43" s="30"/>
      <c r="WBO43" s="30"/>
      <c r="WBP43" s="30"/>
      <c r="WBQ43" s="30"/>
      <c r="WBR43" s="30"/>
      <c r="WBS43" s="30"/>
      <c r="WBT43" s="30"/>
      <c r="WBU43" s="30"/>
      <c r="WBV43" s="30"/>
      <c r="WBW43" s="30"/>
      <c r="WBX43" s="30"/>
      <c r="WBY43" s="30"/>
      <c r="WBZ43" s="30"/>
      <c r="WCA43" s="30"/>
      <c r="WCB43" s="30"/>
      <c r="WCC43" s="30"/>
      <c r="WCD43" s="30"/>
      <c r="WCE43" s="30"/>
      <c r="WCF43" s="30"/>
      <c r="WCG43" s="30"/>
      <c r="WCH43" s="30"/>
      <c r="WCI43" s="30"/>
      <c r="WCJ43" s="30"/>
      <c r="WCK43" s="30"/>
      <c r="WCL43" s="30"/>
      <c r="WCM43" s="30"/>
      <c r="WCN43" s="30"/>
      <c r="WCO43" s="30"/>
      <c r="WCP43" s="30"/>
      <c r="WCQ43" s="30"/>
      <c r="WCR43" s="30"/>
      <c r="WCS43" s="30"/>
      <c r="WCT43" s="30"/>
      <c r="WCU43" s="30"/>
      <c r="WCV43" s="30"/>
      <c r="WCW43" s="30"/>
      <c r="WCX43" s="30"/>
      <c r="WCY43" s="30"/>
      <c r="WCZ43" s="30"/>
      <c r="WDA43" s="30"/>
      <c r="WDB43" s="30"/>
      <c r="WDC43" s="30"/>
      <c r="WDD43" s="30"/>
      <c r="WDE43" s="30"/>
      <c r="WDF43" s="30"/>
      <c r="WDG43" s="30"/>
      <c r="WDH43" s="30"/>
      <c r="WDI43" s="30"/>
      <c r="WDJ43" s="30"/>
      <c r="WDK43" s="30"/>
      <c r="WDL43" s="30"/>
      <c r="WDM43" s="30"/>
      <c r="WDN43" s="30"/>
      <c r="WDO43" s="30"/>
      <c r="WDP43" s="30"/>
      <c r="WDQ43" s="30"/>
      <c r="WDR43" s="30"/>
      <c r="WDS43" s="30"/>
      <c r="WDT43" s="30"/>
      <c r="WDU43" s="30"/>
      <c r="WDV43" s="30"/>
      <c r="WDW43" s="30"/>
      <c r="WDX43" s="30"/>
      <c r="WDY43" s="30"/>
      <c r="WDZ43" s="30"/>
      <c r="WEA43" s="30"/>
      <c r="WEB43" s="30"/>
      <c r="WEC43" s="30"/>
      <c r="WED43" s="30"/>
      <c r="WEE43" s="30"/>
      <c r="WEF43" s="30"/>
      <c r="WEG43" s="30"/>
      <c r="WEH43" s="30"/>
      <c r="WEI43" s="30"/>
      <c r="WEJ43" s="30"/>
      <c r="WEK43" s="30"/>
      <c r="WEL43" s="30"/>
      <c r="WEM43" s="30"/>
      <c r="WEN43" s="30"/>
      <c r="WEO43" s="30"/>
      <c r="WEP43" s="30"/>
      <c r="WEQ43" s="30"/>
      <c r="WER43" s="30"/>
      <c r="WES43" s="30"/>
      <c r="WET43" s="30"/>
      <c r="WEU43" s="30"/>
      <c r="WEV43" s="30"/>
      <c r="WEW43" s="30"/>
      <c r="WEX43" s="30"/>
      <c r="WEY43" s="30"/>
      <c r="WEZ43" s="30"/>
      <c r="WFA43" s="30"/>
      <c r="WFB43" s="30"/>
      <c r="WFC43" s="30"/>
      <c r="WFD43" s="30"/>
      <c r="WFE43" s="30"/>
      <c r="WFF43" s="30"/>
      <c r="WFG43" s="30"/>
      <c r="WFH43" s="30"/>
      <c r="WFI43" s="30"/>
      <c r="WFJ43" s="30"/>
      <c r="WFK43" s="30"/>
      <c r="WFL43" s="30"/>
      <c r="WFM43" s="30"/>
      <c r="WFN43" s="30"/>
      <c r="WFO43" s="30"/>
      <c r="WFP43" s="30"/>
      <c r="WFQ43" s="30"/>
      <c r="WFR43" s="30"/>
      <c r="WFS43" s="30"/>
      <c r="WFT43" s="30"/>
      <c r="WFU43" s="30"/>
      <c r="WFV43" s="30"/>
      <c r="WFW43" s="30"/>
      <c r="WFX43" s="30"/>
      <c r="WFY43" s="30"/>
      <c r="WFZ43" s="30"/>
      <c r="WGA43" s="30"/>
      <c r="WGB43" s="30"/>
      <c r="WGC43" s="30"/>
      <c r="WGD43" s="30"/>
      <c r="WGE43" s="30"/>
      <c r="WGF43" s="30"/>
      <c r="WGG43" s="30"/>
      <c r="WGH43" s="30"/>
      <c r="WGI43" s="30"/>
      <c r="WGJ43" s="30"/>
      <c r="WGK43" s="30"/>
      <c r="WGL43" s="30"/>
      <c r="WGM43" s="30"/>
      <c r="WGN43" s="30"/>
      <c r="WGO43" s="30"/>
      <c r="WGP43" s="30"/>
      <c r="WGQ43" s="30"/>
      <c r="WGR43" s="30"/>
      <c r="WGS43" s="30"/>
      <c r="WGT43" s="30"/>
      <c r="WGU43" s="30"/>
      <c r="WGV43" s="30"/>
      <c r="WGW43" s="30"/>
      <c r="WGX43" s="30"/>
      <c r="WGY43" s="30"/>
      <c r="WGZ43" s="30"/>
      <c r="WHA43" s="30"/>
      <c r="WHB43" s="30"/>
      <c r="WHC43" s="30"/>
      <c r="WHD43" s="30"/>
      <c r="WHE43" s="30"/>
      <c r="WHF43" s="30"/>
      <c r="WHG43" s="30"/>
      <c r="WHH43" s="30"/>
      <c r="WHI43" s="30"/>
      <c r="WHJ43" s="30"/>
      <c r="WHK43" s="30"/>
      <c r="WHL43" s="30"/>
      <c r="WHM43" s="30"/>
      <c r="WHN43" s="30"/>
      <c r="WHO43" s="30"/>
      <c r="WHP43" s="30"/>
      <c r="WHQ43" s="30"/>
      <c r="WHR43" s="30"/>
      <c r="WHS43" s="30"/>
      <c r="WHT43" s="30"/>
      <c r="WHU43" s="30"/>
      <c r="WHV43" s="30"/>
      <c r="WHW43" s="30"/>
      <c r="WHX43" s="30"/>
      <c r="WHY43" s="30"/>
      <c r="WHZ43" s="30"/>
      <c r="WIA43" s="30"/>
      <c r="WIB43" s="30"/>
      <c r="WIC43" s="30"/>
      <c r="WID43" s="30"/>
      <c r="WIE43" s="30"/>
      <c r="WIF43" s="30"/>
      <c r="WIG43" s="30"/>
      <c r="WIH43" s="30"/>
      <c r="WII43" s="30"/>
      <c r="WIJ43" s="30"/>
      <c r="WIK43" s="30"/>
      <c r="WIL43" s="30"/>
      <c r="WIM43" s="30"/>
      <c r="WIN43" s="30"/>
      <c r="WIO43" s="30"/>
      <c r="WIP43" s="30"/>
      <c r="WIQ43" s="30"/>
      <c r="WIR43" s="30"/>
      <c r="WIS43" s="30"/>
      <c r="WIT43" s="30"/>
      <c r="WIU43" s="30"/>
      <c r="WIV43" s="30"/>
      <c r="WIW43" s="30"/>
      <c r="WIX43" s="30"/>
      <c r="WIY43" s="30"/>
      <c r="WIZ43" s="30"/>
      <c r="WJA43" s="30"/>
      <c r="WJB43" s="30"/>
      <c r="WJC43" s="30"/>
      <c r="WJD43" s="30"/>
      <c r="WJE43" s="30"/>
      <c r="WJF43" s="30"/>
      <c r="WJG43" s="30"/>
      <c r="WJH43" s="30"/>
      <c r="WJI43" s="30"/>
      <c r="WJJ43" s="30"/>
      <c r="WJK43" s="30"/>
      <c r="WJL43" s="30"/>
      <c r="WJM43" s="30"/>
      <c r="WJN43" s="30"/>
      <c r="WJO43" s="30"/>
      <c r="WJP43" s="30"/>
      <c r="WJQ43" s="30"/>
      <c r="WJR43" s="30"/>
      <c r="WJS43" s="30"/>
      <c r="WJT43" s="30"/>
      <c r="WJU43" s="30"/>
      <c r="WJV43" s="30"/>
      <c r="WJW43" s="30"/>
      <c r="WJX43" s="30"/>
      <c r="WJY43" s="30"/>
      <c r="WJZ43" s="30"/>
      <c r="WKA43" s="30"/>
      <c r="WKB43" s="30"/>
      <c r="WKC43" s="30"/>
      <c r="WKD43" s="30"/>
      <c r="WKE43" s="30"/>
      <c r="WKF43" s="30"/>
      <c r="WKG43" s="30"/>
      <c r="WKH43" s="30"/>
      <c r="WKI43" s="30"/>
      <c r="WKJ43" s="30"/>
      <c r="WKK43" s="30"/>
      <c r="WKL43" s="30"/>
      <c r="WKM43" s="30"/>
      <c r="WKN43" s="30"/>
      <c r="WKO43" s="30"/>
      <c r="WKP43" s="30"/>
      <c r="WKQ43" s="30"/>
      <c r="WKR43" s="30"/>
      <c r="WKS43" s="30"/>
      <c r="WKT43" s="30"/>
      <c r="WKU43" s="30"/>
      <c r="WKV43" s="30"/>
      <c r="WKW43" s="30"/>
      <c r="WKX43" s="30"/>
      <c r="WKY43" s="30"/>
      <c r="WKZ43" s="30"/>
      <c r="WLA43" s="30"/>
      <c r="WLB43" s="30"/>
      <c r="WLC43" s="30"/>
      <c r="WLD43" s="30"/>
      <c r="WLE43" s="30"/>
      <c r="WLF43" s="30"/>
      <c r="WLG43" s="30"/>
      <c r="WLH43" s="30"/>
      <c r="WLI43" s="30"/>
      <c r="WLJ43" s="30"/>
      <c r="WLK43" s="30"/>
      <c r="WLL43" s="30"/>
      <c r="WLM43" s="30"/>
      <c r="WLN43" s="30"/>
      <c r="WLO43" s="30"/>
      <c r="WLP43" s="30"/>
      <c r="WLQ43" s="30"/>
      <c r="WLR43" s="30"/>
      <c r="WLS43" s="30"/>
      <c r="WLT43" s="30"/>
      <c r="WLU43" s="30"/>
      <c r="WLV43" s="30"/>
      <c r="WLW43" s="30"/>
      <c r="WLX43" s="30"/>
      <c r="WLY43" s="30"/>
      <c r="WLZ43" s="30"/>
      <c r="WMA43" s="30"/>
      <c r="WMB43" s="30"/>
      <c r="WMC43" s="30"/>
      <c r="WMD43" s="30"/>
      <c r="WME43" s="30"/>
      <c r="WMF43" s="30"/>
      <c r="WMG43" s="30"/>
      <c r="WMH43" s="30"/>
      <c r="WMI43" s="30"/>
      <c r="WMJ43" s="30"/>
      <c r="WMK43" s="30"/>
      <c r="WML43" s="30"/>
      <c r="WMM43" s="30"/>
      <c r="WMN43" s="30"/>
      <c r="WMO43" s="30"/>
      <c r="WMP43" s="30"/>
      <c r="WMQ43" s="30"/>
      <c r="WMR43" s="30"/>
      <c r="WMS43" s="30"/>
      <c r="WMT43" s="30"/>
      <c r="WMU43" s="30"/>
      <c r="WMV43" s="30"/>
      <c r="WMW43" s="30"/>
      <c r="WMX43" s="30"/>
      <c r="WMY43" s="30"/>
      <c r="WMZ43" s="30"/>
      <c r="WNA43" s="30"/>
      <c r="WNB43" s="30"/>
      <c r="WNC43" s="30"/>
      <c r="WND43" s="30"/>
      <c r="WNE43" s="30"/>
      <c r="WNF43" s="30"/>
      <c r="WNG43" s="30"/>
      <c r="WNH43" s="30"/>
      <c r="WNI43" s="30"/>
      <c r="WNJ43" s="30"/>
      <c r="WNK43" s="30"/>
      <c r="WNL43" s="30"/>
      <c r="WNM43" s="30"/>
      <c r="WNN43" s="30"/>
      <c r="WNO43" s="30"/>
      <c r="WNP43" s="30"/>
      <c r="WNQ43" s="30"/>
      <c r="WNR43" s="30"/>
      <c r="WNS43" s="30"/>
      <c r="WNT43" s="30"/>
      <c r="WNU43" s="30"/>
      <c r="WNV43" s="30"/>
      <c r="WNW43" s="30"/>
      <c r="WNX43" s="30"/>
      <c r="WNY43" s="30"/>
      <c r="WNZ43" s="30"/>
      <c r="WOA43" s="30"/>
      <c r="WOB43" s="30"/>
      <c r="WOC43" s="30"/>
      <c r="WOD43" s="30"/>
      <c r="WOE43" s="30"/>
      <c r="WOF43" s="30"/>
      <c r="WOG43" s="30"/>
      <c r="WOH43" s="30"/>
      <c r="WOI43" s="30"/>
      <c r="WOJ43" s="30"/>
      <c r="WOK43" s="30"/>
      <c r="WOL43" s="30"/>
      <c r="WOM43" s="30"/>
      <c r="WON43" s="30"/>
      <c r="WOO43" s="30"/>
      <c r="WOP43" s="30"/>
      <c r="WOQ43" s="30"/>
      <c r="WOR43" s="30"/>
      <c r="WOS43" s="30"/>
      <c r="WOT43" s="30"/>
      <c r="WOU43" s="30"/>
      <c r="WOV43" s="30"/>
      <c r="WOW43" s="30"/>
      <c r="WOX43" s="30"/>
      <c r="WOY43" s="30"/>
      <c r="WOZ43" s="30"/>
      <c r="WPA43" s="30"/>
      <c r="WPB43" s="30"/>
      <c r="WPC43" s="30"/>
      <c r="WPD43" s="30"/>
      <c r="WPE43" s="30"/>
      <c r="WPF43" s="30"/>
      <c r="WPG43" s="30"/>
      <c r="WPH43" s="30"/>
      <c r="WPI43" s="30"/>
      <c r="WPJ43" s="30"/>
      <c r="WPK43" s="30"/>
      <c r="WPL43" s="30"/>
      <c r="WPM43" s="30"/>
      <c r="WPN43" s="30"/>
      <c r="WPO43" s="30"/>
      <c r="WPP43" s="30"/>
      <c r="WPQ43" s="30"/>
      <c r="WPR43" s="30"/>
      <c r="WPS43" s="30"/>
      <c r="WPT43" s="30"/>
      <c r="WPU43" s="30"/>
      <c r="WPV43" s="30"/>
      <c r="WPW43" s="30"/>
      <c r="WPX43" s="30"/>
      <c r="WPY43" s="30"/>
      <c r="WPZ43" s="30"/>
      <c r="WQA43" s="30"/>
      <c r="WQB43" s="30"/>
      <c r="WQC43" s="30"/>
      <c r="WQD43" s="30"/>
      <c r="WQE43" s="30"/>
      <c r="WQF43" s="30"/>
      <c r="WQG43" s="30"/>
      <c r="WQH43" s="30"/>
      <c r="WQI43" s="30"/>
      <c r="WQJ43" s="30"/>
      <c r="WQK43" s="30"/>
      <c r="WQL43" s="30"/>
      <c r="WQM43" s="30"/>
      <c r="WQN43" s="30"/>
      <c r="WQO43" s="30"/>
      <c r="WQP43" s="30"/>
      <c r="WQQ43" s="30"/>
      <c r="WQR43" s="30"/>
      <c r="WQS43" s="30"/>
      <c r="WQT43" s="30"/>
      <c r="WQU43" s="30"/>
      <c r="WQV43" s="30"/>
      <c r="WQW43" s="30"/>
      <c r="WQX43" s="30"/>
      <c r="WQY43" s="30"/>
      <c r="WQZ43" s="30"/>
      <c r="WRA43" s="30"/>
      <c r="WRB43" s="30"/>
      <c r="WRC43" s="30"/>
      <c r="WRD43" s="30"/>
      <c r="WRE43" s="30"/>
      <c r="WRF43" s="30"/>
      <c r="WRG43" s="30"/>
      <c r="WRH43" s="30"/>
      <c r="WRI43" s="30"/>
      <c r="WRJ43" s="30"/>
      <c r="WRK43" s="30"/>
      <c r="WRL43" s="30"/>
      <c r="WRM43" s="30"/>
      <c r="WRN43" s="30"/>
      <c r="WRO43" s="30"/>
      <c r="WRP43" s="30"/>
      <c r="WRQ43" s="30"/>
      <c r="WRR43" s="30"/>
      <c r="WRS43" s="30"/>
      <c r="WRT43" s="30"/>
      <c r="WRU43" s="30"/>
      <c r="WRV43" s="30"/>
      <c r="WRW43" s="30"/>
      <c r="WRX43" s="30"/>
      <c r="WRY43" s="30"/>
      <c r="WRZ43" s="30"/>
      <c r="WSA43" s="30"/>
      <c r="WSB43" s="30"/>
      <c r="WSC43" s="30"/>
      <c r="WSD43" s="30"/>
      <c r="WSE43" s="30"/>
      <c r="WSF43" s="30"/>
      <c r="WSG43" s="30"/>
      <c r="WSH43" s="30"/>
      <c r="WSI43" s="30"/>
      <c r="WSJ43" s="30"/>
      <c r="WSK43" s="30"/>
      <c r="WSL43" s="30"/>
      <c r="WSM43" s="30"/>
      <c r="WSN43" s="30"/>
      <c r="WSO43" s="30"/>
      <c r="WSP43" s="30"/>
      <c r="WSQ43" s="30"/>
      <c r="WSR43" s="30"/>
      <c r="WSS43" s="30"/>
      <c r="WST43" s="30"/>
      <c r="WSU43" s="30"/>
      <c r="WSV43" s="30"/>
      <c r="WSW43" s="30"/>
      <c r="WSX43" s="30"/>
      <c r="WSY43" s="30"/>
      <c r="WSZ43" s="30"/>
      <c r="WTA43" s="30"/>
      <c r="WTB43" s="30"/>
      <c r="WTC43" s="30"/>
      <c r="WTD43" s="30"/>
      <c r="WTE43" s="30"/>
      <c r="WTF43" s="30"/>
      <c r="WTG43" s="30"/>
      <c r="WTH43" s="30"/>
      <c r="WTI43" s="30"/>
      <c r="WTJ43" s="30"/>
      <c r="WTK43" s="30"/>
      <c r="WTL43" s="30"/>
      <c r="WTM43" s="30"/>
      <c r="WTN43" s="30"/>
      <c r="WTO43" s="30"/>
      <c r="WTP43" s="30"/>
      <c r="WTQ43" s="30"/>
      <c r="WTR43" s="30"/>
      <c r="WTS43" s="30"/>
      <c r="WTT43" s="30"/>
      <c r="WTU43" s="30"/>
      <c r="WTV43" s="30"/>
      <c r="WTW43" s="30"/>
      <c r="WTX43" s="30"/>
      <c r="WTY43" s="30"/>
      <c r="WTZ43" s="30"/>
      <c r="WUA43" s="30"/>
      <c r="WUB43" s="30"/>
      <c r="WUC43" s="30"/>
      <c r="WUD43" s="30"/>
      <c r="WUE43" s="30"/>
      <c r="WUF43" s="30"/>
      <c r="WUG43" s="30"/>
      <c r="WUH43" s="30"/>
      <c r="WUI43" s="30"/>
      <c r="WUJ43" s="30"/>
      <c r="WUK43" s="30"/>
      <c r="WUL43" s="30"/>
      <c r="WUM43" s="30"/>
      <c r="WUN43" s="30"/>
      <c r="WUO43" s="30"/>
      <c r="WUP43" s="30"/>
      <c r="WUQ43" s="30"/>
      <c r="WUR43" s="30"/>
      <c r="WUS43" s="30"/>
      <c r="WUT43" s="30"/>
      <c r="WUU43" s="30"/>
      <c r="WUV43" s="30"/>
      <c r="WUW43" s="30"/>
      <c r="WUX43" s="30"/>
      <c r="WUY43" s="30"/>
      <c r="WUZ43" s="30"/>
      <c r="WVA43" s="30"/>
      <c r="WVB43" s="30"/>
      <c r="WVC43" s="30"/>
      <c r="WVD43" s="30"/>
      <c r="WVE43" s="30"/>
      <c r="WVF43" s="30"/>
      <c r="WVG43" s="30"/>
      <c r="WVH43" s="30"/>
      <c r="WVI43" s="30"/>
      <c r="WVJ43" s="30"/>
      <c r="WVK43" s="30"/>
      <c r="WVL43" s="30"/>
      <c r="WVM43" s="30"/>
      <c r="WVN43" s="30"/>
      <c r="WVO43" s="30"/>
      <c r="WVP43" s="30"/>
      <c r="WVQ43" s="30"/>
      <c r="WVR43" s="30"/>
      <c r="WVS43" s="30"/>
      <c r="WVT43" s="30"/>
      <c r="WVU43" s="30"/>
      <c r="WVV43" s="30"/>
      <c r="WVW43" s="30"/>
      <c r="WVX43" s="30"/>
      <c r="WVY43" s="30"/>
      <c r="WVZ43" s="30"/>
      <c r="WWA43" s="30"/>
      <c r="WWB43" s="30"/>
      <c r="WWC43" s="30"/>
      <c r="WWD43" s="30"/>
      <c r="WWE43" s="30"/>
      <c r="WWF43" s="30"/>
      <c r="WWG43" s="30"/>
      <c r="WWH43" s="30"/>
      <c r="WWI43" s="30"/>
      <c r="WWJ43" s="30"/>
      <c r="WWK43" s="30"/>
      <c r="WWL43" s="30"/>
      <c r="WWM43" s="30"/>
      <c r="WWN43" s="30"/>
      <c r="WWO43" s="30"/>
      <c r="WWP43" s="30"/>
      <c r="WWQ43" s="30"/>
      <c r="WWR43" s="30"/>
      <c r="WWS43" s="30"/>
      <c r="WWT43" s="30"/>
      <c r="WWU43" s="30"/>
      <c r="WWV43" s="30"/>
      <c r="WWW43" s="30"/>
      <c r="WWX43" s="30"/>
      <c r="WWY43" s="30"/>
      <c r="WWZ43" s="30"/>
      <c r="WXA43" s="30"/>
      <c r="WXB43" s="30"/>
      <c r="WXC43" s="30"/>
      <c r="WXD43" s="30"/>
      <c r="WXE43" s="30"/>
      <c r="WXF43" s="30"/>
      <c r="WXG43" s="30"/>
      <c r="WXH43" s="30"/>
      <c r="WXI43" s="30"/>
      <c r="WXJ43" s="30"/>
      <c r="WXK43" s="30"/>
      <c r="WXL43" s="30"/>
      <c r="WXM43" s="30"/>
      <c r="WXN43" s="30"/>
      <c r="WXO43" s="30"/>
      <c r="WXP43" s="30"/>
      <c r="WXQ43" s="30"/>
      <c r="WXR43" s="30"/>
      <c r="WXS43" s="30"/>
      <c r="WXT43" s="30"/>
      <c r="WXU43" s="30"/>
      <c r="WXV43" s="30"/>
      <c r="WXW43" s="30"/>
      <c r="WXX43" s="30"/>
      <c r="WXY43" s="30"/>
      <c r="WXZ43" s="30"/>
      <c r="WYA43" s="30"/>
      <c r="WYB43" s="30"/>
      <c r="WYC43" s="30"/>
      <c r="WYD43" s="30"/>
      <c r="WYE43" s="30"/>
      <c r="WYF43" s="30"/>
      <c r="WYG43" s="30"/>
      <c r="WYH43" s="30"/>
      <c r="WYI43" s="30"/>
      <c r="WYJ43" s="30"/>
      <c r="WYK43" s="30"/>
      <c r="WYL43" s="30"/>
      <c r="WYM43" s="30"/>
      <c r="WYN43" s="30"/>
      <c r="WYO43" s="30"/>
      <c r="WYP43" s="30"/>
      <c r="WYQ43" s="30"/>
      <c r="WYR43" s="30"/>
      <c r="WYS43" s="30"/>
      <c r="WYT43" s="30"/>
      <c r="WYU43" s="30"/>
      <c r="WYV43" s="30"/>
      <c r="WYW43" s="30"/>
      <c r="WYX43" s="30"/>
      <c r="WYY43" s="30"/>
      <c r="WYZ43" s="30"/>
      <c r="WZA43" s="30"/>
      <c r="WZB43" s="30"/>
      <c r="WZC43" s="30"/>
      <c r="WZD43" s="30"/>
      <c r="WZE43" s="30"/>
      <c r="WZF43" s="30"/>
      <c r="WZG43" s="30"/>
      <c r="WZH43" s="30"/>
      <c r="WZI43" s="30"/>
      <c r="WZJ43" s="30"/>
      <c r="WZK43" s="30"/>
      <c r="WZL43" s="30"/>
      <c r="WZM43" s="30"/>
      <c r="WZN43" s="30"/>
      <c r="WZO43" s="30"/>
      <c r="WZP43" s="30"/>
      <c r="WZQ43" s="30"/>
      <c r="WZR43" s="30"/>
      <c r="WZS43" s="30"/>
      <c r="WZT43" s="30"/>
      <c r="WZU43" s="30"/>
      <c r="WZV43" s="30"/>
      <c r="WZW43" s="30"/>
      <c r="WZX43" s="30"/>
      <c r="WZY43" s="30"/>
      <c r="WZZ43" s="30"/>
      <c r="XAA43" s="30"/>
      <c r="XAB43" s="30"/>
      <c r="XAC43" s="30"/>
      <c r="XAD43" s="30"/>
      <c r="XAE43" s="30"/>
      <c r="XAF43" s="30"/>
      <c r="XAG43" s="30"/>
      <c r="XAH43" s="30"/>
      <c r="XAI43" s="30"/>
      <c r="XAJ43" s="30"/>
      <c r="XAK43" s="30"/>
      <c r="XAL43" s="30"/>
      <c r="XAM43" s="30"/>
      <c r="XAN43" s="30"/>
      <c r="XAO43" s="30"/>
      <c r="XAP43" s="30"/>
      <c r="XAQ43" s="30"/>
      <c r="XAR43" s="30"/>
      <c r="XAS43" s="30"/>
      <c r="XAT43" s="30"/>
      <c r="XAU43" s="30"/>
      <c r="XAV43" s="30"/>
      <c r="XAW43" s="30"/>
      <c r="XAX43" s="30"/>
      <c r="XAY43" s="30"/>
      <c r="XAZ43" s="30"/>
      <c r="XBA43" s="30"/>
      <c r="XBB43" s="30"/>
      <c r="XBC43" s="30"/>
      <c r="XBD43" s="30"/>
      <c r="XBE43" s="30"/>
      <c r="XBF43" s="30"/>
      <c r="XBG43" s="30"/>
      <c r="XBH43" s="30"/>
      <c r="XBI43" s="30"/>
      <c r="XBJ43" s="30"/>
      <c r="XBK43" s="30"/>
      <c r="XBL43" s="30"/>
      <c r="XBM43" s="30"/>
      <c r="XBN43" s="30"/>
      <c r="XBO43" s="30"/>
      <c r="XBP43" s="30"/>
      <c r="XBQ43" s="30"/>
      <c r="XBR43" s="30"/>
      <c r="XBS43" s="30"/>
      <c r="XBT43" s="30"/>
      <c r="XBU43" s="30"/>
      <c r="XBV43" s="30"/>
      <c r="XBW43" s="30"/>
      <c r="XBX43" s="30"/>
      <c r="XBY43" s="30"/>
      <c r="XBZ43" s="30"/>
      <c r="XCA43" s="30"/>
      <c r="XCB43" s="30"/>
      <c r="XCC43" s="30"/>
      <c r="XCD43" s="30"/>
      <c r="XCE43" s="30"/>
      <c r="XCF43" s="30"/>
      <c r="XCG43" s="30"/>
      <c r="XCH43" s="30"/>
      <c r="XCI43" s="30"/>
      <c r="XCJ43" s="30"/>
      <c r="XCK43" s="30"/>
      <c r="XCL43" s="30"/>
      <c r="XCM43" s="30"/>
      <c r="XCN43" s="30"/>
      <c r="XCO43" s="30"/>
      <c r="XCP43" s="30"/>
      <c r="XCQ43" s="30"/>
      <c r="XCR43" s="30"/>
      <c r="XCS43" s="30"/>
      <c r="XCT43" s="30"/>
      <c r="XCU43" s="30"/>
      <c r="XCV43" s="30"/>
      <c r="XCW43" s="30"/>
      <c r="XCX43" s="30"/>
      <c r="XCY43" s="30"/>
      <c r="XCZ43" s="30"/>
      <c r="XDA43" s="30"/>
      <c r="XDB43" s="30"/>
      <c r="XDC43" s="30"/>
      <c r="XDD43" s="30"/>
      <c r="XDE43" s="30"/>
      <c r="XDF43" s="30"/>
      <c r="XDG43" s="30"/>
      <c r="XDH43" s="30"/>
      <c r="XDI43" s="30"/>
      <c r="XDJ43" s="30"/>
      <c r="XDK43" s="30"/>
      <c r="XDL43" s="30"/>
      <c r="XDM43" s="30"/>
      <c r="XDN43" s="30"/>
      <c r="XDO43" s="30"/>
      <c r="XDP43" s="30"/>
      <c r="XDQ43" s="30"/>
      <c r="XDR43" s="30"/>
      <c r="XDS43" s="30"/>
      <c r="XDT43" s="30"/>
      <c r="XDU43" s="30"/>
      <c r="XDV43" s="30"/>
      <c r="XDW43" s="30"/>
      <c r="XDX43" s="30"/>
      <c r="XDY43" s="30"/>
      <c r="XDZ43" s="30"/>
      <c r="XEA43" s="30"/>
      <c r="XEB43" s="30"/>
      <c r="XEC43" s="30"/>
      <c r="XED43" s="30"/>
      <c r="XEE43" s="30"/>
      <c r="XEF43" s="30"/>
      <c r="XEG43" s="30"/>
      <c r="XEH43" s="30"/>
      <c r="XEI43" s="30"/>
      <c r="XEJ43" s="30"/>
      <c r="XEK43" s="30"/>
      <c r="XEL43" s="30"/>
      <c r="XEM43" s="30"/>
      <c r="XEN43" s="30"/>
      <c r="XEO43" s="30"/>
      <c r="XEP43" s="30"/>
      <c r="XEQ43" s="30"/>
      <c r="XER43" s="30"/>
      <c r="XES43" s="30"/>
      <c r="XET43" s="30"/>
      <c r="XEU43" s="30"/>
      <c r="XEV43" s="30"/>
      <c r="XEW43" s="30"/>
    </row>
    <row r="44" spans="1:16377">
      <c r="A44" s="27"/>
      <c r="B44" s="21" t="s">
        <v>564</v>
      </c>
      <c r="C44" s="21" t="s">
        <v>859</v>
      </c>
      <c r="D44" s="13">
        <v>2</v>
      </c>
      <c r="E44" s="13">
        <v>1.65</v>
      </c>
      <c r="F44" s="13">
        <f>D44-E44</f>
        <v>0.35000000000000009</v>
      </c>
      <c r="G44" s="21" t="s">
        <v>516</v>
      </c>
      <c r="H44" s="21" t="s">
        <v>11</v>
      </c>
      <c r="I44" s="21" t="s">
        <v>12</v>
      </c>
      <c r="J44" s="21" t="s">
        <v>13</v>
      </c>
      <c r="K44" s="40">
        <v>0.06</v>
      </c>
      <c r="L44" s="40"/>
      <c r="M44" s="40"/>
    </row>
    <row r="45" spans="1:16377">
      <c r="A45" s="27"/>
      <c r="B45" s="21" t="s">
        <v>568</v>
      </c>
      <c r="C45" s="21" t="s">
        <v>860</v>
      </c>
      <c r="D45" s="13">
        <v>10</v>
      </c>
      <c r="E45" s="13">
        <v>8.25</v>
      </c>
      <c r="F45" s="13">
        <f>D45-E45</f>
        <v>1.75</v>
      </c>
      <c r="G45" s="21" t="s">
        <v>516</v>
      </c>
      <c r="H45" s="21" t="s">
        <v>11</v>
      </c>
      <c r="I45" s="21" t="s">
        <v>12</v>
      </c>
      <c r="J45" s="21" t="s">
        <v>13</v>
      </c>
      <c r="K45" s="40">
        <v>0.3</v>
      </c>
      <c r="L45" s="40"/>
      <c r="M45" s="40"/>
    </row>
    <row r="46" spans="1:16377">
      <c r="A46" s="27"/>
      <c r="B46" s="21"/>
      <c r="G46" s="21"/>
      <c r="H46" s="21"/>
      <c r="I46" s="21"/>
      <c r="J46" s="21"/>
      <c r="K46" s="40"/>
      <c r="L46" s="40"/>
      <c r="M46" s="40"/>
    </row>
    <row r="47" spans="1:16377" s="29" customFormat="1">
      <c r="A47" s="4" t="s">
        <v>1194</v>
      </c>
      <c r="B47" s="21" t="s">
        <v>213</v>
      </c>
      <c r="C47" s="21" t="s">
        <v>212</v>
      </c>
      <c r="D47" s="13">
        <v>6</v>
      </c>
      <c r="E47" s="13">
        <v>5.2799999999999994</v>
      </c>
      <c r="F47" s="13">
        <f t="shared" ref="F47:F51" si="3">D47-E47</f>
        <v>0.72000000000000064</v>
      </c>
      <c r="G47" s="21" t="s">
        <v>516</v>
      </c>
      <c r="H47" s="21" t="s">
        <v>11</v>
      </c>
      <c r="I47" s="21" t="s">
        <v>12</v>
      </c>
      <c r="J47" s="21" t="s">
        <v>13</v>
      </c>
      <c r="K47" s="40">
        <v>0.19</v>
      </c>
      <c r="L47" s="40"/>
      <c r="M47" s="40"/>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row>
    <row r="48" spans="1:16377" s="29" customFormat="1">
      <c r="A48" s="27"/>
      <c r="B48" s="21" t="s">
        <v>215</v>
      </c>
      <c r="C48" s="21" t="s">
        <v>214</v>
      </c>
      <c r="D48" s="13">
        <v>9</v>
      </c>
      <c r="E48" s="13">
        <v>7.92</v>
      </c>
      <c r="F48" s="13">
        <f t="shared" si="3"/>
        <v>1.08</v>
      </c>
      <c r="G48" s="21" t="s">
        <v>516</v>
      </c>
      <c r="H48" s="21" t="s">
        <v>11</v>
      </c>
      <c r="I48" s="21" t="s">
        <v>12</v>
      </c>
      <c r="J48" s="21" t="s">
        <v>13</v>
      </c>
      <c r="K48" s="40">
        <v>0.28999999999999998</v>
      </c>
      <c r="L48" s="40"/>
      <c r="M48" s="40"/>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row>
    <row r="49" spans="1:171">
      <c r="A49" s="27" t="s">
        <v>1195</v>
      </c>
      <c r="B49" s="21" t="s">
        <v>216</v>
      </c>
      <c r="C49" s="51" t="s">
        <v>1345</v>
      </c>
      <c r="D49" s="13">
        <v>5.5</v>
      </c>
      <c r="E49" s="13">
        <v>4.8400000000000007</v>
      </c>
      <c r="F49" s="13">
        <f t="shared" si="3"/>
        <v>0.65999999999999925</v>
      </c>
      <c r="G49" s="21" t="s">
        <v>516</v>
      </c>
      <c r="H49" s="21" t="s">
        <v>11</v>
      </c>
      <c r="I49" s="21" t="s">
        <v>12</v>
      </c>
      <c r="J49" s="21" t="s">
        <v>13</v>
      </c>
      <c r="K49" s="40">
        <v>0.17</v>
      </c>
      <c r="L49" s="40"/>
      <c r="M49" s="40"/>
    </row>
    <row r="50" spans="1:171" s="29" customFormat="1">
      <c r="A50" s="27"/>
      <c r="B50" s="21" t="s">
        <v>217</v>
      </c>
      <c r="C50" s="21" t="s">
        <v>857</v>
      </c>
      <c r="D50" s="13">
        <v>2</v>
      </c>
      <c r="E50" s="13">
        <v>1.76</v>
      </c>
      <c r="F50" s="13">
        <f t="shared" si="3"/>
        <v>0.24</v>
      </c>
      <c r="G50" s="21" t="s">
        <v>516</v>
      </c>
      <c r="H50" s="21" t="s">
        <v>11</v>
      </c>
      <c r="I50" s="21" t="s">
        <v>12</v>
      </c>
      <c r="J50" s="21" t="s">
        <v>13</v>
      </c>
      <c r="K50" s="40">
        <v>0.06</v>
      </c>
      <c r="L50" s="40"/>
      <c r="M50" s="4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row>
    <row r="51" spans="1:171">
      <c r="A51" s="27" t="s">
        <v>242</v>
      </c>
      <c r="B51" s="21" t="s">
        <v>219</v>
      </c>
      <c r="C51" s="21" t="s">
        <v>218</v>
      </c>
      <c r="D51" s="13">
        <v>0</v>
      </c>
      <c r="E51" s="13">
        <v>0</v>
      </c>
      <c r="F51" s="13">
        <f t="shared" si="3"/>
        <v>0</v>
      </c>
      <c r="G51" s="21" t="s">
        <v>516</v>
      </c>
      <c r="H51" s="21" t="s">
        <v>11</v>
      </c>
      <c r="I51" s="21" t="s">
        <v>19</v>
      </c>
      <c r="J51" s="21" t="s">
        <v>13</v>
      </c>
      <c r="K51" s="40"/>
      <c r="L51" s="40"/>
      <c r="M51" s="40"/>
    </row>
    <row r="52" spans="1:171">
      <c r="C52"/>
      <c r="K52" s="40"/>
      <c r="L52" s="40"/>
      <c r="M52" s="40"/>
    </row>
    <row r="53" spans="1:171">
      <c r="A53" t="s">
        <v>2077</v>
      </c>
      <c r="K53" s="40"/>
      <c r="L53" s="40"/>
      <c r="M53" s="40"/>
    </row>
    <row r="54" spans="1:171">
      <c r="C54" s="23" t="s">
        <v>39</v>
      </c>
      <c r="K54" s="40"/>
      <c r="L54" s="40"/>
      <c r="M54" s="40"/>
    </row>
    <row r="55" spans="1:171">
      <c r="A55" s="4" t="s">
        <v>1196</v>
      </c>
      <c r="B55" t="s">
        <v>41</v>
      </c>
      <c r="C55" t="s">
        <v>40</v>
      </c>
      <c r="D55" s="13">
        <v>5</v>
      </c>
      <c r="E55" s="13">
        <v>4.4000000000000004</v>
      </c>
      <c r="F55" s="13">
        <f>D55-E55</f>
        <v>0.59999999999999964</v>
      </c>
      <c r="G55" t="s">
        <v>516</v>
      </c>
      <c r="H55" t="s">
        <v>11</v>
      </c>
      <c r="I55" t="s">
        <v>12</v>
      </c>
      <c r="J55" t="s">
        <v>13</v>
      </c>
      <c r="K55" s="40">
        <v>0.16</v>
      </c>
      <c r="L55" s="40"/>
      <c r="M55" s="40"/>
    </row>
    <row r="56" spans="1:171">
      <c r="A56" s="27"/>
      <c r="B56" t="s">
        <v>43</v>
      </c>
      <c r="C56" t="s">
        <v>42</v>
      </c>
      <c r="D56" s="13">
        <v>10</v>
      </c>
      <c r="E56" s="13">
        <v>8.8000000000000007</v>
      </c>
      <c r="F56" s="13">
        <f>D56-E56</f>
        <v>1.1999999999999993</v>
      </c>
      <c r="G56" t="s">
        <v>516</v>
      </c>
      <c r="H56" t="s">
        <v>11</v>
      </c>
      <c r="I56" t="s">
        <v>12</v>
      </c>
      <c r="J56" t="s">
        <v>13</v>
      </c>
      <c r="K56" s="40">
        <v>0.32</v>
      </c>
      <c r="L56" s="40"/>
      <c r="M56" s="40"/>
    </row>
    <row r="57" spans="1:171">
      <c r="K57" s="40"/>
      <c r="L57" s="40"/>
      <c r="M57" s="40"/>
    </row>
    <row r="58" spans="1:171">
      <c r="C58" s="23" t="s">
        <v>45</v>
      </c>
      <c r="K58" s="40"/>
      <c r="L58" s="40"/>
      <c r="M58" s="40"/>
    </row>
    <row r="59" spans="1:171">
      <c r="A59" s="27" t="s">
        <v>121</v>
      </c>
      <c r="B59" t="s">
        <v>47</v>
      </c>
      <c r="C59" t="s">
        <v>46</v>
      </c>
      <c r="D59" s="13">
        <v>9.99</v>
      </c>
      <c r="E59" s="13">
        <v>8.8000000000000007</v>
      </c>
      <c r="F59" s="13">
        <f t="shared" ref="F59:F66" si="4">D59-E59</f>
        <v>1.1899999999999995</v>
      </c>
      <c r="G59" t="s">
        <v>516</v>
      </c>
      <c r="H59" t="s">
        <v>11</v>
      </c>
      <c r="I59" t="s">
        <v>12</v>
      </c>
      <c r="J59" t="s">
        <v>13</v>
      </c>
      <c r="K59" s="40">
        <v>0.38</v>
      </c>
      <c r="L59" s="40"/>
      <c r="M59" s="40"/>
    </row>
    <row r="60" spans="1:171">
      <c r="B60" t="s">
        <v>49</v>
      </c>
      <c r="C60" t="s">
        <v>48</v>
      </c>
      <c r="D60" s="13">
        <v>4995</v>
      </c>
      <c r="E60" s="13">
        <v>4395.6000000000004</v>
      </c>
      <c r="F60" s="13">
        <f t="shared" si="4"/>
        <v>599.39999999999964</v>
      </c>
      <c r="G60" t="s">
        <v>516</v>
      </c>
      <c r="H60" t="s">
        <v>11</v>
      </c>
      <c r="I60" t="s">
        <v>12</v>
      </c>
      <c r="J60" t="s">
        <v>13</v>
      </c>
      <c r="K60" s="40">
        <v>189.81</v>
      </c>
      <c r="L60" s="40"/>
      <c r="M60" s="40"/>
    </row>
    <row r="61" spans="1:171">
      <c r="B61" t="s">
        <v>51</v>
      </c>
      <c r="C61" t="s">
        <v>50</v>
      </c>
      <c r="D61" s="13">
        <v>9995</v>
      </c>
      <c r="E61" s="13">
        <v>8795.6</v>
      </c>
      <c r="F61" s="13">
        <f t="shared" si="4"/>
        <v>1199.3999999999996</v>
      </c>
      <c r="G61" t="s">
        <v>516</v>
      </c>
      <c r="H61" t="s">
        <v>11</v>
      </c>
      <c r="I61" t="s">
        <v>12</v>
      </c>
      <c r="J61" t="s">
        <v>13</v>
      </c>
      <c r="K61" s="40">
        <v>379.81</v>
      </c>
      <c r="L61" s="40"/>
      <c r="M61" s="40"/>
    </row>
    <row r="62" spans="1:171">
      <c r="B62" t="s">
        <v>53</v>
      </c>
      <c r="C62" t="s">
        <v>52</v>
      </c>
      <c r="D62" s="13">
        <v>19995</v>
      </c>
      <c r="E62" s="13">
        <v>17595.599999999999</v>
      </c>
      <c r="F62" s="13">
        <f t="shared" si="4"/>
        <v>2399.4000000000015</v>
      </c>
      <c r="G62" t="s">
        <v>516</v>
      </c>
      <c r="H62" t="s">
        <v>11</v>
      </c>
      <c r="I62" t="s">
        <v>12</v>
      </c>
      <c r="J62" t="s">
        <v>13</v>
      </c>
      <c r="K62" s="40">
        <v>759.81</v>
      </c>
      <c r="L62" s="40"/>
      <c r="M62" s="40"/>
    </row>
    <row r="63" spans="1:171">
      <c r="B63" t="s">
        <v>55</v>
      </c>
      <c r="C63" t="s">
        <v>54</v>
      </c>
      <c r="D63" s="13">
        <v>39995</v>
      </c>
      <c r="E63" s="13">
        <v>35195.599999999999</v>
      </c>
      <c r="F63" s="13">
        <f t="shared" si="4"/>
        <v>4799.4000000000015</v>
      </c>
      <c r="G63" t="s">
        <v>516</v>
      </c>
      <c r="H63" t="s">
        <v>11</v>
      </c>
      <c r="I63" t="s">
        <v>12</v>
      </c>
      <c r="J63" t="s">
        <v>13</v>
      </c>
      <c r="K63" s="40">
        <v>1519.81</v>
      </c>
      <c r="L63" s="40"/>
      <c r="M63" s="40"/>
    </row>
    <row r="64" spans="1:171">
      <c r="B64" t="s">
        <v>57</v>
      </c>
      <c r="C64" t="s">
        <v>56</v>
      </c>
      <c r="D64" s="13">
        <v>79995</v>
      </c>
      <c r="E64" s="13">
        <v>70395.600000000006</v>
      </c>
      <c r="F64" s="13">
        <f t="shared" si="4"/>
        <v>9599.3999999999942</v>
      </c>
      <c r="G64" t="s">
        <v>516</v>
      </c>
      <c r="H64" t="s">
        <v>11</v>
      </c>
      <c r="I64" t="s">
        <v>12</v>
      </c>
      <c r="J64" t="s">
        <v>13</v>
      </c>
      <c r="K64" s="40">
        <v>3038.39</v>
      </c>
      <c r="L64" s="40"/>
      <c r="M64" s="40"/>
    </row>
    <row r="65" spans="1:13">
      <c r="B65" t="s">
        <v>1524</v>
      </c>
      <c r="C65" t="s">
        <v>1523</v>
      </c>
      <c r="D65" s="13">
        <v>20</v>
      </c>
      <c r="E65" s="13">
        <v>17.600000000000001</v>
      </c>
      <c r="F65" s="13">
        <f t="shared" si="4"/>
        <v>2.3999999999999986</v>
      </c>
      <c r="G65" t="s">
        <v>516</v>
      </c>
      <c r="H65" t="s">
        <v>11</v>
      </c>
      <c r="I65" t="s">
        <v>12</v>
      </c>
      <c r="J65" t="s">
        <v>13</v>
      </c>
      <c r="K65" s="40">
        <v>0.76</v>
      </c>
      <c r="L65" s="40"/>
      <c r="M65" s="40"/>
    </row>
    <row r="66" spans="1:13">
      <c r="B66" t="s">
        <v>1526</v>
      </c>
      <c r="C66" t="s">
        <v>1525</v>
      </c>
      <c r="D66" s="13">
        <v>10</v>
      </c>
      <c r="E66" s="13">
        <v>8.8000000000000007</v>
      </c>
      <c r="F66" s="13">
        <f t="shared" si="4"/>
        <v>1.1999999999999993</v>
      </c>
      <c r="G66" t="s">
        <v>516</v>
      </c>
      <c r="H66" t="s">
        <v>11</v>
      </c>
      <c r="I66" t="s">
        <v>19</v>
      </c>
      <c r="J66" t="s">
        <v>13</v>
      </c>
      <c r="K66" s="40">
        <v>0.38</v>
      </c>
      <c r="L66" s="40"/>
      <c r="M66" s="40"/>
    </row>
    <row r="67" spans="1:13">
      <c r="K67" s="40"/>
      <c r="L67" s="40"/>
      <c r="M67" s="40"/>
    </row>
    <row r="68" spans="1:13">
      <c r="C68" s="23" t="s">
        <v>58</v>
      </c>
      <c r="K68" s="40"/>
      <c r="L68" s="40"/>
      <c r="M68" s="40"/>
    </row>
    <row r="69" spans="1:13">
      <c r="A69" s="27" t="s">
        <v>1197</v>
      </c>
      <c r="B69" t="s">
        <v>60</v>
      </c>
      <c r="C69" t="s">
        <v>59</v>
      </c>
      <c r="D69" s="13">
        <v>7</v>
      </c>
      <c r="E69" s="13">
        <v>6.1599999999999993</v>
      </c>
      <c r="F69" s="13">
        <f>D69-E69</f>
        <v>0.84000000000000075</v>
      </c>
      <c r="G69" t="s">
        <v>516</v>
      </c>
      <c r="H69" t="s">
        <v>11</v>
      </c>
      <c r="I69" t="s">
        <v>12</v>
      </c>
      <c r="J69" t="s">
        <v>13</v>
      </c>
      <c r="K69" s="40">
        <v>0.38</v>
      </c>
      <c r="L69" s="40"/>
      <c r="M69" s="40"/>
    </row>
    <row r="70" spans="1:13">
      <c r="A70" s="4" t="s">
        <v>1198</v>
      </c>
      <c r="B70" t="s">
        <v>61</v>
      </c>
      <c r="C70" t="s">
        <v>848</v>
      </c>
      <c r="D70" s="13">
        <v>55</v>
      </c>
      <c r="E70" s="13">
        <v>48.4</v>
      </c>
      <c r="F70" s="13">
        <f>D70-E70</f>
        <v>6.6000000000000014</v>
      </c>
      <c r="G70" t="s">
        <v>516</v>
      </c>
      <c r="H70" t="s">
        <v>11</v>
      </c>
      <c r="I70" t="s">
        <v>12</v>
      </c>
      <c r="J70" t="s">
        <v>13</v>
      </c>
      <c r="K70" s="40">
        <v>2.09</v>
      </c>
      <c r="L70" s="40"/>
      <c r="M70" s="40"/>
    </row>
    <row r="71" spans="1:13">
      <c r="A71" s="4" t="s">
        <v>1199</v>
      </c>
      <c r="B71" t="s">
        <v>62</v>
      </c>
      <c r="C71" t="s">
        <v>849</v>
      </c>
      <c r="D71" s="13">
        <v>30</v>
      </c>
      <c r="E71" s="13">
        <v>26.4</v>
      </c>
      <c r="F71" s="13">
        <f>D71-E71</f>
        <v>3.6000000000000014</v>
      </c>
      <c r="G71" t="s">
        <v>516</v>
      </c>
      <c r="H71" t="s">
        <v>11</v>
      </c>
      <c r="I71" t="s">
        <v>12</v>
      </c>
      <c r="J71" t="s">
        <v>13</v>
      </c>
      <c r="K71" s="40">
        <v>1.1399999999999999</v>
      </c>
      <c r="L71" s="40"/>
      <c r="M71" s="40"/>
    </row>
    <row r="72" spans="1:13">
      <c r="A72" s="4"/>
      <c r="B72" t="s">
        <v>1280</v>
      </c>
      <c r="C72" t="s">
        <v>1279</v>
      </c>
      <c r="D72" s="13">
        <v>0</v>
      </c>
      <c r="E72" s="13">
        <v>0</v>
      </c>
      <c r="F72" s="13">
        <v>0</v>
      </c>
      <c r="G72" t="s">
        <v>516</v>
      </c>
      <c r="H72" t="s">
        <v>11</v>
      </c>
      <c r="I72" t="s">
        <v>27</v>
      </c>
      <c r="J72" t="s">
        <v>13</v>
      </c>
      <c r="K72" s="40"/>
      <c r="L72" s="40"/>
      <c r="M72" s="40"/>
    </row>
    <row r="73" spans="1:13">
      <c r="A73" s="4" t="s">
        <v>1200</v>
      </c>
      <c r="B73" t="s">
        <v>967</v>
      </c>
      <c r="C73" t="s">
        <v>966</v>
      </c>
      <c r="D73" s="13">
        <v>10</v>
      </c>
      <c r="E73" s="13">
        <v>8.8000000000000007</v>
      </c>
      <c r="F73" s="13">
        <f>D73-E73</f>
        <v>1.1999999999999993</v>
      </c>
      <c r="G73" t="s">
        <v>516</v>
      </c>
      <c r="H73" t="s">
        <v>11</v>
      </c>
      <c r="I73" t="s">
        <v>12</v>
      </c>
      <c r="J73" t="s">
        <v>13</v>
      </c>
      <c r="K73" s="40">
        <v>0.38</v>
      </c>
      <c r="L73" s="40"/>
      <c r="M73" s="40"/>
    </row>
    <row r="74" spans="1:13">
      <c r="B74" t="s">
        <v>969</v>
      </c>
      <c r="C74" t="s">
        <v>968</v>
      </c>
      <c r="D74" s="13">
        <v>0</v>
      </c>
      <c r="E74" s="13">
        <v>0</v>
      </c>
      <c r="F74" s="13">
        <v>0</v>
      </c>
      <c r="G74" t="s">
        <v>516</v>
      </c>
      <c r="H74" t="s">
        <v>11</v>
      </c>
      <c r="I74" t="s">
        <v>27</v>
      </c>
      <c r="J74" t="s">
        <v>13</v>
      </c>
      <c r="K74" s="40"/>
      <c r="L74" s="40"/>
      <c r="M74" s="40"/>
    </row>
    <row r="75" spans="1:13">
      <c r="B75" s="36"/>
      <c r="C75" s="36"/>
      <c r="G75" s="36"/>
      <c r="H75" s="36"/>
      <c r="I75" s="36"/>
      <c r="J75" s="36"/>
      <c r="K75" s="40"/>
      <c r="L75" s="40"/>
      <c r="M75" s="40"/>
    </row>
    <row r="76" spans="1:13">
      <c r="C76" s="23" t="s">
        <v>63</v>
      </c>
      <c r="K76" s="40"/>
      <c r="L76" s="40"/>
      <c r="M76" s="40"/>
    </row>
    <row r="77" spans="1:13">
      <c r="A77" s="27" t="s">
        <v>1201</v>
      </c>
      <c r="B77" t="s">
        <v>65</v>
      </c>
      <c r="C77" t="s">
        <v>64</v>
      </c>
      <c r="D77" s="13">
        <v>5</v>
      </c>
      <c r="E77" s="13">
        <v>4.4000000000000004</v>
      </c>
      <c r="F77" s="13">
        <f>D77-E77</f>
        <v>0.59999999999999964</v>
      </c>
      <c r="G77" t="s">
        <v>516</v>
      </c>
      <c r="H77" t="s">
        <v>11</v>
      </c>
      <c r="I77" t="s">
        <v>12</v>
      </c>
      <c r="J77" t="s">
        <v>13</v>
      </c>
      <c r="K77" s="40">
        <v>0.16</v>
      </c>
      <c r="L77" s="40"/>
      <c r="M77" s="40"/>
    </row>
    <row r="78" spans="1:13">
      <c r="A78" s="27" t="s">
        <v>1201</v>
      </c>
      <c r="B78" t="s">
        <v>67</v>
      </c>
      <c r="C78" t="s">
        <v>66</v>
      </c>
      <c r="D78" s="13">
        <v>10</v>
      </c>
      <c r="E78" s="13">
        <v>8.8000000000000007</v>
      </c>
      <c r="F78" s="13">
        <f>D78-E78</f>
        <v>1.1999999999999993</v>
      </c>
      <c r="G78" t="s">
        <v>516</v>
      </c>
      <c r="H78" t="s">
        <v>11</v>
      </c>
      <c r="I78" t="s">
        <v>12</v>
      </c>
      <c r="J78" t="s">
        <v>13</v>
      </c>
      <c r="K78" s="40">
        <v>0.32</v>
      </c>
      <c r="L78" s="40"/>
      <c r="M78" s="40"/>
    </row>
    <row r="79" spans="1:13">
      <c r="A79" s="27"/>
      <c r="B79" s="50" t="s">
        <v>1292</v>
      </c>
      <c r="C79" s="50" t="s">
        <v>1291</v>
      </c>
      <c r="D79" s="13">
        <v>5</v>
      </c>
      <c r="E79" s="13">
        <v>4.4000000000000004</v>
      </c>
      <c r="F79" s="13">
        <f>D79-E79</f>
        <v>0.59999999999999964</v>
      </c>
      <c r="G79" t="s">
        <v>516</v>
      </c>
      <c r="H79" t="s">
        <v>11</v>
      </c>
      <c r="I79" t="s">
        <v>19</v>
      </c>
      <c r="J79" t="s">
        <v>13</v>
      </c>
      <c r="K79" s="40">
        <v>0.16</v>
      </c>
      <c r="L79" s="40"/>
      <c r="M79" s="40"/>
    </row>
    <row r="80" spans="1:13">
      <c r="K80" s="40"/>
      <c r="L80" s="40"/>
      <c r="M80" s="40"/>
    </row>
    <row r="81" spans="1:171">
      <c r="C81" s="23" t="s">
        <v>68</v>
      </c>
      <c r="K81" s="40"/>
      <c r="L81" s="40"/>
      <c r="M81" s="40"/>
    </row>
    <row r="82" spans="1:171">
      <c r="A82" s="27" t="s">
        <v>125</v>
      </c>
      <c r="B82" t="s">
        <v>70</v>
      </c>
      <c r="C82" t="s">
        <v>69</v>
      </c>
      <c r="D82" s="13">
        <v>2</v>
      </c>
      <c r="E82" s="13">
        <v>1.7600000000000002</v>
      </c>
      <c r="F82" s="13">
        <f>D82-E82</f>
        <v>0.23999999999999977</v>
      </c>
      <c r="G82" t="s">
        <v>516</v>
      </c>
      <c r="H82" t="s">
        <v>11</v>
      </c>
      <c r="I82" t="s">
        <v>19</v>
      </c>
      <c r="J82" t="s">
        <v>13</v>
      </c>
      <c r="K82" s="40">
        <v>0.06</v>
      </c>
      <c r="L82" s="40"/>
      <c r="M82" s="40"/>
    </row>
    <row r="83" spans="1:171">
      <c r="A83" s="27" t="s">
        <v>1202</v>
      </c>
      <c r="B83" t="s">
        <v>44</v>
      </c>
      <c r="C83" t="s">
        <v>883</v>
      </c>
      <c r="D83" s="13">
        <v>8</v>
      </c>
      <c r="E83" s="13">
        <v>7.0400000000000009</v>
      </c>
      <c r="F83" s="13">
        <f>D83-E83</f>
        <v>0.95999999999999908</v>
      </c>
      <c r="G83" t="s">
        <v>516</v>
      </c>
      <c r="H83" t="s">
        <v>11</v>
      </c>
      <c r="I83" t="s">
        <v>19</v>
      </c>
      <c r="J83" t="s">
        <v>13</v>
      </c>
      <c r="K83" s="40">
        <v>0.26</v>
      </c>
      <c r="L83" s="40"/>
      <c r="M83" s="40"/>
    </row>
    <row r="84" spans="1:171">
      <c r="A84" s="4" t="s">
        <v>1203</v>
      </c>
      <c r="B84" t="s">
        <v>607</v>
      </c>
      <c r="C84" t="s">
        <v>884</v>
      </c>
      <c r="D84" s="13">
        <v>0</v>
      </c>
      <c r="E84" s="13">
        <v>0</v>
      </c>
      <c r="F84" s="13">
        <v>0</v>
      </c>
      <c r="G84" s="21" t="s">
        <v>516</v>
      </c>
      <c r="H84" s="21" t="s">
        <v>11</v>
      </c>
      <c r="I84" s="21" t="s">
        <v>19</v>
      </c>
      <c r="J84" s="21" t="s">
        <v>13</v>
      </c>
      <c r="K84" s="40"/>
      <c r="L84" s="40"/>
      <c r="M84" s="40"/>
    </row>
    <row r="85" spans="1:171">
      <c r="A85" s="4" t="s">
        <v>1204</v>
      </c>
      <c r="B85" t="s">
        <v>784</v>
      </c>
      <c r="C85" t="s">
        <v>885</v>
      </c>
      <c r="D85" s="13">
        <v>0</v>
      </c>
      <c r="E85" s="13">
        <v>0</v>
      </c>
      <c r="F85" s="13">
        <v>0</v>
      </c>
      <c r="G85" s="21" t="s">
        <v>516</v>
      </c>
      <c r="H85" s="21" t="s">
        <v>11</v>
      </c>
      <c r="I85" s="21" t="s">
        <v>27</v>
      </c>
      <c r="J85" s="21" t="s">
        <v>13</v>
      </c>
      <c r="K85" s="40"/>
      <c r="L85" s="40"/>
      <c r="M85" s="40"/>
    </row>
    <row r="86" spans="1:171" s="29" customFormat="1">
      <c r="A86" s="27" t="s">
        <v>1205</v>
      </c>
      <c r="B86" t="s">
        <v>206</v>
      </c>
      <c r="C86" t="s">
        <v>205</v>
      </c>
      <c r="D86" s="13">
        <v>8</v>
      </c>
      <c r="E86" s="13">
        <v>7.04</v>
      </c>
      <c r="F86" s="13">
        <f>D86-E86</f>
        <v>0.96</v>
      </c>
      <c r="G86" t="s">
        <v>516</v>
      </c>
      <c r="H86" t="s">
        <v>11</v>
      </c>
      <c r="I86" s="21" t="s">
        <v>12</v>
      </c>
      <c r="J86" t="s">
        <v>13</v>
      </c>
      <c r="K86" s="40">
        <v>0.26</v>
      </c>
      <c r="L86" s="40"/>
      <c r="M86" s="40"/>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row>
    <row r="87" spans="1:171">
      <c r="A87" s="4" t="s">
        <v>1206</v>
      </c>
      <c r="B87" t="s">
        <v>207</v>
      </c>
      <c r="C87" t="s">
        <v>861</v>
      </c>
      <c r="D87" s="13">
        <v>24</v>
      </c>
      <c r="E87" s="13">
        <v>24</v>
      </c>
      <c r="F87" s="13">
        <f>D87-E87</f>
        <v>0</v>
      </c>
      <c r="G87" t="s">
        <v>516</v>
      </c>
      <c r="H87" t="s">
        <v>11</v>
      </c>
      <c r="I87" s="21" t="s">
        <v>19</v>
      </c>
      <c r="J87" t="s">
        <v>13</v>
      </c>
      <c r="K87" s="40">
        <v>0.96</v>
      </c>
      <c r="L87" s="40"/>
      <c r="M87" s="40"/>
    </row>
    <row r="88" spans="1:171">
      <c r="A88" s="27" t="s">
        <v>465</v>
      </c>
      <c r="B88" t="s">
        <v>208</v>
      </c>
      <c r="C88" t="s">
        <v>862</v>
      </c>
      <c r="D88" s="13">
        <v>12</v>
      </c>
      <c r="E88" s="13">
        <v>12</v>
      </c>
      <c r="F88" s="13">
        <f>D88-E88</f>
        <v>0</v>
      </c>
      <c r="G88" t="s">
        <v>516</v>
      </c>
      <c r="H88" t="s">
        <v>11</v>
      </c>
      <c r="I88" s="21" t="s">
        <v>19</v>
      </c>
      <c r="J88" t="s">
        <v>13</v>
      </c>
      <c r="K88" s="40">
        <v>0.48</v>
      </c>
      <c r="L88" s="40"/>
      <c r="M88" s="40"/>
    </row>
    <row r="89" spans="1:171">
      <c r="A89" s="27"/>
      <c r="B89" t="s">
        <v>209</v>
      </c>
      <c r="C89" t="s">
        <v>863</v>
      </c>
      <c r="D89" s="13">
        <v>6</v>
      </c>
      <c r="E89" s="13">
        <v>6</v>
      </c>
      <c r="F89" s="13">
        <f>D89-E89</f>
        <v>0</v>
      </c>
      <c r="G89" t="s">
        <v>516</v>
      </c>
      <c r="H89" t="s">
        <v>11</v>
      </c>
      <c r="I89" t="s">
        <v>19</v>
      </c>
      <c r="J89" t="s">
        <v>13</v>
      </c>
      <c r="K89" s="40">
        <v>0.24</v>
      </c>
      <c r="L89" s="40"/>
      <c r="M89" s="40"/>
    </row>
    <row r="90" spans="1:171" s="29" customFormat="1">
      <c r="A90" s="4" t="s">
        <v>1207</v>
      </c>
      <c r="B90" t="s">
        <v>210</v>
      </c>
      <c r="C90" t="s">
        <v>856</v>
      </c>
      <c r="D90" s="13">
        <v>2.5</v>
      </c>
      <c r="E90" s="13">
        <v>2.5</v>
      </c>
      <c r="F90" s="13">
        <f>D90-E90</f>
        <v>0</v>
      </c>
      <c r="G90" t="s">
        <v>516</v>
      </c>
      <c r="H90" t="s">
        <v>11</v>
      </c>
      <c r="I90" t="s">
        <v>19</v>
      </c>
      <c r="J90" t="s">
        <v>13</v>
      </c>
      <c r="K90" s="40">
        <v>0.16</v>
      </c>
      <c r="L90" s="40"/>
      <c r="M90" s="4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row>
    <row r="91" spans="1:171" s="29" customFormat="1">
      <c r="A91" s="4"/>
      <c r="B91"/>
      <c r="C91"/>
      <c r="D91" s="13"/>
      <c r="E91" s="13"/>
      <c r="F91" s="13"/>
      <c r="G91"/>
      <c r="H91"/>
      <c r="I91"/>
      <c r="J91"/>
      <c r="K91" s="40"/>
      <c r="L91" s="40"/>
      <c r="M91" s="40"/>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row>
    <row r="92" spans="1:171">
      <c r="A92" s="27"/>
      <c r="B92" s="50" t="s">
        <v>618</v>
      </c>
      <c r="C92" s="50" t="s">
        <v>617</v>
      </c>
      <c r="D92" s="13" t="s">
        <v>541</v>
      </c>
      <c r="E92" s="13" t="s">
        <v>541</v>
      </c>
      <c r="F92" s="13" t="s">
        <v>541</v>
      </c>
      <c r="G92" t="s">
        <v>516</v>
      </c>
      <c r="H92" t="s">
        <v>11</v>
      </c>
      <c r="I92" t="s">
        <v>27</v>
      </c>
      <c r="J92" t="s">
        <v>13</v>
      </c>
      <c r="K92" s="40"/>
      <c r="L92" s="40"/>
      <c r="M92" s="40"/>
    </row>
    <row r="93" spans="1:171">
      <c r="A93" s="27"/>
      <c r="B93" s="50" t="s">
        <v>2076</v>
      </c>
      <c r="C93" s="50" t="s">
        <v>2075</v>
      </c>
      <c r="D93" s="13">
        <v>0</v>
      </c>
      <c r="E93" s="13">
        <v>0</v>
      </c>
      <c r="F93" s="13">
        <v>0</v>
      </c>
      <c r="G93" s="50" t="s">
        <v>516</v>
      </c>
      <c r="H93" s="50" t="s">
        <v>11</v>
      </c>
      <c r="I93" s="50" t="s">
        <v>19</v>
      </c>
      <c r="J93" s="50" t="s">
        <v>13</v>
      </c>
      <c r="K93" s="40">
        <v>0</v>
      </c>
      <c r="L93" s="40"/>
      <c r="M93" s="40"/>
    </row>
    <row r="94" spans="1:171">
      <c r="A94" s="27"/>
      <c r="B94" s="50"/>
      <c r="C94" s="50"/>
      <c r="K94" s="40"/>
      <c r="L94" s="40"/>
      <c r="M94" s="40"/>
    </row>
    <row r="95" spans="1:171">
      <c r="A95" s="27"/>
      <c r="B95" s="51" t="s">
        <v>1331</v>
      </c>
      <c r="C95" s="51" t="s">
        <v>1330</v>
      </c>
      <c r="D95" s="13">
        <v>50</v>
      </c>
      <c r="E95" s="13">
        <v>44</v>
      </c>
      <c r="F95" s="13">
        <f>D95-E95</f>
        <v>6</v>
      </c>
      <c r="G95" s="51" t="s">
        <v>516</v>
      </c>
      <c r="H95" s="51" t="s">
        <v>11</v>
      </c>
      <c r="I95" s="51" t="s">
        <v>12</v>
      </c>
      <c r="J95" s="51" t="s">
        <v>13</v>
      </c>
      <c r="K95" s="40">
        <v>2</v>
      </c>
      <c r="L95" s="40"/>
      <c r="M95" s="40"/>
    </row>
    <row r="96" spans="1:171">
      <c r="A96" s="27"/>
      <c r="B96" s="51" t="s">
        <v>1333</v>
      </c>
      <c r="C96" s="51" t="s">
        <v>1332</v>
      </c>
      <c r="D96" s="13">
        <v>50</v>
      </c>
      <c r="E96" s="13">
        <v>44</v>
      </c>
      <c r="F96" s="13">
        <v>6</v>
      </c>
      <c r="G96" s="51" t="s">
        <v>516</v>
      </c>
      <c r="H96" s="51" t="s">
        <v>11</v>
      </c>
      <c r="I96" s="51" t="s">
        <v>12</v>
      </c>
      <c r="J96" s="51" t="s">
        <v>13</v>
      </c>
      <c r="K96" s="40">
        <v>2</v>
      </c>
      <c r="L96" s="40"/>
      <c r="M96" s="40"/>
    </row>
    <row r="97" spans="1:13">
      <c r="A97" s="27"/>
      <c r="B97" s="51" t="s">
        <v>2014</v>
      </c>
      <c r="C97" s="51" t="s">
        <v>2012</v>
      </c>
      <c r="D97" s="13">
        <v>4</v>
      </c>
      <c r="E97" s="13">
        <v>3.52</v>
      </c>
      <c r="F97" s="13">
        <f t="shared" ref="F97" si="5">D97-E97</f>
        <v>0.48</v>
      </c>
      <c r="G97" s="51" t="s">
        <v>516</v>
      </c>
      <c r="H97" s="51" t="s">
        <v>11</v>
      </c>
      <c r="I97" t="s">
        <v>12</v>
      </c>
      <c r="J97" t="s">
        <v>13</v>
      </c>
      <c r="K97" s="40"/>
      <c r="L97" s="40"/>
      <c r="M97" s="40"/>
    </row>
    <row r="98" spans="1:13">
      <c r="A98" s="27"/>
      <c r="B98" s="51" t="s">
        <v>2015</v>
      </c>
      <c r="C98" s="51" t="s">
        <v>2013</v>
      </c>
      <c r="D98" s="13">
        <v>0</v>
      </c>
      <c r="E98" s="13">
        <v>0</v>
      </c>
      <c r="F98" s="13">
        <v>0</v>
      </c>
      <c r="G98" t="s">
        <v>516</v>
      </c>
      <c r="H98" t="s">
        <v>11</v>
      </c>
      <c r="I98" t="s">
        <v>27</v>
      </c>
      <c r="J98" t="s">
        <v>13</v>
      </c>
      <c r="K98" s="40"/>
      <c r="L98" s="40"/>
      <c r="M98" s="40"/>
    </row>
    <row r="99" spans="1:13">
      <c r="A99" s="27"/>
      <c r="B99" s="51" t="s">
        <v>2017</v>
      </c>
      <c r="C99" s="51" t="s">
        <v>2016</v>
      </c>
      <c r="D99" s="13">
        <v>0</v>
      </c>
      <c r="E99" s="13">
        <v>0</v>
      </c>
      <c r="G99" t="s">
        <v>516</v>
      </c>
      <c r="H99" t="s">
        <v>11</v>
      </c>
      <c r="I99" t="s">
        <v>19</v>
      </c>
      <c r="J99" t="s">
        <v>13</v>
      </c>
      <c r="K99" s="40"/>
      <c r="L99" s="40"/>
      <c r="M99" s="40"/>
    </row>
    <row r="100" spans="1:13">
      <c r="A100" s="27"/>
      <c r="B100" s="51"/>
      <c r="C100" s="51"/>
      <c r="K100" s="40"/>
      <c r="L100" s="40"/>
      <c r="M100" s="40"/>
    </row>
    <row r="101" spans="1:13">
      <c r="A101" s="4" t="s">
        <v>1206</v>
      </c>
      <c r="B101" t="s">
        <v>1138</v>
      </c>
      <c r="C101" t="s">
        <v>1137</v>
      </c>
      <c r="D101" s="13">
        <v>24</v>
      </c>
      <c r="E101" s="13">
        <v>12</v>
      </c>
      <c r="F101" s="13">
        <f>D101-E101</f>
        <v>12</v>
      </c>
      <c r="G101" t="s">
        <v>516</v>
      </c>
      <c r="H101" t="s">
        <v>11</v>
      </c>
      <c r="I101" t="s">
        <v>19</v>
      </c>
      <c r="J101" t="s">
        <v>13</v>
      </c>
      <c r="K101" s="40">
        <v>0.48</v>
      </c>
      <c r="L101" s="40"/>
      <c r="M101" s="40"/>
    </row>
    <row r="102" spans="1:13">
      <c r="A102" s="27"/>
      <c r="C102"/>
      <c r="K102" s="40"/>
      <c r="L102" s="40"/>
      <c r="M102" s="40"/>
    </row>
    <row r="103" spans="1:13">
      <c r="A103" s="27"/>
      <c r="B103" s="21" t="s">
        <v>521</v>
      </c>
      <c r="C103" t="s">
        <v>520</v>
      </c>
      <c r="D103" s="13">
        <v>15</v>
      </c>
      <c r="E103" s="13">
        <v>15</v>
      </c>
      <c r="F103" s="13">
        <f>D103-E103</f>
        <v>0</v>
      </c>
      <c r="G103" s="21" t="s">
        <v>516</v>
      </c>
      <c r="H103" s="21" t="s">
        <v>11</v>
      </c>
      <c r="I103" s="21" t="s">
        <v>12</v>
      </c>
      <c r="J103" s="21" t="s">
        <v>13</v>
      </c>
      <c r="K103" s="40">
        <v>0.6</v>
      </c>
      <c r="L103" s="40"/>
      <c r="M103" s="40"/>
    </row>
    <row r="104" spans="1:13">
      <c r="A104" s="27"/>
      <c r="B104" t="s">
        <v>523</v>
      </c>
      <c r="C104" t="s">
        <v>522</v>
      </c>
      <c r="D104" s="13">
        <v>15</v>
      </c>
      <c r="E104" s="13">
        <v>13.2</v>
      </c>
      <c r="F104" s="13">
        <f>D104-E104</f>
        <v>1.8000000000000007</v>
      </c>
      <c r="G104" t="s">
        <v>516</v>
      </c>
      <c r="H104" t="s">
        <v>11</v>
      </c>
      <c r="I104" t="s">
        <v>12</v>
      </c>
      <c r="J104" t="s">
        <v>13</v>
      </c>
      <c r="K104" s="40">
        <v>0.48</v>
      </c>
      <c r="L104" s="40"/>
      <c r="M104" s="40"/>
    </row>
    <row r="105" spans="1:13">
      <c r="A105" s="27"/>
      <c r="C105"/>
      <c r="K105" s="40"/>
      <c r="L105" s="40"/>
      <c r="M105" s="40"/>
    </row>
    <row r="106" spans="1:13">
      <c r="A106" s="27"/>
      <c r="B106" t="s">
        <v>1134</v>
      </c>
      <c r="C106" t="s">
        <v>1133</v>
      </c>
      <c r="D106" s="13">
        <v>12</v>
      </c>
      <c r="E106" s="13">
        <v>10.56</v>
      </c>
      <c r="F106" s="13">
        <f>D10258</f>
        <v>0</v>
      </c>
      <c r="G106" t="s">
        <v>516</v>
      </c>
      <c r="H106" t="s">
        <v>11</v>
      </c>
      <c r="I106" t="s">
        <v>19</v>
      </c>
      <c r="J106" t="s">
        <v>13</v>
      </c>
      <c r="K106" s="40">
        <v>0.38</v>
      </c>
      <c r="L106" s="40"/>
      <c r="M106" s="40"/>
    </row>
    <row r="107" spans="1:13">
      <c r="A107" s="27"/>
      <c r="B107" s="51" t="s">
        <v>1327</v>
      </c>
      <c r="C107" s="51" t="s">
        <v>1326</v>
      </c>
      <c r="D107" s="13">
        <v>5</v>
      </c>
      <c r="E107" s="13">
        <v>4.4000000000000004</v>
      </c>
      <c r="F107" s="13">
        <f>D107-E107</f>
        <v>0.59999999999999964</v>
      </c>
      <c r="G107" s="51" t="s">
        <v>516</v>
      </c>
      <c r="H107" s="51" t="s">
        <v>11</v>
      </c>
      <c r="I107" s="51" t="s">
        <v>19</v>
      </c>
      <c r="J107" s="51" t="s">
        <v>13</v>
      </c>
      <c r="K107" s="40">
        <v>0.37</v>
      </c>
      <c r="L107" s="40"/>
      <c r="M107" s="40"/>
    </row>
    <row r="108" spans="1:13">
      <c r="A108" s="27"/>
      <c r="C108"/>
      <c r="K108" s="40"/>
      <c r="L108" s="40"/>
      <c r="M108" s="40"/>
    </row>
    <row r="109" spans="1:13">
      <c r="A109" s="27"/>
      <c r="B109" t="s">
        <v>1278</v>
      </c>
      <c r="C109" t="s">
        <v>1277</v>
      </c>
      <c r="D109" s="13">
        <v>4</v>
      </c>
      <c r="E109" s="13">
        <v>4</v>
      </c>
      <c r="F109" s="13">
        <f>D109-E109</f>
        <v>0</v>
      </c>
      <c r="G109" t="s">
        <v>516</v>
      </c>
      <c r="H109" t="s">
        <v>11</v>
      </c>
      <c r="I109" t="s">
        <v>19</v>
      </c>
      <c r="J109" t="s">
        <v>13</v>
      </c>
      <c r="K109" s="40">
        <v>0.16</v>
      </c>
      <c r="L109" s="40"/>
      <c r="M109" s="40"/>
    </row>
    <row r="110" spans="1:13">
      <c r="K110" s="40"/>
      <c r="L110" s="40"/>
      <c r="M110" s="40"/>
    </row>
    <row r="111" spans="1:13">
      <c r="C111" s="23" t="s">
        <v>71</v>
      </c>
      <c r="K111" s="40"/>
      <c r="L111" s="40"/>
      <c r="M111" s="40"/>
    </row>
    <row r="112" spans="1:13">
      <c r="A112" s="4" t="s">
        <v>1208</v>
      </c>
      <c r="B112" t="s">
        <v>72</v>
      </c>
      <c r="C112" s="21" t="s">
        <v>1429</v>
      </c>
      <c r="D112" s="13">
        <v>5</v>
      </c>
      <c r="E112" s="13">
        <v>4.4000000000000004</v>
      </c>
      <c r="F112" s="13">
        <f>D112-E112</f>
        <v>0.59999999999999964</v>
      </c>
      <c r="G112" t="s">
        <v>516</v>
      </c>
      <c r="H112" t="s">
        <v>11</v>
      </c>
      <c r="I112" t="s">
        <v>12</v>
      </c>
      <c r="J112" t="s">
        <v>13</v>
      </c>
      <c r="K112" s="40">
        <v>0.16</v>
      </c>
      <c r="L112" s="40"/>
      <c r="M112" s="40"/>
    </row>
    <row r="113" spans="1:13">
      <c r="A113" s="27"/>
      <c r="B113" s="21" t="s">
        <v>1140</v>
      </c>
      <c r="C113" s="21" t="s">
        <v>1139</v>
      </c>
      <c r="G113" s="21" t="s">
        <v>516</v>
      </c>
      <c r="H113" s="21" t="s">
        <v>11</v>
      </c>
      <c r="I113" s="21" t="s">
        <v>27</v>
      </c>
      <c r="J113" s="21" t="s">
        <v>13</v>
      </c>
      <c r="K113" s="40"/>
      <c r="L113" s="40"/>
      <c r="M113" s="40"/>
    </row>
    <row r="114" spans="1:13">
      <c r="A114" s="27"/>
      <c r="B114" s="21" t="s">
        <v>73</v>
      </c>
      <c r="C114" s="21" t="s">
        <v>1428</v>
      </c>
      <c r="D114" s="13">
        <v>15</v>
      </c>
      <c r="E114" s="13">
        <v>13.2</v>
      </c>
      <c r="F114" s="13">
        <f>D114-E114</f>
        <v>1.8000000000000007</v>
      </c>
      <c r="G114" s="21" t="s">
        <v>516</v>
      </c>
      <c r="H114" s="21" t="s">
        <v>11</v>
      </c>
      <c r="I114" s="21" t="s">
        <v>12</v>
      </c>
      <c r="J114" s="21" t="s">
        <v>13</v>
      </c>
      <c r="K114" s="40">
        <v>0.48</v>
      </c>
      <c r="L114" s="40"/>
      <c r="M114" s="40"/>
    </row>
    <row r="115" spans="1:13">
      <c r="A115" s="27"/>
      <c r="B115" s="21" t="s">
        <v>1142</v>
      </c>
      <c r="C115" s="21" t="s">
        <v>1141</v>
      </c>
      <c r="G115" s="21" t="s">
        <v>516</v>
      </c>
      <c r="H115" s="21" t="s">
        <v>11</v>
      </c>
      <c r="I115" s="21" t="s">
        <v>27</v>
      </c>
      <c r="J115" s="21" t="s">
        <v>13</v>
      </c>
      <c r="K115" s="40"/>
      <c r="L115" s="40"/>
      <c r="M115" s="40"/>
    </row>
    <row r="116" spans="1:13">
      <c r="K116" s="40"/>
      <c r="L116" s="40"/>
      <c r="M116" s="40"/>
    </row>
    <row r="117" spans="1:13">
      <c r="C117" s="23" t="s">
        <v>74</v>
      </c>
      <c r="K117" s="40"/>
      <c r="L117" s="40"/>
      <c r="M117" s="40"/>
    </row>
    <row r="118" spans="1:13">
      <c r="A118" s="4" t="s">
        <v>1209</v>
      </c>
      <c r="B118" t="s">
        <v>76</v>
      </c>
      <c r="C118" s="21" t="s">
        <v>75</v>
      </c>
      <c r="D118" s="13">
        <v>7</v>
      </c>
      <c r="E118" s="13">
        <v>6.16</v>
      </c>
      <c r="F118" s="13">
        <f>D118-E118</f>
        <v>0.83999999999999986</v>
      </c>
      <c r="G118" t="s">
        <v>516</v>
      </c>
      <c r="H118" t="s">
        <v>11</v>
      </c>
      <c r="I118" t="s">
        <v>12</v>
      </c>
      <c r="J118" t="s">
        <v>13</v>
      </c>
      <c r="K118" s="40">
        <v>0.22</v>
      </c>
      <c r="L118" s="40"/>
      <c r="M118" s="40"/>
    </row>
    <row r="119" spans="1:13">
      <c r="A119" s="27"/>
      <c r="B119" t="s">
        <v>495</v>
      </c>
      <c r="C119" s="21" t="s">
        <v>494</v>
      </c>
      <c r="D119" s="13">
        <v>0</v>
      </c>
      <c r="E119" s="13">
        <v>0</v>
      </c>
      <c r="F119" s="13">
        <v>0</v>
      </c>
      <c r="G119" t="s">
        <v>516</v>
      </c>
      <c r="H119" t="s">
        <v>11</v>
      </c>
      <c r="I119" t="s">
        <v>27</v>
      </c>
      <c r="J119" t="s">
        <v>13</v>
      </c>
      <c r="K119" s="40"/>
      <c r="L119" s="40"/>
      <c r="M119" s="40"/>
    </row>
    <row r="120" spans="1:13">
      <c r="A120" s="4" t="s">
        <v>1210</v>
      </c>
      <c r="B120" t="s">
        <v>78</v>
      </c>
      <c r="C120" s="21" t="s">
        <v>77</v>
      </c>
      <c r="D120" s="13">
        <v>13.2</v>
      </c>
      <c r="E120" s="13">
        <v>11.55</v>
      </c>
      <c r="F120" s="13">
        <f>D120-E120</f>
        <v>1.6499999999999986</v>
      </c>
      <c r="G120" t="s">
        <v>516</v>
      </c>
      <c r="H120" t="s">
        <v>11</v>
      </c>
      <c r="I120" t="s">
        <v>12</v>
      </c>
      <c r="J120" t="s">
        <v>13</v>
      </c>
      <c r="K120" s="40">
        <v>0.42</v>
      </c>
      <c r="L120" s="40"/>
      <c r="M120" s="40"/>
    </row>
    <row r="121" spans="1:13">
      <c r="B121" t="s">
        <v>80</v>
      </c>
      <c r="C121" s="21" t="s">
        <v>79</v>
      </c>
      <c r="D121" s="13">
        <v>11</v>
      </c>
      <c r="E121" s="13">
        <v>9.9</v>
      </c>
      <c r="F121" s="13">
        <f>D121-E121</f>
        <v>1.0999999999999996</v>
      </c>
      <c r="G121" t="s">
        <v>516</v>
      </c>
      <c r="H121" t="s">
        <v>11</v>
      </c>
      <c r="I121" t="s">
        <v>12</v>
      </c>
      <c r="J121" t="s">
        <v>13</v>
      </c>
      <c r="K121" s="40">
        <v>0.36</v>
      </c>
      <c r="L121" s="40"/>
      <c r="M121" s="40"/>
    </row>
    <row r="122" spans="1:13">
      <c r="K122" s="40"/>
      <c r="L122" s="40"/>
      <c r="M122" s="40"/>
    </row>
    <row r="123" spans="1:13">
      <c r="B123" t="s">
        <v>1787</v>
      </c>
      <c r="C123" s="21" t="s">
        <v>1751</v>
      </c>
      <c r="D123" s="13">
        <v>24</v>
      </c>
      <c r="E123" s="13">
        <v>22.439999999999998</v>
      </c>
      <c r="F123" s="13">
        <f>D123-E123</f>
        <v>1.5600000000000023</v>
      </c>
      <c r="G123" t="s">
        <v>516</v>
      </c>
      <c r="H123" t="s">
        <v>11</v>
      </c>
      <c r="I123" t="s">
        <v>12</v>
      </c>
      <c r="J123" t="s">
        <v>13</v>
      </c>
      <c r="K123" s="40">
        <v>0.97</v>
      </c>
      <c r="L123" s="40"/>
      <c r="M123" s="40"/>
    </row>
    <row r="124" spans="1:13">
      <c r="B124" t="s">
        <v>1788</v>
      </c>
      <c r="C124" s="21" t="s">
        <v>1752</v>
      </c>
      <c r="D124" s="13">
        <v>20</v>
      </c>
      <c r="E124" s="13">
        <v>18.7</v>
      </c>
      <c r="F124" s="13">
        <f t="shared" ref="F124:F158" si="6">D124-E124</f>
        <v>1.3000000000000007</v>
      </c>
      <c r="G124" t="s">
        <v>516</v>
      </c>
      <c r="H124" t="s">
        <v>11</v>
      </c>
      <c r="I124" t="s">
        <v>12</v>
      </c>
      <c r="J124" t="s">
        <v>13</v>
      </c>
      <c r="K124" s="40">
        <v>0.81</v>
      </c>
      <c r="L124" s="40"/>
      <c r="M124" s="40"/>
    </row>
    <row r="125" spans="1:13">
      <c r="B125" t="s">
        <v>1789</v>
      </c>
      <c r="C125" s="21" t="s">
        <v>1753</v>
      </c>
      <c r="D125" s="13">
        <v>35</v>
      </c>
      <c r="E125" s="13">
        <v>32.78</v>
      </c>
      <c r="F125" s="13">
        <f t="shared" si="6"/>
        <v>2.2199999999999989</v>
      </c>
      <c r="G125" t="s">
        <v>516</v>
      </c>
      <c r="H125" t="s">
        <v>11</v>
      </c>
      <c r="I125" t="s">
        <v>12</v>
      </c>
      <c r="J125" t="s">
        <v>13</v>
      </c>
      <c r="K125" s="40">
        <v>1.42</v>
      </c>
      <c r="L125" s="40"/>
      <c r="M125" s="40"/>
    </row>
    <row r="126" spans="1:13">
      <c r="B126" t="s">
        <v>1790</v>
      </c>
      <c r="C126" s="21" t="s">
        <v>1754</v>
      </c>
      <c r="D126" s="13">
        <v>31</v>
      </c>
      <c r="E126" s="13">
        <v>29.04</v>
      </c>
      <c r="F126" s="13">
        <f t="shared" si="6"/>
        <v>1.9600000000000009</v>
      </c>
      <c r="G126" t="s">
        <v>516</v>
      </c>
      <c r="H126" t="s">
        <v>11</v>
      </c>
      <c r="I126" t="s">
        <v>12</v>
      </c>
      <c r="J126" t="s">
        <v>13</v>
      </c>
      <c r="K126" s="40">
        <v>1.25</v>
      </c>
      <c r="L126" s="40"/>
      <c r="M126" s="40"/>
    </row>
    <row r="127" spans="1:13">
      <c r="B127" t="s">
        <v>1791</v>
      </c>
      <c r="C127" s="21" t="s">
        <v>1755</v>
      </c>
      <c r="D127" s="13">
        <v>44</v>
      </c>
      <c r="E127" s="13">
        <v>41.14</v>
      </c>
      <c r="F127" s="13">
        <f t="shared" si="6"/>
        <v>2.8599999999999994</v>
      </c>
      <c r="G127" t="s">
        <v>516</v>
      </c>
      <c r="H127" t="s">
        <v>11</v>
      </c>
      <c r="I127" t="s">
        <v>12</v>
      </c>
      <c r="J127" t="s">
        <v>13</v>
      </c>
      <c r="K127" s="40">
        <v>1.78</v>
      </c>
      <c r="L127" s="40"/>
      <c r="M127" s="40"/>
    </row>
    <row r="128" spans="1:13">
      <c r="B128" t="s">
        <v>1792</v>
      </c>
      <c r="C128" s="21" t="s">
        <v>1756</v>
      </c>
      <c r="D128" s="13">
        <v>40</v>
      </c>
      <c r="E128" s="13">
        <v>37.4</v>
      </c>
      <c r="F128" s="13">
        <f t="shared" si="6"/>
        <v>2.6000000000000014</v>
      </c>
      <c r="G128" t="s">
        <v>516</v>
      </c>
      <c r="H128" t="s">
        <v>11</v>
      </c>
      <c r="I128" t="s">
        <v>12</v>
      </c>
      <c r="J128" t="s">
        <v>13</v>
      </c>
      <c r="K128" s="40">
        <v>1.62</v>
      </c>
      <c r="L128" s="40"/>
      <c r="M128" s="40"/>
    </row>
    <row r="129" spans="2:13">
      <c r="B129" t="s">
        <v>1793</v>
      </c>
      <c r="C129" s="21" t="s">
        <v>1757</v>
      </c>
      <c r="D129" s="13">
        <v>32</v>
      </c>
      <c r="E129" s="13">
        <v>29.919999999999998</v>
      </c>
      <c r="F129" s="13">
        <f t="shared" si="6"/>
        <v>2.0800000000000018</v>
      </c>
      <c r="G129" t="s">
        <v>516</v>
      </c>
      <c r="H129" t="s">
        <v>11</v>
      </c>
      <c r="I129" t="s">
        <v>12</v>
      </c>
      <c r="J129" t="s">
        <v>13</v>
      </c>
      <c r="K129" s="40">
        <v>1.29</v>
      </c>
      <c r="L129" s="40"/>
      <c r="M129" s="40"/>
    </row>
    <row r="130" spans="2:13">
      <c r="B130" t="s">
        <v>1794</v>
      </c>
      <c r="C130" s="21" t="s">
        <v>1758</v>
      </c>
      <c r="D130" s="13">
        <v>28</v>
      </c>
      <c r="E130" s="13">
        <v>26.18</v>
      </c>
      <c r="F130" s="13">
        <f t="shared" si="6"/>
        <v>1.8200000000000003</v>
      </c>
      <c r="G130" t="s">
        <v>516</v>
      </c>
      <c r="H130" t="s">
        <v>11</v>
      </c>
      <c r="I130" t="s">
        <v>12</v>
      </c>
      <c r="J130" t="s">
        <v>13</v>
      </c>
      <c r="K130" s="40">
        <v>1.1299999999999999</v>
      </c>
      <c r="L130" s="40"/>
      <c r="M130" s="40"/>
    </row>
    <row r="131" spans="2:13">
      <c r="B131" t="s">
        <v>1795</v>
      </c>
      <c r="C131" s="21" t="s">
        <v>1759</v>
      </c>
      <c r="D131" s="13">
        <v>45</v>
      </c>
      <c r="E131" s="13">
        <v>42.129999999999995</v>
      </c>
      <c r="F131" s="13">
        <f t="shared" si="6"/>
        <v>2.8700000000000045</v>
      </c>
      <c r="G131" t="s">
        <v>516</v>
      </c>
      <c r="H131" t="s">
        <v>11</v>
      </c>
      <c r="I131" t="s">
        <v>12</v>
      </c>
      <c r="J131" t="s">
        <v>13</v>
      </c>
      <c r="K131" s="40">
        <v>1.82</v>
      </c>
      <c r="L131" s="40"/>
      <c r="M131" s="40"/>
    </row>
    <row r="132" spans="2:13">
      <c r="B132" t="s">
        <v>1796</v>
      </c>
      <c r="C132" s="21" t="s">
        <v>1760</v>
      </c>
      <c r="D132" s="13">
        <v>41</v>
      </c>
      <c r="E132" s="13">
        <v>38.39</v>
      </c>
      <c r="F132" s="13">
        <f t="shared" si="6"/>
        <v>2.6099999999999994</v>
      </c>
      <c r="G132" t="s">
        <v>516</v>
      </c>
      <c r="H132" t="s">
        <v>11</v>
      </c>
      <c r="I132" t="s">
        <v>12</v>
      </c>
      <c r="J132" t="s">
        <v>13</v>
      </c>
      <c r="K132" s="40">
        <v>1.66</v>
      </c>
      <c r="L132" s="40"/>
      <c r="M132" s="40"/>
    </row>
    <row r="133" spans="2:13">
      <c r="B133" t="s">
        <v>1797</v>
      </c>
      <c r="C133" s="21" t="s">
        <v>1761</v>
      </c>
      <c r="D133" s="13">
        <v>54</v>
      </c>
      <c r="E133" s="13">
        <v>50.489999999999995</v>
      </c>
      <c r="F133" s="13">
        <f t="shared" si="6"/>
        <v>3.5100000000000051</v>
      </c>
      <c r="G133" t="s">
        <v>516</v>
      </c>
      <c r="H133" t="s">
        <v>11</v>
      </c>
      <c r="I133" t="s">
        <v>12</v>
      </c>
      <c r="J133" t="s">
        <v>13</v>
      </c>
      <c r="K133" s="40">
        <v>2.1800000000000002</v>
      </c>
      <c r="L133" s="40"/>
      <c r="M133" s="40"/>
    </row>
    <row r="134" spans="2:13">
      <c r="B134" t="s">
        <v>1798</v>
      </c>
      <c r="C134" s="21" t="s">
        <v>1762</v>
      </c>
      <c r="D134" s="13">
        <v>50</v>
      </c>
      <c r="E134" s="13">
        <v>46.75</v>
      </c>
      <c r="F134" s="13">
        <f t="shared" si="6"/>
        <v>3.25</v>
      </c>
      <c r="G134" t="s">
        <v>516</v>
      </c>
      <c r="H134" t="s">
        <v>11</v>
      </c>
      <c r="I134" t="s">
        <v>12</v>
      </c>
      <c r="J134" t="s">
        <v>13</v>
      </c>
      <c r="K134" s="40">
        <v>2.02</v>
      </c>
      <c r="L134" s="40"/>
      <c r="M134" s="40"/>
    </row>
    <row r="135" spans="2:13">
      <c r="B135" t="s">
        <v>1799</v>
      </c>
      <c r="C135" s="21" t="s">
        <v>1763</v>
      </c>
      <c r="D135" s="13">
        <v>70</v>
      </c>
      <c r="E135" s="13">
        <v>65.45</v>
      </c>
      <c r="F135" s="13">
        <f t="shared" si="6"/>
        <v>4.5499999999999972</v>
      </c>
      <c r="G135" t="s">
        <v>516</v>
      </c>
      <c r="H135" t="s">
        <v>11</v>
      </c>
      <c r="I135" t="s">
        <v>12</v>
      </c>
      <c r="J135" t="s">
        <v>13</v>
      </c>
      <c r="K135" s="40">
        <v>2.83</v>
      </c>
      <c r="L135" s="40"/>
      <c r="M135" s="40"/>
    </row>
    <row r="136" spans="2:13">
      <c r="B136" t="s">
        <v>1800</v>
      </c>
      <c r="C136" s="21" t="s">
        <v>1764</v>
      </c>
      <c r="D136" s="13">
        <v>66</v>
      </c>
      <c r="E136" s="13">
        <v>61.71</v>
      </c>
      <c r="F136" s="13">
        <f t="shared" si="6"/>
        <v>4.2899999999999991</v>
      </c>
      <c r="G136" t="s">
        <v>516</v>
      </c>
      <c r="H136" t="s">
        <v>11</v>
      </c>
      <c r="I136" t="s">
        <v>12</v>
      </c>
      <c r="J136" t="s">
        <v>13</v>
      </c>
      <c r="K136" s="40">
        <v>2.66</v>
      </c>
      <c r="L136" s="40"/>
      <c r="M136" s="40"/>
    </row>
    <row r="137" spans="2:13">
      <c r="B137" t="s">
        <v>1801</v>
      </c>
      <c r="C137" s="21" t="s">
        <v>1765</v>
      </c>
      <c r="D137" s="13">
        <v>79</v>
      </c>
      <c r="E137" s="13">
        <v>73.92</v>
      </c>
      <c r="F137" s="13">
        <f t="shared" si="6"/>
        <v>5.0799999999999983</v>
      </c>
      <c r="G137" t="s">
        <v>516</v>
      </c>
      <c r="H137" t="s">
        <v>11</v>
      </c>
      <c r="I137" t="s">
        <v>12</v>
      </c>
      <c r="J137" t="s">
        <v>13</v>
      </c>
      <c r="K137" s="40">
        <v>3.19</v>
      </c>
      <c r="L137" s="40"/>
      <c r="M137" s="40"/>
    </row>
    <row r="138" spans="2:13">
      <c r="B138" t="s">
        <v>1802</v>
      </c>
      <c r="C138" s="21" t="s">
        <v>1766</v>
      </c>
      <c r="D138" s="13">
        <v>75</v>
      </c>
      <c r="E138" s="13">
        <v>70.179999999999993</v>
      </c>
      <c r="F138" s="13">
        <f t="shared" si="6"/>
        <v>4.8200000000000074</v>
      </c>
      <c r="G138" t="s">
        <v>516</v>
      </c>
      <c r="H138" t="s">
        <v>11</v>
      </c>
      <c r="I138" t="s">
        <v>12</v>
      </c>
      <c r="J138" t="s">
        <v>13</v>
      </c>
      <c r="K138" s="40">
        <v>3.03</v>
      </c>
      <c r="L138" s="40"/>
      <c r="M138" s="40"/>
    </row>
    <row r="139" spans="2:13">
      <c r="B139" t="s">
        <v>1803</v>
      </c>
      <c r="C139" s="21" t="s">
        <v>1767</v>
      </c>
      <c r="D139" s="13">
        <v>105</v>
      </c>
      <c r="E139" s="13">
        <v>98.22999999999999</v>
      </c>
      <c r="F139" s="13">
        <f t="shared" si="6"/>
        <v>6.7700000000000102</v>
      </c>
      <c r="G139" t="s">
        <v>516</v>
      </c>
      <c r="H139" t="s">
        <v>11</v>
      </c>
      <c r="I139" t="s">
        <v>12</v>
      </c>
      <c r="J139" t="s">
        <v>13</v>
      </c>
      <c r="K139" s="40">
        <v>4.24</v>
      </c>
      <c r="L139" s="40"/>
      <c r="M139" s="40"/>
    </row>
    <row r="140" spans="2:13">
      <c r="B140" t="s">
        <v>1804</v>
      </c>
      <c r="C140" s="21" t="s">
        <v>1768</v>
      </c>
      <c r="D140" s="13">
        <v>101</v>
      </c>
      <c r="E140" s="13">
        <v>94.490000000000009</v>
      </c>
      <c r="F140" s="13">
        <f t="shared" si="6"/>
        <v>6.5099999999999909</v>
      </c>
      <c r="G140" t="s">
        <v>516</v>
      </c>
      <c r="H140" t="s">
        <v>11</v>
      </c>
      <c r="I140" t="s">
        <v>12</v>
      </c>
      <c r="J140" t="s">
        <v>13</v>
      </c>
      <c r="K140" s="40">
        <v>4.08</v>
      </c>
      <c r="L140" s="40"/>
      <c r="M140" s="40"/>
    </row>
    <row r="141" spans="2:13">
      <c r="B141" t="s">
        <v>1805</v>
      </c>
      <c r="C141" s="21" t="s">
        <v>1769</v>
      </c>
      <c r="D141" s="13">
        <v>127</v>
      </c>
      <c r="E141" s="13">
        <v>118.8</v>
      </c>
      <c r="F141" s="13">
        <f t="shared" si="6"/>
        <v>8.2000000000000028</v>
      </c>
      <c r="G141" t="s">
        <v>516</v>
      </c>
      <c r="H141" t="s">
        <v>11</v>
      </c>
      <c r="I141" t="s">
        <v>12</v>
      </c>
      <c r="J141" t="s">
        <v>13</v>
      </c>
      <c r="K141" s="40">
        <v>5.13</v>
      </c>
      <c r="L141" s="40"/>
      <c r="M141" s="40"/>
    </row>
    <row r="142" spans="2:13">
      <c r="B142" t="s">
        <v>1806</v>
      </c>
      <c r="C142" s="21" t="s">
        <v>1770</v>
      </c>
      <c r="D142" s="13">
        <v>123</v>
      </c>
      <c r="E142" s="13">
        <v>115.06</v>
      </c>
      <c r="F142" s="13">
        <f t="shared" si="6"/>
        <v>7.9399999999999977</v>
      </c>
      <c r="G142" t="s">
        <v>516</v>
      </c>
      <c r="H142" t="s">
        <v>11</v>
      </c>
      <c r="I142" t="s">
        <v>12</v>
      </c>
      <c r="J142" t="s">
        <v>13</v>
      </c>
      <c r="K142" s="40">
        <v>4.97</v>
      </c>
      <c r="L142" s="40"/>
      <c r="M142" s="40"/>
    </row>
    <row r="143" spans="2:13">
      <c r="B143" t="s">
        <v>1807</v>
      </c>
      <c r="C143" s="21" t="s">
        <v>1771</v>
      </c>
      <c r="D143" s="13">
        <v>136</v>
      </c>
      <c r="E143" s="13">
        <v>127.16</v>
      </c>
      <c r="F143" s="13">
        <f t="shared" si="6"/>
        <v>8.8400000000000034</v>
      </c>
      <c r="G143" t="s">
        <v>516</v>
      </c>
      <c r="H143" t="s">
        <v>11</v>
      </c>
      <c r="I143" t="s">
        <v>12</v>
      </c>
      <c r="J143" t="s">
        <v>13</v>
      </c>
      <c r="K143" s="40">
        <v>5.49</v>
      </c>
      <c r="L143" s="40"/>
      <c r="M143" s="40"/>
    </row>
    <row r="144" spans="2:13">
      <c r="B144" t="s">
        <v>1808</v>
      </c>
      <c r="C144" s="21" t="s">
        <v>1772</v>
      </c>
      <c r="D144" s="13">
        <v>132</v>
      </c>
      <c r="E144" s="13">
        <v>123.42</v>
      </c>
      <c r="F144" s="13">
        <f t="shared" si="6"/>
        <v>8.5799999999999983</v>
      </c>
      <c r="G144" t="s">
        <v>516</v>
      </c>
      <c r="H144" t="s">
        <v>11</v>
      </c>
      <c r="I144" t="s">
        <v>12</v>
      </c>
      <c r="J144" t="s">
        <v>13</v>
      </c>
      <c r="K144" s="40">
        <v>5.33</v>
      </c>
      <c r="L144" s="40"/>
      <c r="M144" s="40"/>
    </row>
    <row r="145" spans="2:13">
      <c r="B145" t="s">
        <v>1809</v>
      </c>
      <c r="C145" s="21" t="s">
        <v>1773</v>
      </c>
      <c r="D145" s="13">
        <v>162</v>
      </c>
      <c r="E145" s="13">
        <v>151.47</v>
      </c>
      <c r="F145" s="13">
        <f t="shared" si="6"/>
        <v>10.530000000000001</v>
      </c>
      <c r="G145" t="s">
        <v>516</v>
      </c>
      <c r="H145" t="s">
        <v>11</v>
      </c>
      <c r="I145" t="s">
        <v>12</v>
      </c>
      <c r="J145" t="s">
        <v>13</v>
      </c>
      <c r="K145" s="40">
        <v>6.54</v>
      </c>
      <c r="L145" s="40"/>
      <c r="M145" s="40"/>
    </row>
    <row r="146" spans="2:13">
      <c r="B146" t="s">
        <v>1810</v>
      </c>
      <c r="C146" s="21" t="s">
        <v>1774</v>
      </c>
      <c r="D146" s="13">
        <v>158</v>
      </c>
      <c r="E146" s="13">
        <v>147.73000000000002</v>
      </c>
      <c r="F146" s="13">
        <f t="shared" si="6"/>
        <v>10.269999999999982</v>
      </c>
      <c r="G146" t="s">
        <v>516</v>
      </c>
      <c r="H146" t="s">
        <v>11</v>
      </c>
      <c r="I146" t="s">
        <v>12</v>
      </c>
      <c r="J146" t="s">
        <v>13</v>
      </c>
      <c r="K146" s="40">
        <v>6.38</v>
      </c>
      <c r="L146" s="40"/>
      <c r="M146" s="40"/>
    </row>
    <row r="147" spans="2:13">
      <c r="B147" t="s">
        <v>1811</v>
      </c>
      <c r="C147" s="21" t="s">
        <v>1775</v>
      </c>
      <c r="D147" s="13">
        <v>20</v>
      </c>
      <c r="E147" s="13">
        <v>18.7</v>
      </c>
      <c r="F147" s="13">
        <f t="shared" si="6"/>
        <v>1.3000000000000007</v>
      </c>
      <c r="G147" t="s">
        <v>516</v>
      </c>
      <c r="H147" t="s">
        <v>11</v>
      </c>
      <c r="I147" t="s">
        <v>12</v>
      </c>
      <c r="J147" t="s">
        <v>13</v>
      </c>
      <c r="K147" s="40">
        <v>0.81</v>
      </c>
      <c r="L147" s="40"/>
      <c r="M147" s="40"/>
    </row>
    <row r="148" spans="2:13">
      <c r="B148" t="s">
        <v>1812</v>
      </c>
      <c r="C148" s="21" t="s">
        <v>1776</v>
      </c>
      <c r="D148" s="13">
        <v>31</v>
      </c>
      <c r="E148" s="13">
        <v>29.04</v>
      </c>
      <c r="F148" s="13">
        <f t="shared" si="6"/>
        <v>1.9600000000000009</v>
      </c>
      <c r="G148" t="s">
        <v>516</v>
      </c>
      <c r="H148" t="s">
        <v>11</v>
      </c>
      <c r="I148" t="s">
        <v>12</v>
      </c>
      <c r="J148" t="s">
        <v>13</v>
      </c>
      <c r="K148" s="40">
        <v>1.25</v>
      </c>
      <c r="L148" s="40"/>
      <c r="M148" s="40"/>
    </row>
    <row r="149" spans="2:13">
      <c r="B149" t="s">
        <v>1813</v>
      </c>
      <c r="C149" s="21" t="s">
        <v>1777</v>
      </c>
      <c r="D149" s="13">
        <v>40</v>
      </c>
      <c r="E149" s="13">
        <v>37.4</v>
      </c>
      <c r="F149" s="13">
        <f t="shared" si="6"/>
        <v>2.6000000000000014</v>
      </c>
      <c r="G149" t="s">
        <v>516</v>
      </c>
      <c r="H149" t="s">
        <v>11</v>
      </c>
      <c r="I149" t="s">
        <v>12</v>
      </c>
      <c r="J149" t="s">
        <v>13</v>
      </c>
      <c r="K149" s="40">
        <v>1.62</v>
      </c>
      <c r="L149" s="40"/>
      <c r="M149" s="40"/>
    </row>
    <row r="150" spans="2:13">
      <c r="B150" t="s">
        <v>1814</v>
      </c>
      <c r="C150" s="21" t="s">
        <v>1778</v>
      </c>
      <c r="D150" s="13">
        <v>28</v>
      </c>
      <c r="E150" s="13">
        <v>26.18</v>
      </c>
      <c r="F150" s="13">
        <f t="shared" si="6"/>
        <v>1.8200000000000003</v>
      </c>
      <c r="G150" t="s">
        <v>516</v>
      </c>
      <c r="H150" t="s">
        <v>11</v>
      </c>
      <c r="I150" t="s">
        <v>12</v>
      </c>
      <c r="J150" t="s">
        <v>13</v>
      </c>
      <c r="K150" s="40">
        <v>1.1299999999999999</v>
      </c>
      <c r="L150" s="40"/>
      <c r="M150" s="40"/>
    </row>
    <row r="151" spans="2:13">
      <c r="B151" t="s">
        <v>1815</v>
      </c>
      <c r="C151" s="21" t="s">
        <v>1779</v>
      </c>
      <c r="D151" s="13">
        <v>41</v>
      </c>
      <c r="E151" s="13">
        <v>38.39</v>
      </c>
      <c r="F151" s="13">
        <f t="shared" si="6"/>
        <v>2.6099999999999994</v>
      </c>
      <c r="G151" t="s">
        <v>516</v>
      </c>
      <c r="H151" t="s">
        <v>11</v>
      </c>
      <c r="I151" t="s">
        <v>12</v>
      </c>
      <c r="J151" t="s">
        <v>13</v>
      </c>
      <c r="K151" s="40">
        <v>1.66</v>
      </c>
      <c r="L151" s="40"/>
      <c r="M151" s="40"/>
    </row>
    <row r="152" spans="2:13">
      <c r="B152" t="s">
        <v>1817</v>
      </c>
      <c r="C152" s="21" t="s">
        <v>1780</v>
      </c>
      <c r="D152" s="13">
        <v>50</v>
      </c>
      <c r="E152" s="13">
        <v>46.75</v>
      </c>
      <c r="F152" s="13">
        <f t="shared" si="6"/>
        <v>3.25</v>
      </c>
      <c r="G152" t="s">
        <v>516</v>
      </c>
      <c r="H152" t="s">
        <v>11</v>
      </c>
      <c r="I152" t="s">
        <v>12</v>
      </c>
      <c r="J152" t="s">
        <v>13</v>
      </c>
      <c r="K152" s="40">
        <v>2.02</v>
      </c>
      <c r="L152" s="40"/>
      <c r="M152" s="40"/>
    </row>
    <row r="153" spans="2:13">
      <c r="B153" t="s">
        <v>1816</v>
      </c>
      <c r="C153" s="21" t="s">
        <v>1781</v>
      </c>
      <c r="D153" s="13">
        <v>66</v>
      </c>
      <c r="E153" s="13">
        <v>61.71</v>
      </c>
      <c r="F153" s="13">
        <f t="shared" si="6"/>
        <v>4.2899999999999991</v>
      </c>
      <c r="G153" t="s">
        <v>516</v>
      </c>
      <c r="H153" t="s">
        <v>11</v>
      </c>
      <c r="I153" t="s">
        <v>12</v>
      </c>
      <c r="J153" t="s">
        <v>13</v>
      </c>
      <c r="K153" s="40">
        <v>2.66</v>
      </c>
      <c r="L153" s="40"/>
      <c r="M153" s="40"/>
    </row>
    <row r="154" spans="2:13">
      <c r="B154" t="s">
        <v>1817</v>
      </c>
      <c r="C154" s="21" t="s">
        <v>1782</v>
      </c>
      <c r="D154" s="13">
        <v>75</v>
      </c>
      <c r="E154" s="13">
        <v>70.179999999999993</v>
      </c>
      <c r="F154" s="13">
        <f t="shared" si="6"/>
        <v>4.8200000000000074</v>
      </c>
      <c r="G154" t="s">
        <v>516</v>
      </c>
      <c r="H154" t="s">
        <v>11</v>
      </c>
      <c r="I154" t="s">
        <v>12</v>
      </c>
      <c r="J154" t="s">
        <v>13</v>
      </c>
      <c r="K154" s="40">
        <v>3.03</v>
      </c>
      <c r="L154" s="40"/>
      <c r="M154" s="40"/>
    </row>
    <row r="155" spans="2:13">
      <c r="B155" t="s">
        <v>1818</v>
      </c>
      <c r="C155" s="21" t="s">
        <v>1783</v>
      </c>
      <c r="D155" s="13">
        <v>101</v>
      </c>
      <c r="E155" s="13">
        <v>94.490000000000009</v>
      </c>
      <c r="F155" s="13">
        <f t="shared" si="6"/>
        <v>6.5099999999999909</v>
      </c>
      <c r="G155" t="s">
        <v>516</v>
      </c>
      <c r="H155" t="s">
        <v>11</v>
      </c>
      <c r="I155" t="s">
        <v>12</v>
      </c>
      <c r="J155" t="s">
        <v>13</v>
      </c>
      <c r="K155" s="40">
        <v>4.08</v>
      </c>
      <c r="L155" s="40"/>
      <c r="M155" s="40"/>
    </row>
    <row r="156" spans="2:13">
      <c r="B156" t="s">
        <v>1819</v>
      </c>
      <c r="C156" s="21" t="s">
        <v>1784</v>
      </c>
      <c r="D156" s="13">
        <v>123</v>
      </c>
      <c r="E156" s="13">
        <v>115.06</v>
      </c>
      <c r="F156" s="13">
        <f t="shared" si="6"/>
        <v>7.9399999999999977</v>
      </c>
      <c r="G156" t="s">
        <v>516</v>
      </c>
      <c r="H156" t="s">
        <v>11</v>
      </c>
      <c r="I156" t="s">
        <v>12</v>
      </c>
      <c r="J156" t="s">
        <v>13</v>
      </c>
      <c r="K156" s="40">
        <v>4.97</v>
      </c>
      <c r="L156" s="40"/>
      <c r="M156" s="40"/>
    </row>
    <row r="157" spans="2:13">
      <c r="B157" t="s">
        <v>1820</v>
      </c>
      <c r="C157" s="21" t="s">
        <v>1785</v>
      </c>
      <c r="D157" s="13">
        <v>132</v>
      </c>
      <c r="E157" s="13">
        <v>123.42</v>
      </c>
      <c r="F157" s="13">
        <f t="shared" si="6"/>
        <v>8.5799999999999983</v>
      </c>
      <c r="G157" t="s">
        <v>516</v>
      </c>
      <c r="H157" t="s">
        <v>11</v>
      </c>
      <c r="I157" t="s">
        <v>12</v>
      </c>
      <c r="J157" t="s">
        <v>13</v>
      </c>
      <c r="K157" s="40">
        <v>5.33</v>
      </c>
      <c r="L157" s="40"/>
      <c r="M157" s="40"/>
    </row>
    <row r="158" spans="2:13">
      <c r="B158" t="s">
        <v>1821</v>
      </c>
      <c r="C158" s="21" t="s">
        <v>1786</v>
      </c>
      <c r="D158" s="13">
        <v>158</v>
      </c>
      <c r="E158" s="13">
        <v>147.73000000000002</v>
      </c>
      <c r="F158" s="13">
        <f t="shared" si="6"/>
        <v>10.269999999999982</v>
      </c>
      <c r="G158" t="s">
        <v>516</v>
      </c>
      <c r="H158" t="s">
        <v>11</v>
      </c>
      <c r="I158" t="s">
        <v>12</v>
      </c>
      <c r="J158" t="s">
        <v>13</v>
      </c>
      <c r="K158" s="40">
        <v>6.38</v>
      </c>
      <c r="L158" s="40"/>
      <c r="M158" s="40"/>
    </row>
    <row r="159" spans="2:13">
      <c r="K159" s="40"/>
      <c r="L159" s="40"/>
      <c r="M159" s="40"/>
    </row>
    <row r="160" spans="2:13">
      <c r="C160" s="23" t="s">
        <v>81</v>
      </c>
      <c r="K160" s="40"/>
      <c r="L160" s="40"/>
      <c r="M160" s="40"/>
    </row>
    <row r="161" spans="1:13">
      <c r="A161" s="4" t="s">
        <v>1211</v>
      </c>
      <c r="B161" s="21" t="s">
        <v>82</v>
      </c>
      <c r="C161" s="21" t="s">
        <v>1081</v>
      </c>
      <c r="D161" s="13">
        <v>22</v>
      </c>
      <c r="E161" s="13">
        <v>19.36</v>
      </c>
      <c r="F161" s="13">
        <f>D161-E161</f>
        <v>2.6400000000000006</v>
      </c>
      <c r="G161" s="21" t="s">
        <v>516</v>
      </c>
      <c r="H161" s="21" t="s">
        <v>11</v>
      </c>
      <c r="I161" s="21" t="s">
        <v>12</v>
      </c>
      <c r="J161" s="21" t="s">
        <v>13</v>
      </c>
      <c r="K161" s="40">
        <v>0.7</v>
      </c>
      <c r="L161" s="40">
        <v>0.88</v>
      </c>
      <c r="M161" s="40"/>
    </row>
    <row r="162" spans="1:13">
      <c r="A162" s="27" t="s">
        <v>1212</v>
      </c>
      <c r="B162" s="21" t="s">
        <v>83</v>
      </c>
      <c r="C162" s="21" t="s">
        <v>1082</v>
      </c>
      <c r="D162" s="13">
        <v>0</v>
      </c>
      <c r="E162" s="13">
        <v>0</v>
      </c>
      <c r="F162" s="13">
        <v>0</v>
      </c>
      <c r="G162" s="21" t="s">
        <v>516</v>
      </c>
      <c r="H162" s="21" t="s">
        <v>11</v>
      </c>
      <c r="I162" s="21" t="s">
        <v>27</v>
      </c>
      <c r="J162" s="21" t="s">
        <v>13</v>
      </c>
      <c r="K162" s="40"/>
      <c r="L162" s="40"/>
      <c r="M162" s="40"/>
    </row>
    <row r="163" spans="1:13">
      <c r="A163" s="4" t="s">
        <v>1213</v>
      </c>
      <c r="B163" t="s">
        <v>85</v>
      </c>
      <c r="C163" s="21" t="s">
        <v>84</v>
      </c>
      <c r="D163" s="13">
        <v>36</v>
      </c>
      <c r="E163" s="13">
        <v>31.68</v>
      </c>
      <c r="F163" s="13">
        <f t="shared" ref="F163:F173" si="7">D163-E163</f>
        <v>4.32</v>
      </c>
      <c r="G163" t="s">
        <v>516</v>
      </c>
      <c r="H163" t="s">
        <v>11</v>
      </c>
      <c r="I163" t="s">
        <v>12</v>
      </c>
      <c r="J163" t="s">
        <v>13</v>
      </c>
      <c r="K163" s="40">
        <v>1.1499999999999999</v>
      </c>
      <c r="L163" s="40">
        <v>1.44</v>
      </c>
      <c r="M163" s="40"/>
    </row>
    <row r="164" spans="1:13">
      <c r="A164" s="27" t="s">
        <v>466</v>
      </c>
      <c r="B164" t="s">
        <v>87</v>
      </c>
      <c r="C164" s="21" t="s">
        <v>86</v>
      </c>
      <c r="D164" s="13">
        <v>57</v>
      </c>
      <c r="E164" s="13">
        <v>50.6</v>
      </c>
      <c r="F164" s="13">
        <f t="shared" si="7"/>
        <v>6.3999999999999986</v>
      </c>
      <c r="G164" t="s">
        <v>516</v>
      </c>
      <c r="H164" t="s">
        <v>11</v>
      </c>
      <c r="I164" t="s">
        <v>12</v>
      </c>
      <c r="J164" t="s">
        <v>13</v>
      </c>
      <c r="K164" s="40">
        <v>1.84</v>
      </c>
      <c r="L164" s="40">
        <v>2.2999999999999998</v>
      </c>
      <c r="M164" s="40"/>
    </row>
    <row r="165" spans="1:13">
      <c r="B165" s="21" t="s">
        <v>89</v>
      </c>
      <c r="C165" s="21" t="s">
        <v>88</v>
      </c>
      <c r="D165" s="13">
        <v>57</v>
      </c>
      <c r="E165" s="13">
        <v>50.16</v>
      </c>
      <c r="F165" s="13">
        <f t="shared" si="7"/>
        <v>6.8400000000000034</v>
      </c>
      <c r="G165" s="21" t="s">
        <v>516</v>
      </c>
      <c r="H165" s="21" t="s">
        <v>11</v>
      </c>
      <c r="I165" s="21" t="s">
        <v>12</v>
      </c>
      <c r="J165" s="21" t="s">
        <v>13</v>
      </c>
      <c r="K165" s="40">
        <v>7.0000000000000007E-2</v>
      </c>
      <c r="L165" s="40"/>
      <c r="M165" s="40"/>
    </row>
    <row r="166" spans="1:13">
      <c r="B166" s="21" t="s">
        <v>1116</v>
      </c>
      <c r="C166" s="21" t="s">
        <v>90</v>
      </c>
      <c r="D166" s="13">
        <v>2.25</v>
      </c>
      <c r="E166" s="13">
        <v>1.98</v>
      </c>
      <c r="F166" s="13">
        <f t="shared" si="7"/>
        <v>0.27</v>
      </c>
      <c r="G166" s="21" t="s">
        <v>516</v>
      </c>
      <c r="H166" s="21" t="s">
        <v>11</v>
      </c>
      <c r="I166" s="21" t="s">
        <v>12</v>
      </c>
      <c r="J166" s="21" t="s">
        <v>13</v>
      </c>
      <c r="K166" s="40">
        <v>0.13</v>
      </c>
      <c r="L166" s="40"/>
      <c r="M166" s="40"/>
    </row>
    <row r="167" spans="1:13">
      <c r="B167" s="21" t="s">
        <v>1117</v>
      </c>
      <c r="C167" s="21" t="s">
        <v>1066</v>
      </c>
      <c r="D167" s="13">
        <v>0</v>
      </c>
      <c r="E167" s="13">
        <v>0</v>
      </c>
      <c r="F167" s="13">
        <f t="shared" si="7"/>
        <v>0</v>
      </c>
      <c r="G167" s="21" t="s">
        <v>516</v>
      </c>
      <c r="H167" s="21" t="s">
        <v>11</v>
      </c>
      <c r="I167" s="21" t="s">
        <v>27</v>
      </c>
      <c r="J167" s="21" t="s">
        <v>13</v>
      </c>
      <c r="K167" s="40"/>
      <c r="L167" s="40"/>
      <c r="M167" s="40"/>
    </row>
    <row r="168" spans="1:13">
      <c r="A168" s="4" t="s">
        <v>1214</v>
      </c>
      <c r="B168" s="21" t="s">
        <v>91</v>
      </c>
      <c r="C168" s="21" t="s">
        <v>1101</v>
      </c>
      <c r="D168" s="13">
        <v>8</v>
      </c>
      <c r="E168" s="13">
        <v>7.04</v>
      </c>
      <c r="F168" s="13">
        <f t="shared" si="7"/>
        <v>0.96</v>
      </c>
      <c r="G168" s="21" t="s">
        <v>516</v>
      </c>
      <c r="H168" s="21" t="s">
        <v>11</v>
      </c>
      <c r="I168" s="21" t="s">
        <v>12</v>
      </c>
      <c r="J168" s="21" t="s">
        <v>13</v>
      </c>
      <c r="K168" s="40">
        <v>0.26</v>
      </c>
      <c r="L168" s="40"/>
      <c r="M168" s="40"/>
    </row>
    <row r="169" spans="1:13">
      <c r="A169" s="4"/>
      <c r="B169" s="53" t="s">
        <v>1403</v>
      </c>
      <c r="C169" s="53" t="s">
        <v>1402</v>
      </c>
      <c r="D169" s="13">
        <v>8</v>
      </c>
      <c r="E169" s="13">
        <v>7.04</v>
      </c>
      <c r="F169" s="13">
        <f t="shared" si="7"/>
        <v>0.96</v>
      </c>
      <c r="G169" s="53" t="s">
        <v>516</v>
      </c>
      <c r="H169" s="53" t="s">
        <v>11</v>
      </c>
      <c r="I169" s="53" t="s">
        <v>19</v>
      </c>
      <c r="J169" s="53" t="s">
        <v>13</v>
      </c>
      <c r="K169" s="40">
        <v>0.41</v>
      </c>
      <c r="L169" s="40"/>
      <c r="M169" s="40"/>
    </row>
    <row r="170" spans="1:13">
      <c r="A170" s="4"/>
      <c r="B170" t="s">
        <v>1406</v>
      </c>
      <c r="C170" s="53" t="s">
        <v>1404</v>
      </c>
      <c r="D170" s="13">
        <v>13</v>
      </c>
      <c r="E170" s="13">
        <v>11.44</v>
      </c>
      <c r="F170" s="13">
        <f t="shared" si="7"/>
        <v>1.5600000000000005</v>
      </c>
      <c r="G170" s="53" t="s">
        <v>516</v>
      </c>
      <c r="H170" s="53" t="s">
        <v>11</v>
      </c>
      <c r="I170" s="53" t="s">
        <v>19</v>
      </c>
      <c r="J170" s="53" t="s">
        <v>13</v>
      </c>
      <c r="K170" s="40">
        <v>0.26</v>
      </c>
      <c r="L170" s="40"/>
      <c r="M170" s="40"/>
    </row>
    <row r="171" spans="1:13">
      <c r="A171" s="4"/>
      <c r="B171" t="s">
        <v>1407</v>
      </c>
      <c r="C171" s="53" t="s">
        <v>1405</v>
      </c>
      <c r="D171" s="13">
        <v>8</v>
      </c>
      <c r="E171" s="13">
        <v>7.04</v>
      </c>
      <c r="F171" s="13">
        <f t="shared" si="7"/>
        <v>0.96</v>
      </c>
      <c r="G171" s="53" t="s">
        <v>516</v>
      </c>
      <c r="H171" s="53" t="s">
        <v>11</v>
      </c>
      <c r="I171" s="53" t="s">
        <v>19</v>
      </c>
      <c r="J171" s="53" t="s">
        <v>13</v>
      </c>
      <c r="K171" s="40">
        <v>0.34</v>
      </c>
      <c r="L171" s="40"/>
      <c r="M171" s="40"/>
    </row>
    <row r="172" spans="1:13">
      <c r="A172" s="27" t="s">
        <v>243</v>
      </c>
      <c r="B172" s="53" t="s">
        <v>221</v>
      </c>
      <c r="C172" s="53" t="s">
        <v>220</v>
      </c>
      <c r="D172" s="13">
        <v>10.6</v>
      </c>
      <c r="E172" s="13">
        <v>9.35</v>
      </c>
      <c r="F172" s="13">
        <f t="shared" si="7"/>
        <v>1.25</v>
      </c>
      <c r="G172" t="s">
        <v>516</v>
      </c>
      <c r="H172" t="s">
        <v>11</v>
      </c>
      <c r="I172" t="s">
        <v>12</v>
      </c>
      <c r="J172" t="s">
        <v>13</v>
      </c>
      <c r="K172" s="40">
        <v>0.34</v>
      </c>
      <c r="L172" s="40"/>
      <c r="M172" s="40"/>
    </row>
    <row r="173" spans="1:13">
      <c r="A173" s="27"/>
      <c r="B173" t="s">
        <v>223</v>
      </c>
      <c r="C173" s="53" t="s">
        <v>222</v>
      </c>
      <c r="D173" s="13">
        <v>16.399999999999999</v>
      </c>
      <c r="E173" s="13">
        <v>14.52</v>
      </c>
      <c r="F173" s="13">
        <f t="shared" si="7"/>
        <v>1.879999999999999</v>
      </c>
      <c r="G173" t="s">
        <v>516</v>
      </c>
      <c r="H173" t="s">
        <v>11</v>
      </c>
      <c r="I173" t="s">
        <v>12</v>
      </c>
      <c r="J173" t="s">
        <v>13</v>
      </c>
      <c r="K173" s="40">
        <v>0.53</v>
      </c>
      <c r="L173" s="40"/>
      <c r="M173" s="40"/>
    </row>
    <row r="174" spans="1:13">
      <c r="A174" s="4" t="s">
        <v>1215</v>
      </c>
      <c r="B174" t="s">
        <v>225</v>
      </c>
      <c r="C174" s="21" t="s">
        <v>224</v>
      </c>
      <c r="D174" s="13">
        <v>0</v>
      </c>
      <c r="E174" s="13">
        <v>0</v>
      </c>
      <c r="F174" s="13">
        <v>0</v>
      </c>
      <c r="G174" t="s">
        <v>516</v>
      </c>
      <c r="H174" t="s">
        <v>11</v>
      </c>
      <c r="I174" t="s">
        <v>27</v>
      </c>
      <c r="J174" t="s">
        <v>13</v>
      </c>
      <c r="K174" s="40"/>
      <c r="L174" s="40"/>
      <c r="M174" s="40"/>
    </row>
    <row r="175" spans="1:13">
      <c r="K175" s="40"/>
      <c r="L175" s="40"/>
      <c r="M175" s="40"/>
    </row>
    <row r="176" spans="1:13">
      <c r="B176" s="3"/>
      <c r="C176" s="23" t="s">
        <v>92</v>
      </c>
      <c r="G176" s="3"/>
      <c r="K176" s="40"/>
      <c r="L176" s="40"/>
      <c r="M176" s="40"/>
    </row>
    <row r="177" spans="1:13">
      <c r="B177" s="3"/>
      <c r="C177" s="22"/>
      <c r="D177" s="3"/>
      <c r="E177" s="18"/>
      <c r="F177" s="3"/>
      <c r="G177" s="3"/>
      <c r="J177" s="3"/>
      <c r="K177" s="40"/>
      <c r="L177" s="40"/>
      <c r="M177" s="40"/>
    </row>
    <row r="178" spans="1:13">
      <c r="A178" s="4" t="s">
        <v>1216</v>
      </c>
      <c r="B178" s="3"/>
      <c r="C178" s="23" t="s">
        <v>525</v>
      </c>
      <c r="D178" s="3"/>
      <c r="E178" s="18"/>
      <c r="F178" s="3"/>
      <c r="G178" s="3"/>
      <c r="J178" s="3"/>
      <c r="K178" s="40"/>
      <c r="L178" s="40"/>
      <c r="M178" s="40"/>
    </row>
    <row r="179" spans="1:13">
      <c r="B179" s="21" t="s">
        <v>405</v>
      </c>
      <c r="C179" s="21" t="s">
        <v>404</v>
      </c>
      <c r="D179" s="13">
        <v>0</v>
      </c>
      <c r="E179" s="13">
        <v>0</v>
      </c>
      <c r="F179" s="13">
        <v>0</v>
      </c>
      <c r="G179" t="s">
        <v>516</v>
      </c>
      <c r="H179" t="s">
        <v>11</v>
      </c>
      <c r="I179" t="s">
        <v>27</v>
      </c>
      <c r="J179" t="s">
        <v>13</v>
      </c>
      <c r="K179" s="40"/>
      <c r="L179" s="40"/>
      <c r="M179" s="40"/>
    </row>
    <row r="180" spans="1:13">
      <c r="A180" s="4" t="s">
        <v>1217</v>
      </c>
      <c r="B180" s="21" t="s">
        <v>762</v>
      </c>
      <c r="C180" s="21" t="s">
        <v>761</v>
      </c>
      <c r="D180" s="13">
        <v>40</v>
      </c>
      <c r="E180" s="13">
        <v>30.8</v>
      </c>
      <c r="F180" s="28">
        <f t="shared" ref="F180:F196" si="8">D180-E180</f>
        <v>9.1999999999999993</v>
      </c>
      <c r="G180" s="21" t="s">
        <v>516</v>
      </c>
      <c r="H180" s="21" t="s">
        <v>11</v>
      </c>
      <c r="I180" s="21" t="s">
        <v>12</v>
      </c>
      <c r="J180" s="21" t="s">
        <v>13</v>
      </c>
      <c r="K180" s="40">
        <v>1.33</v>
      </c>
      <c r="L180" s="40">
        <v>1.4</v>
      </c>
      <c r="M180" s="40"/>
    </row>
    <row r="181" spans="1:13">
      <c r="B181" s="21" t="s">
        <v>932</v>
      </c>
      <c r="C181" s="21" t="s">
        <v>931</v>
      </c>
      <c r="D181" s="13">
        <v>40</v>
      </c>
      <c r="E181" s="13">
        <v>30.8</v>
      </c>
      <c r="F181" s="28">
        <f t="shared" si="8"/>
        <v>9.1999999999999993</v>
      </c>
      <c r="G181" s="21" t="s">
        <v>516</v>
      </c>
      <c r="H181" s="21" t="s">
        <v>11</v>
      </c>
      <c r="I181" s="21" t="s">
        <v>12</v>
      </c>
      <c r="J181" s="21" t="s">
        <v>13</v>
      </c>
      <c r="K181" s="40">
        <v>1.33</v>
      </c>
      <c r="L181" s="40">
        <v>1.4</v>
      </c>
      <c r="M181" s="40"/>
    </row>
    <row r="182" spans="1:13">
      <c r="A182" s="4" t="s">
        <v>122</v>
      </c>
      <c r="B182" s="21" t="s">
        <v>94</v>
      </c>
      <c r="C182" s="21" t="s">
        <v>93</v>
      </c>
      <c r="D182" s="13">
        <v>70</v>
      </c>
      <c r="E182" s="13">
        <v>53.9</v>
      </c>
      <c r="F182" s="13">
        <f t="shared" si="8"/>
        <v>16.100000000000001</v>
      </c>
      <c r="G182" s="21" t="s">
        <v>516</v>
      </c>
      <c r="H182" s="21" t="s">
        <v>11</v>
      </c>
      <c r="I182" s="21" t="s">
        <v>12</v>
      </c>
      <c r="J182" s="21" t="s">
        <v>13</v>
      </c>
      <c r="K182" s="40">
        <v>2.33</v>
      </c>
      <c r="L182" s="40">
        <v>2.4500000000000002</v>
      </c>
      <c r="M182" s="40"/>
    </row>
    <row r="183" spans="1:13">
      <c r="A183" s="27"/>
      <c r="B183" s="21" t="s">
        <v>934</v>
      </c>
      <c r="C183" s="21" t="s">
        <v>933</v>
      </c>
      <c r="D183" s="13">
        <v>70</v>
      </c>
      <c r="E183" s="13">
        <v>53.9</v>
      </c>
      <c r="F183" s="13">
        <f t="shared" si="8"/>
        <v>16.100000000000001</v>
      </c>
      <c r="G183" s="21" t="s">
        <v>516</v>
      </c>
      <c r="H183" s="21" t="s">
        <v>11</v>
      </c>
      <c r="I183" s="21" t="s">
        <v>12</v>
      </c>
      <c r="J183" s="21" t="s">
        <v>13</v>
      </c>
      <c r="K183" s="40">
        <v>2.33</v>
      </c>
      <c r="L183" s="40">
        <v>2.4500000000000002</v>
      </c>
      <c r="M183" s="40"/>
    </row>
    <row r="184" spans="1:13">
      <c r="A184" s="4" t="s">
        <v>122</v>
      </c>
      <c r="B184" s="21" t="s">
        <v>96</v>
      </c>
      <c r="C184" s="21" t="s">
        <v>95</v>
      </c>
      <c r="D184" s="13">
        <v>100</v>
      </c>
      <c r="E184" s="13">
        <v>77</v>
      </c>
      <c r="F184" s="13">
        <f t="shared" si="8"/>
        <v>23</v>
      </c>
      <c r="G184" s="21" t="s">
        <v>516</v>
      </c>
      <c r="H184" s="21" t="s">
        <v>11</v>
      </c>
      <c r="I184" s="21" t="s">
        <v>12</v>
      </c>
      <c r="J184" s="21" t="s">
        <v>13</v>
      </c>
      <c r="K184" s="40">
        <v>3.33</v>
      </c>
      <c r="L184" s="40">
        <v>3.5</v>
      </c>
      <c r="M184" s="40"/>
    </row>
    <row r="185" spans="1:13">
      <c r="A185" s="27"/>
      <c r="B185" s="21" t="s">
        <v>936</v>
      </c>
      <c r="C185" s="21" t="s">
        <v>935</v>
      </c>
      <c r="D185" s="13">
        <v>100</v>
      </c>
      <c r="E185" s="13">
        <v>77</v>
      </c>
      <c r="F185" s="13">
        <f>D185-E185</f>
        <v>23</v>
      </c>
      <c r="G185" s="21" t="s">
        <v>516</v>
      </c>
      <c r="H185" s="21" t="s">
        <v>11</v>
      </c>
      <c r="I185" s="21" t="s">
        <v>12</v>
      </c>
      <c r="J185" s="21" t="s">
        <v>13</v>
      </c>
      <c r="K185" s="40">
        <v>3.33</v>
      </c>
      <c r="L185" s="40">
        <v>3.5</v>
      </c>
      <c r="M185" s="40"/>
    </row>
    <row r="186" spans="1:13">
      <c r="A186" s="4" t="s">
        <v>122</v>
      </c>
      <c r="B186" s="21" t="s">
        <v>98</v>
      </c>
      <c r="C186" s="21" t="s">
        <v>97</v>
      </c>
      <c r="D186" s="13">
        <v>8</v>
      </c>
      <c r="E186" s="13">
        <v>6.1599999999999993</v>
      </c>
      <c r="F186" s="13">
        <f t="shared" si="8"/>
        <v>1.8400000000000007</v>
      </c>
      <c r="G186" s="21" t="s">
        <v>516</v>
      </c>
      <c r="H186" s="21" t="s">
        <v>11</v>
      </c>
      <c r="I186" s="21" t="s">
        <v>12</v>
      </c>
      <c r="J186" s="21" t="s">
        <v>13</v>
      </c>
      <c r="K186" s="40">
        <v>0.27</v>
      </c>
      <c r="L186" s="40">
        <v>0.28000000000000003</v>
      </c>
      <c r="M186" s="40"/>
    </row>
    <row r="187" spans="1:13">
      <c r="A187" s="27"/>
      <c r="B187" s="21" t="s">
        <v>938</v>
      </c>
      <c r="C187" s="21" t="s">
        <v>937</v>
      </c>
      <c r="D187" s="13">
        <v>8</v>
      </c>
      <c r="E187" s="13">
        <v>6.16</v>
      </c>
      <c r="F187" s="13">
        <f>D187-E187</f>
        <v>1.8399999999999999</v>
      </c>
      <c r="G187" s="21" t="s">
        <v>516</v>
      </c>
      <c r="H187" s="21" t="s">
        <v>11</v>
      </c>
      <c r="I187" s="21" t="s">
        <v>12</v>
      </c>
      <c r="J187" s="21" t="s">
        <v>13</v>
      </c>
      <c r="K187" s="40">
        <v>0.27</v>
      </c>
      <c r="L187" s="40">
        <v>0.28000000000000003</v>
      </c>
      <c r="M187" s="40"/>
    </row>
    <row r="188" spans="1:13">
      <c r="A188" s="4" t="s">
        <v>1218</v>
      </c>
      <c r="B188" s="21" t="s">
        <v>766</v>
      </c>
      <c r="C188" s="21" t="s">
        <v>765</v>
      </c>
      <c r="D188" s="13">
        <v>0</v>
      </c>
      <c r="E188" s="13">
        <v>0</v>
      </c>
      <c r="F188" s="13">
        <f t="shared" si="8"/>
        <v>0</v>
      </c>
      <c r="G188" s="21" t="s">
        <v>516</v>
      </c>
      <c r="H188" s="21" t="s">
        <v>11</v>
      </c>
      <c r="I188" s="21" t="s">
        <v>12</v>
      </c>
      <c r="J188" s="21" t="s">
        <v>13</v>
      </c>
      <c r="K188" s="40"/>
      <c r="L188" s="40"/>
      <c r="M188" s="40"/>
    </row>
    <row r="189" spans="1:13">
      <c r="A189" s="27"/>
      <c r="B189" s="21" t="s">
        <v>940</v>
      </c>
      <c r="C189" s="21" t="s">
        <v>939</v>
      </c>
      <c r="D189" s="13">
        <v>0</v>
      </c>
      <c r="E189" s="13">
        <v>0</v>
      </c>
      <c r="F189" s="13">
        <f>D189-E189</f>
        <v>0</v>
      </c>
      <c r="G189" s="21" t="s">
        <v>516</v>
      </c>
      <c r="H189" s="21" t="s">
        <v>11</v>
      </c>
      <c r="I189" s="21" t="s">
        <v>12</v>
      </c>
      <c r="J189" s="21" t="s">
        <v>13</v>
      </c>
      <c r="K189" s="40"/>
      <c r="L189" s="40"/>
      <c r="M189" s="40"/>
    </row>
    <row r="190" spans="1:13">
      <c r="A190" s="27"/>
      <c r="B190" s="21"/>
      <c r="G190" s="21"/>
      <c r="H190" s="21"/>
      <c r="I190" s="21"/>
      <c r="J190" s="21"/>
      <c r="K190" s="40"/>
      <c r="L190" s="40"/>
      <c r="M190" s="40"/>
    </row>
    <row r="191" spans="1:13">
      <c r="A191" s="4" t="s">
        <v>1219</v>
      </c>
      <c r="B191" s="21" t="s">
        <v>1027</v>
      </c>
      <c r="C191" s="21" t="s">
        <v>1026</v>
      </c>
      <c r="D191" s="13">
        <v>10</v>
      </c>
      <c r="E191" s="13">
        <v>7.7</v>
      </c>
      <c r="F191" s="13">
        <f>D191-E191</f>
        <v>2.2999999999999998</v>
      </c>
      <c r="G191" s="21" t="s">
        <v>516</v>
      </c>
      <c r="H191" s="21" t="s">
        <v>11</v>
      </c>
      <c r="I191" s="21" t="s">
        <v>19</v>
      </c>
      <c r="J191" s="21" t="s">
        <v>13</v>
      </c>
      <c r="K191" s="40">
        <v>0.33</v>
      </c>
      <c r="L191" s="40">
        <v>0.35</v>
      </c>
      <c r="M191" s="40"/>
    </row>
    <row r="192" spans="1:13">
      <c r="A192" s="4"/>
      <c r="B192" s="21" t="s">
        <v>1725</v>
      </c>
      <c r="C192" s="21" t="s">
        <v>1726</v>
      </c>
      <c r="D192" s="13">
        <v>500</v>
      </c>
      <c r="E192" s="13">
        <v>385</v>
      </c>
      <c r="F192" s="13">
        <f t="shared" ref="F192:F193" si="9">D192-E192</f>
        <v>115</v>
      </c>
      <c r="G192" s="21" t="s">
        <v>516</v>
      </c>
      <c r="H192" s="21" t="s">
        <v>11</v>
      </c>
      <c r="I192" s="21" t="s">
        <v>19</v>
      </c>
      <c r="J192" s="21" t="s">
        <v>13</v>
      </c>
      <c r="K192" s="40">
        <v>16.63</v>
      </c>
      <c r="L192" s="40">
        <v>17.5</v>
      </c>
      <c r="M192" s="40"/>
    </row>
    <row r="193" spans="1:13">
      <c r="A193" s="27"/>
      <c r="B193" s="21" t="s">
        <v>1727</v>
      </c>
      <c r="C193" s="21" t="s">
        <v>1728</v>
      </c>
      <c r="D193" s="13">
        <v>5</v>
      </c>
      <c r="E193" s="13">
        <v>3.85</v>
      </c>
      <c r="F193" s="13">
        <f t="shared" si="9"/>
        <v>1.1499999999999999</v>
      </c>
      <c r="G193" s="21" t="s">
        <v>516</v>
      </c>
      <c r="H193" s="21" t="s">
        <v>11</v>
      </c>
      <c r="I193" s="21" t="s">
        <v>19</v>
      </c>
      <c r="J193" s="21" t="s">
        <v>13</v>
      </c>
      <c r="K193" s="40">
        <v>0.17</v>
      </c>
      <c r="L193" s="40">
        <v>0.18</v>
      </c>
      <c r="M193" s="40"/>
    </row>
    <row r="194" spans="1:13">
      <c r="A194" s="27"/>
      <c r="B194" s="21"/>
      <c r="G194" s="21"/>
      <c r="H194" s="21"/>
      <c r="J194" s="21"/>
      <c r="K194" s="40"/>
      <c r="L194" s="40"/>
      <c r="M194" s="40"/>
    </row>
    <row r="195" spans="1:13">
      <c r="A195" s="27"/>
      <c r="K195" s="40"/>
      <c r="L195" s="40"/>
      <c r="M195" s="40"/>
    </row>
    <row r="196" spans="1:13">
      <c r="A196" s="27"/>
      <c r="B196" s="21" t="s">
        <v>1282</v>
      </c>
      <c r="C196" s="21" t="s">
        <v>1281</v>
      </c>
      <c r="D196" s="13">
        <v>300</v>
      </c>
      <c r="E196" s="13">
        <v>231</v>
      </c>
      <c r="F196" s="13">
        <f t="shared" si="8"/>
        <v>69</v>
      </c>
      <c r="G196" s="50" t="s">
        <v>516</v>
      </c>
      <c r="H196" s="50" t="s">
        <v>11</v>
      </c>
      <c r="I196" s="50" t="s">
        <v>19</v>
      </c>
      <c r="J196" s="50" t="s">
        <v>13</v>
      </c>
      <c r="K196" s="40">
        <v>16.63</v>
      </c>
      <c r="L196" s="40">
        <v>17.5</v>
      </c>
      <c r="M196" s="40"/>
    </row>
    <row r="197" spans="1:13">
      <c r="A197" s="27"/>
      <c r="B197" s="50"/>
      <c r="C197" s="50"/>
      <c r="G197" s="50"/>
      <c r="H197" s="50"/>
      <c r="I197" s="50"/>
      <c r="J197" s="50"/>
      <c r="K197" s="40"/>
      <c r="L197" s="40"/>
      <c r="M197" s="40"/>
    </row>
    <row r="198" spans="1:13">
      <c r="A198" s="27"/>
      <c r="C198"/>
      <c r="K198" s="40"/>
      <c r="L198" s="40"/>
      <c r="M198" s="40"/>
    </row>
    <row r="199" spans="1:13">
      <c r="A199" s="27" t="s">
        <v>752</v>
      </c>
      <c r="B199" s="3"/>
      <c r="C199" s="23" t="s">
        <v>99</v>
      </c>
      <c r="G199" s="3"/>
      <c r="K199" s="40"/>
      <c r="L199" s="40"/>
      <c r="M199" s="40"/>
    </row>
    <row r="200" spans="1:13">
      <c r="A200" s="4" t="s">
        <v>1220</v>
      </c>
      <c r="B200" t="s">
        <v>637</v>
      </c>
      <c r="C200" t="s">
        <v>636</v>
      </c>
      <c r="D200" s="13">
        <v>180</v>
      </c>
      <c r="E200" s="13">
        <v>138.6</v>
      </c>
      <c r="F200" s="13">
        <f t="shared" ref="F200:F203" si="10">D200-E200</f>
        <v>41.400000000000006</v>
      </c>
      <c r="G200" t="s">
        <v>516</v>
      </c>
      <c r="H200" t="s">
        <v>11</v>
      </c>
      <c r="I200" t="s">
        <v>12</v>
      </c>
      <c r="J200" t="s">
        <v>13</v>
      </c>
      <c r="K200" s="40">
        <v>5.9850000000000003</v>
      </c>
      <c r="L200" s="40"/>
      <c r="M200" s="40"/>
    </row>
    <row r="201" spans="1:13">
      <c r="A201" s="4" t="s">
        <v>1221</v>
      </c>
      <c r="B201" t="s">
        <v>865</v>
      </c>
      <c r="C201" t="s">
        <v>864</v>
      </c>
      <c r="D201" s="13">
        <v>180</v>
      </c>
      <c r="E201" s="13">
        <v>138.6</v>
      </c>
      <c r="F201" s="13">
        <f t="shared" si="10"/>
        <v>41.400000000000006</v>
      </c>
      <c r="G201" t="s">
        <v>516</v>
      </c>
      <c r="H201" t="s">
        <v>11</v>
      </c>
      <c r="I201" t="s">
        <v>12</v>
      </c>
      <c r="J201" t="s">
        <v>13</v>
      </c>
      <c r="K201" s="40">
        <v>5.9850000000000003</v>
      </c>
      <c r="L201" s="40"/>
      <c r="M201" s="40"/>
    </row>
    <row r="202" spans="1:13">
      <c r="B202" t="s">
        <v>639</v>
      </c>
      <c r="C202" t="s">
        <v>638</v>
      </c>
      <c r="D202" s="13">
        <v>30</v>
      </c>
      <c r="E202" s="13">
        <v>23.1</v>
      </c>
      <c r="F202" s="13">
        <f t="shared" si="10"/>
        <v>6.8999999999999986</v>
      </c>
      <c r="G202" t="s">
        <v>516</v>
      </c>
      <c r="H202" t="s">
        <v>11</v>
      </c>
      <c r="I202" t="s">
        <v>12</v>
      </c>
      <c r="J202" t="s">
        <v>13</v>
      </c>
      <c r="K202" s="40">
        <v>0.99750000000000005</v>
      </c>
      <c r="L202" s="40"/>
      <c r="M202" s="40"/>
    </row>
    <row r="203" spans="1:13">
      <c r="B203" t="s">
        <v>867</v>
      </c>
      <c r="C203" t="s">
        <v>866</v>
      </c>
      <c r="D203" s="13">
        <v>30</v>
      </c>
      <c r="E203" s="13">
        <v>23.1</v>
      </c>
      <c r="F203" s="13">
        <f t="shared" si="10"/>
        <v>6.8999999999999986</v>
      </c>
      <c r="G203" t="s">
        <v>516</v>
      </c>
      <c r="H203" t="s">
        <v>11</v>
      </c>
      <c r="I203" t="s">
        <v>12</v>
      </c>
      <c r="J203" t="s">
        <v>13</v>
      </c>
      <c r="K203" s="40">
        <v>0.99750000000000005</v>
      </c>
      <c r="L203" s="40"/>
      <c r="M203" s="40"/>
    </row>
    <row r="204" spans="1:13">
      <c r="C204"/>
      <c r="K204" s="40"/>
      <c r="L204" s="40"/>
      <c r="M204" s="40"/>
    </row>
    <row r="205" spans="1:13">
      <c r="A205" s="4" t="s">
        <v>753</v>
      </c>
      <c r="B205" t="s">
        <v>648</v>
      </c>
      <c r="C205" t="s">
        <v>647</v>
      </c>
      <c r="D205" s="13">
        <v>180</v>
      </c>
      <c r="E205" s="13">
        <v>138.6</v>
      </c>
      <c r="F205" s="13">
        <f t="shared" ref="F205:F217" si="11">D205-E205</f>
        <v>41.400000000000006</v>
      </c>
      <c r="G205" t="s">
        <v>516</v>
      </c>
      <c r="H205" t="s">
        <v>11</v>
      </c>
      <c r="I205" t="s">
        <v>12</v>
      </c>
      <c r="J205" t="s">
        <v>13</v>
      </c>
      <c r="K205" s="40">
        <v>5.9850000000000003</v>
      </c>
      <c r="L205" s="40"/>
      <c r="M205" s="40"/>
    </row>
    <row r="206" spans="1:13">
      <c r="A206" s="27"/>
      <c r="B206" t="s">
        <v>942</v>
      </c>
      <c r="C206" t="s">
        <v>941</v>
      </c>
      <c r="D206" s="13">
        <v>180</v>
      </c>
      <c r="E206" s="13">
        <v>138.6</v>
      </c>
      <c r="F206" s="13">
        <f t="shared" si="11"/>
        <v>41.400000000000006</v>
      </c>
      <c r="G206" t="s">
        <v>516</v>
      </c>
      <c r="H206" t="s">
        <v>11</v>
      </c>
      <c r="I206" t="s">
        <v>12</v>
      </c>
      <c r="J206" t="s">
        <v>13</v>
      </c>
      <c r="K206" s="40">
        <v>5.9850000000000003</v>
      </c>
      <c r="L206" s="40"/>
      <c r="M206" s="40"/>
    </row>
    <row r="207" spans="1:13">
      <c r="B207" t="s">
        <v>650</v>
      </c>
      <c r="C207" t="s">
        <v>649</v>
      </c>
      <c r="D207" s="13">
        <v>30</v>
      </c>
      <c r="E207" s="13">
        <v>23.1</v>
      </c>
      <c r="F207" s="13">
        <f t="shared" si="11"/>
        <v>6.8999999999999986</v>
      </c>
      <c r="G207" t="s">
        <v>516</v>
      </c>
      <c r="H207" t="s">
        <v>11</v>
      </c>
      <c r="I207" t="s">
        <v>12</v>
      </c>
      <c r="J207" t="s">
        <v>13</v>
      </c>
      <c r="K207" s="40">
        <v>0.99750000000000005</v>
      </c>
      <c r="L207" s="40"/>
      <c r="M207" s="40"/>
    </row>
    <row r="208" spans="1:13">
      <c r="B208" t="s">
        <v>871</v>
      </c>
      <c r="C208" t="s">
        <v>870</v>
      </c>
      <c r="D208" s="13">
        <v>30</v>
      </c>
      <c r="E208" s="13">
        <v>23.1</v>
      </c>
      <c r="F208" s="13">
        <f t="shared" si="11"/>
        <v>6.8999999999999986</v>
      </c>
      <c r="G208" t="s">
        <v>516</v>
      </c>
      <c r="H208" t="s">
        <v>11</v>
      </c>
      <c r="I208" t="s">
        <v>12</v>
      </c>
      <c r="J208" t="s">
        <v>13</v>
      </c>
      <c r="K208" s="40">
        <v>0.99750000000000005</v>
      </c>
      <c r="L208" s="40"/>
      <c r="M208" s="40"/>
    </row>
    <row r="209" spans="1:13">
      <c r="B209" t="s">
        <v>1449</v>
      </c>
      <c r="C209" t="s">
        <v>1447</v>
      </c>
      <c r="D209" s="13">
        <v>4000</v>
      </c>
      <c r="E209" s="13">
        <v>3080</v>
      </c>
      <c r="F209" s="13">
        <f t="shared" si="11"/>
        <v>920</v>
      </c>
      <c r="G209" t="s">
        <v>516</v>
      </c>
      <c r="H209" t="s">
        <v>11</v>
      </c>
      <c r="I209" t="s">
        <v>12</v>
      </c>
      <c r="J209" t="s">
        <v>13</v>
      </c>
      <c r="K209" s="40">
        <v>112</v>
      </c>
      <c r="L209" s="40"/>
      <c r="M209" s="40"/>
    </row>
    <row r="210" spans="1:13">
      <c r="B210" t="s">
        <v>1450</v>
      </c>
      <c r="C210" t="s">
        <v>1448</v>
      </c>
      <c r="D210" s="13">
        <v>4000</v>
      </c>
      <c r="E210" s="13">
        <v>3080</v>
      </c>
      <c r="F210" s="13">
        <f t="shared" si="11"/>
        <v>920</v>
      </c>
      <c r="G210" t="s">
        <v>516</v>
      </c>
      <c r="H210" t="s">
        <v>11</v>
      </c>
      <c r="I210" t="s">
        <v>12</v>
      </c>
      <c r="J210" t="s">
        <v>13</v>
      </c>
      <c r="K210" s="40">
        <v>112</v>
      </c>
      <c r="L210" s="40"/>
      <c r="M210" s="40"/>
    </row>
    <row r="211" spans="1:13">
      <c r="B211" t="s">
        <v>1891</v>
      </c>
      <c r="C211" t="s">
        <v>1889</v>
      </c>
      <c r="D211" s="13">
        <v>2000</v>
      </c>
      <c r="E211" s="13">
        <v>1540</v>
      </c>
      <c r="F211" s="13">
        <f t="shared" si="11"/>
        <v>460</v>
      </c>
      <c r="G211" t="s">
        <v>516</v>
      </c>
      <c r="H211" t="s">
        <v>11</v>
      </c>
      <c r="I211" t="s">
        <v>12</v>
      </c>
      <c r="J211" t="s">
        <v>13</v>
      </c>
      <c r="K211" s="40">
        <v>66.5</v>
      </c>
      <c r="L211" s="40"/>
      <c r="M211" s="40"/>
    </row>
    <row r="212" spans="1:13">
      <c r="B212" t="s">
        <v>1892</v>
      </c>
      <c r="C212" t="s">
        <v>1890</v>
      </c>
      <c r="D212" s="13">
        <v>2000</v>
      </c>
      <c r="E212" s="13">
        <v>1540</v>
      </c>
      <c r="F212" s="13">
        <f t="shared" si="11"/>
        <v>460</v>
      </c>
      <c r="G212" t="s">
        <v>516</v>
      </c>
      <c r="H212" t="s">
        <v>11</v>
      </c>
      <c r="I212" t="s">
        <v>12</v>
      </c>
      <c r="J212" t="s">
        <v>13</v>
      </c>
      <c r="K212" s="40">
        <v>66.5</v>
      </c>
      <c r="L212" s="40"/>
      <c r="M212" s="40"/>
    </row>
    <row r="213" spans="1:13">
      <c r="B213" t="s">
        <v>1529</v>
      </c>
      <c r="C213" t="s">
        <v>1527</v>
      </c>
      <c r="D213" s="13">
        <v>12000</v>
      </c>
      <c r="E213" s="13">
        <v>9240</v>
      </c>
      <c r="F213" s="13">
        <f t="shared" si="11"/>
        <v>2760</v>
      </c>
      <c r="G213" t="s">
        <v>516</v>
      </c>
      <c r="H213" t="s">
        <v>11</v>
      </c>
      <c r="I213" t="s">
        <v>12</v>
      </c>
      <c r="J213" t="s">
        <v>13</v>
      </c>
      <c r="K213" s="40">
        <v>336</v>
      </c>
      <c r="L213" s="40"/>
      <c r="M213" s="40"/>
    </row>
    <row r="214" spans="1:13">
      <c r="B214" t="s">
        <v>1530</v>
      </c>
      <c r="C214" t="s">
        <v>1528</v>
      </c>
      <c r="D214" s="13">
        <v>12000</v>
      </c>
      <c r="E214" s="13">
        <v>9240</v>
      </c>
      <c r="F214" s="13">
        <f t="shared" si="11"/>
        <v>2760</v>
      </c>
      <c r="G214" t="s">
        <v>516</v>
      </c>
      <c r="H214" t="s">
        <v>11</v>
      </c>
      <c r="I214" t="s">
        <v>12</v>
      </c>
      <c r="J214" t="s">
        <v>13</v>
      </c>
      <c r="K214" s="40">
        <v>336</v>
      </c>
      <c r="L214" s="40"/>
      <c r="M214" s="40"/>
    </row>
    <row r="215" spans="1:13">
      <c r="B215" t="s">
        <v>1922</v>
      </c>
      <c r="C215" t="s">
        <v>1919</v>
      </c>
      <c r="D215" s="13">
        <v>6000</v>
      </c>
      <c r="E215" s="13">
        <v>4620</v>
      </c>
      <c r="F215" s="13">
        <f t="shared" si="11"/>
        <v>1380</v>
      </c>
      <c r="G215" t="s">
        <v>516</v>
      </c>
      <c r="H215" t="s">
        <v>11</v>
      </c>
      <c r="I215" t="s">
        <v>12</v>
      </c>
      <c r="J215" t="s">
        <v>13</v>
      </c>
      <c r="K215" s="40">
        <v>199.5</v>
      </c>
      <c r="L215" s="40"/>
      <c r="M215" s="40"/>
    </row>
    <row r="216" spans="1:13">
      <c r="B216" t="s">
        <v>1923</v>
      </c>
      <c r="C216" t="s">
        <v>1920</v>
      </c>
      <c r="D216" s="13">
        <v>6000</v>
      </c>
      <c r="E216" s="13">
        <v>4620</v>
      </c>
      <c r="F216" s="13">
        <f t="shared" si="11"/>
        <v>1380</v>
      </c>
      <c r="G216" t="s">
        <v>516</v>
      </c>
      <c r="H216" t="s">
        <v>11</v>
      </c>
      <c r="I216" t="s">
        <v>12</v>
      </c>
      <c r="J216" t="s">
        <v>13</v>
      </c>
      <c r="K216" s="40">
        <v>199.5</v>
      </c>
      <c r="L216" s="40"/>
      <c r="M216" s="40"/>
    </row>
    <row r="217" spans="1:13">
      <c r="B217" t="s">
        <v>1924</v>
      </c>
      <c r="C217" t="s">
        <v>1921</v>
      </c>
      <c r="D217" s="13">
        <v>250</v>
      </c>
      <c r="E217" s="13">
        <v>192.5</v>
      </c>
      <c r="F217" s="13">
        <f t="shared" si="11"/>
        <v>57.5</v>
      </c>
      <c r="G217" t="s">
        <v>516</v>
      </c>
      <c r="H217" t="s">
        <v>11</v>
      </c>
      <c r="I217" t="s">
        <v>19</v>
      </c>
      <c r="J217" t="s">
        <v>13</v>
      </c>
      <c r="K217" s="40">
        <v>8.31</v>
      </c>
      <c r="L217" s="40"/>
      <c r="M217" s="40"/>
    </row>
    <row r="218" spans="1:13">
      <c r="C218" s="55"/>
      <c r="K218" s="40"/>
      <c r="L218" s="40"/>
      <c r="M218" s="40"/>
    </row>
    <row r="219" spans="1:13">
      <c r="A219" s="27" t="s">
        <v>1222</v>
      </c>
      <c r="B219" s="21" t="s">
        <v>666</v>
      </c>
      <c r="C219" t="s">
        <v>1012</v>
      </c>
      <c r="D219" s="52">
        <v>100</v>
      </c>
      <c r="E219" s="63">
        <v>77</v>
      </c>
      <c r="F219" s="52">
        <f t="shared" ref="F219:F224" si="12">D219-E219</f>
        <v>23</v>
      </c>
      <c r="G219" t="s">
        <v>516</v>
      </c>
      <c r="H219" t="s">
        <v>11</v>
      </c>
      <c r="I219" t="s">
        <v>19</v>
      </c>
      <c r="J219" t="s">
        <v>13</v>
      </c>
      <c r="K219" s="40">
        <v>3.33</v>
      </c>
      <c r="L219" s="40"/>
      <c r="M219" s="40"/>
    </row>
    <row r="220" spans="1:13">
      <c r="A220" s="27"/>
      <c r="B220" s="21" t="s">
        <v>2074</v>
      </c>
      <c r="C220" s="21" t="s">
        <v>2073</v>
      </c>
      <c r="D220" s="52">
        <v>100</v>
      </c>
      <c r="E220" s="63">
        <v>77</v>
      </c>
      <c r="F220" s="52">
        <f>D220-E220</f>
        <v>23</v>
      </c>
      <c r="G220" t="s">
        <v>516</v>
      </c>
      <c r="H220" t="s">
        <v>11</v>
      </c>
      <c r="I220" t="s">
        <v>19</v>
      </c>
      <c r="J220" t="s">
        <v>13</v>
      </c>
      <c r="K220" s="40">
        <v>3.33</v>
      </c>
      <c r="L220" s="40"/>
      <c r="M220" s="40"/>
    </row>
    <row r="221" spans="1:13">
      <c r="A221" s="4" t="s">
        <v>1223</v>
      </c>
      <c r="B221" s="21" t="s">
        <v>528</v>
      </c>
      <c r="C221" t="s">
        <v>1013</v>
      </c>
      <c r="D221" s="31">
        <v>50</v>
      </c>
      <c r="E221" s="64">
        <v>38.5</v>
      </c>
      <c r="F221" s="31">
        <f t="shared" si="12"/>
        <v>11.5</v>
      </c>
      <c r="G221" t="s">
        <v>516</v>
      </c>
      <c r="H221" t="s">
        <v>11</v>
      </c>
      <c r="I221" t="s">
        <v>12</v>
      </c>
      <c r="J221" t="s">
        <v>13</v>
      </c>
      <c r="K221" s="40">
        <v>1.67</v>
      </c>
      <c r="L221" s="40"/>
      <c r="M221" s="40"/>
    </row>
    <row r="222" spans="1:13">
      <c r="A222" s="27"/>
      <c r="B222" s="21" t="s">
        <v>1741</v>
      </c>
      <c r="C222" t="s">
        <v>1014</v>
      </c>
      <c r="D222" s="13">
        <v>50</v>
      </c>
      <c r="E222" s="13">
        <v>38.5</v>
      </c>
      <c r="F222" s="13">
        <f t="shared" si="12"/>
        <v>11.5</v>
      </c>
      <c r="G222" s="21" t="s">
        <v>516</v>
      </c>
      <c r="H222" s="21" t="s">
        <v>11</v>
      </c>
      <c r="I222" s="21" t="s">
        <v>12</v>
      </c>
      <c r="J222" s="21" t="s">
        <v>13</v>
      </c>
      <c r="K222" s="40">
        <v>1.67</v>
      </c>
      <c r="L222" s="40"/>
      <c r="M222" s="40"/>
    </row>
    <row r="223" spans="1:13">
      <c r="A223" s="4" t="s">
        <v>1224</v>
      </c>
      <c r="B223" s="21" t="s">
        <v>486</v>
      </c>
      <c r="C223" t="s">
        <v>485</v>
      </c>
      <c r="D223" s="13">
        <v>8</v>
      </c>
      <c r="E223" s="13">
        <v>6.6</v>
      </c>
      <c r="F223" s="13">
        <f t="shared" si="12"/>
        <v>1.4000000000000004</v>
      </c>
      <c r="G223" s="21" t="s">
        <v>516</v>
      </c>
      <c r="H223" s="21" t="s">
        <v>11</v>
      </c>
      <c r="I223" s="21" t="s">
        <v>12</v>
      </c>
      <c r="J223" s="21" t="s">
        <v>13</v>
      </c>
      <c r="K223" s="40">
        <v>0.28999999999999998</v>
      </c>
      <c r="L223" s="40"/>
      <c r="M223" s="40"/>
    </row>
    <row r="224" spans="1:13">
      <c r="A224" s="27"/>
      <c r="B224" s="21" t="s">
        <v>530</v>
      </c>
      <c r="C224" t="s">
        <v>529</v>
      </c>
      <c r="D224" s="13">
        <v>8</v>
      </c>
      <c r="E224" s="13">
        <v>6.6</v>
      </c>
      <c r="F224" s="13">
        <f t="shared" si="12"/>
        <v>1.4000000000000004</v>
      </c>
      <c r="G224" s="21" t="s">
        <v>516</v>
      </c>
      <c r="H224" s="21" t="s">
        <v>11</v>
      </c>
      <c r="I224" s="21" t="s">
        <v>12</v>
      </c>
      <c r="J224" s="21" t="s">
        <v>13</v>
      </c>
      <c r="K224" s="40">
        <v>0.28999999999999998</v>
      </c>
      <c r="L224" s="40"/>
      <c r="M224" s="40"/>
    </row>
    <row r="225" spans="1:13">
      <c r="A225" s="27"/>
      <c r="B225" s="21"/>
      <c r="C225"/>
      <c r="G225" s="21"/>
      <c r="H225" s="21"/>
      <c r="I225" s="21"/>
      <c r="J225" s="21"/>
      <c r="K225" s="40"/>
      <c r="L225" s="40"/>
      <c r="M225" s="40"/>
    </row>
    <row r="226" spans="1:13">
      <c r="A226" s="4" t="s">
        <v>1225</v>
      </c>
      <c r="B226" s="21"/>
      <c r="C226" s="23" t="s">
        <v>652</v>
      </c>
      <c r="G226" s="21"/>
      <c r="H226" s="21"/>
      <c r="I226" s="21"/>
      <c r="J226" s="21"/>
      <c r="K226" s="40"/>
      <c r="L226" s="40"/>
      <c r="M226" s="40"/>
    </row>
    <row r="227" spans="1:13">
      <c r="A227" s="27"/>
      <c r="B227" s="21" t="s">
        <v>653</v>
      </c>
      <c r="C227" s="21" t="s">
        <v>652</v>
      </c>
      <c r="D227" s="13">
        <v>65</v>
      </c>
      <c r="E227" s="13">
        <v>57.2</v>
      </c>
      <c r="F227" s="13">
        <f>D227-E227</f>
        <v>7.7999999999999972</v>
      </c>
      <c r="G227" s="21" t="s">
        <v>516</v>
      </c>
      <c r="H227" s="21" t="s">
        <v>11</v>
      </c>
      <c r="I227" s="21" t="s">
        <v>12</v>
      </c>
      <c r="J227" s="21" t="s">
        <v>13</v>
      </c>
      <c r="K227" s="40">
        <v>2.4700000000000002</v>
      </c>
      <c r="L227" s="40"/>
      <c r="M227" s="40"/>
    </row>
    <row r="228" spans="1:13">
      <c r="A228" s="27"/>
      <c r="B228" s="25" t="s">
        <v>769</v>
      </c>
      <c r="C228" t="s">
        <v>768</v>
      </c>
      <c r="D228" s="13">
        <v>0</v>
      </c>
      <c r="E228" s="13">
        <v>0</v>
      </c>
      <c r="F228" s="13">
        <v>0</v>
      </c>
      <c r="G228" s="21" t="s">
        <v>516</v>
      </c>
      <c r="H228" s="25" t="s">
        <v>11</v>
      </c>
      <c r="I228" t="s">
        <v>27</v>
      </c>
      <c r="J228" s="21" t="s">
        <v>13</v>
      </c>
      <c r="K228" s="40"/>
      <c r="L228" s="40"/>
      <c r="M228" s="40"/>
    </row>
    <row r="229" spans="1:13">
      <c r="A229" s="27"/>
      <c r="B229" s="21"/>
      <c r="G229" s="21"/>
      <c r="H229" s="21"/>
      <c r="I229" s="21"/>
      <c r="J229" s="21"/>
      <c r="K229" s="40"/>
      <c r="L229" s="40"/>
      <c r="M229" s="40"/>
    </row>
    <row r="230" spans="1:13">
      <c r="A230" s="27" t="s">
        <v>755</v>
      </c>
      <c r="C230" s="23" t="s">
        <v>100</v>
      </c>
      <c r="K230" s="40"/>
      <c r="L230" s="40"/>
      <c r="M230" s="40"/>
    </row>
    <row r="231" spans="1:13">
      <c r="A231" s="4" t="s">
        <v>1226</v>
      </c>
      <c r="B231" t="s">
        <v>101</v>
      </c>
      <c r="C231" t="s">
        <v>1015</v>
      </c>
      <c r="D231" s="13">
        <v>180</v>
      </c>
      <c r="E231" s="13">
        <v>138.6</v>
      </c>
      <c r="F231" s="13">
        <f>D231-E231</f>
        <v>41.400000000000006</v>
      </c>
      <c r="G231" t="s">
        <v>516</v>
      </c>
      <c r="H231" t="s">
        <v>11</v>
      </c>
      <c r="I231" t="s">
        <v>12</v>
      </c>
      <c r="J231" t="s">
        <v>13</v>
      </c>
      <c r="K231" s="40">
        <v>5.9850000000000003</v>
      </c>
      <c r="L231" s="40"/>
      <c r="M231" s="40"/>
    </row>
    <row r="232" spans="1:13">
      <c r="A232" s="27"/>
      <c r="B232" t="s">
        <v>868</v>
      </c>
      <c r="C232" t="s">
        <v>1016</v>
      </c>
      <c r="D232" s="13">
        <v>180</v>
      </c>
      <c r="E232" s="13">
        <v>138.6</v>
      </c>
      <c r="F232" s="13">
        <f>D232-E232</f>
        <v>41.400000000000006</v>
      </c>
      <c r="G232" t="s">
        <v>516</v>
      </c>
      <c r="H232" t="s">
        <v>11</v>
      </c>
      <c r="I232" t="s">
        <v>12</v>
      </c>
      <c r="J232" t="s">
        <v>13</v>
      </c>
      <c r="K232" s="40">
        <v>5.9850000000000003</v>
      </c>
      <c r="L232" s="40"/>
      <c r="M232" s="40"/>
    </row>
    <row r="233" spans="1:13">
      <c r="A233" s="27"/>
      <c r="C233"/>
      <c r="K233" s="40"/>
      <c r="L233" s="40"/>
      <c r="M233" s="40"/>
    </row>
    <row r="234" spans="1:13">
      <c r="A234" s="27"/>
      <c r="B234" t="s">
        <v>642</v>
      </c>
      <c r="C234" t="s">
        <v>1017</v>
      </c>
      <c r="D234" s="13">
        <v>30</v>
      </c>
      <c r="E234" s="13">
        <v>23.1</v>
      </c>
      <c r="F234" s="13">
        <f>D234-E234</f>
        <v>6.8999999999999986</v>
      </c>
      <c r="G234" t="s">
        <v>516</v>
      </c>
      <c r="H234" t="s">
        <v>11</v>
      </c>
      <c r="I234" t="s">
        <v>12</v>
      </c>
      <c r="J234" t="s">
        <v>13</v>
      </c>
      <c r="K234" s="40">
        <v>0.99750000000000005</v>
      </c>
      <c r="L234" s="40"/>
      <c r="M234" s="40"/>
    </row>
    <row r="235" spans="1:13">
      <c r="A235" s="27"/>
      <c r="B235" t="s">
        <v>869</v>
      </c>
      <c r="C235" t="s">
        <v>1018</v>
      </c>
      <c r="D235" s="13">
        <v>30</v>
      </c>
      <c r="E235" s="13">
        <v>23.1</v>
      </c>
      <c r="F235" s="13">
        <f>D235-E235</f>
        <v>6.8999999999999986</v>
      </c>
      <c r="G235" t="s">
        <v>516</v>
      </c>
      <c r="H235" t="s">
        <v>11</v>
      </c>
      <c r="I235" t="s">
        <v>12</v>
      </c>
      <c r="J235" t="s">
        <v>13</v>
      </c>
      <c r="K235" s="40">
        <v>0.99750000000000005</v>
      </c>
      <c r="L235" s="40"/>
      <c r="M235" s="40"/>
    </row>
    <row r="236" spans="1:13">
      <c r="A236" s="27"/>
      <c r="C236"/>
      <c r="K236" s="40"/>
      <c r="L236" s="40"/>
      <c r="M236" s="40"/>
    </row>
    <row r="237" spans="1:13">
      <c r="A237" s="27"/>
      <c r="B237" t="s">
        <v>1487</v>
      </c>
      <c r="C237" t="s">
        <v>1451</v>
      </c>
      <c r="D237" s="13">
        <v>4000</v>
      </c>
      <c r="E237" s="13">
        <v>3080</v>
      </c>
      <c r="F237" s="13">
        <f>D237-E237</f>
        <v>920</v>
      </c>
      <c r="G237" t="s">
        <v>516</v>
      </c>
      <c r="H237" t="s">
        <v>11</v>
      </c>
      <c r="I237" t="s">
        <v>12</v>
      </c>
      <c r="J237" t="s">
        <v>13</v>
      </c>
      <c r="K237" s="40">
        <v>112</v>
      </c>
      <c r="L237" s="40"/>
      <c r="M237" s="40"/>
    </row>
    <row r="238" spans="1:13">
      <c r="A238" s="27"/>
      <c r="B238" t="s">
        <v>1488</v>
      </c>
      <c r="C238" t="s">
        <v>1452</v>
      </c>
      <c r="D238" s="13">
        <v>500</v>
      </c>
      <c r="E238" s="13">
        <v>385</v>
      </c>
      <c r="F238" s="13">
        <f t="shared" ref="F238:F272" si="13">D238-E238</f>
        <v>115</v>
      </c>
      <c r="G238" t="s">
        <v>516</v>
      </c>
      <c r="H238" t="s">
        <v>11</v>
      </c>
      <c r="I238" t="s">
        <v>19</v>
      </c>
      <c r="J238" t="s">
        <v>13</v>
      </c>
      <c r="K238" s="40">
        <v>14</v>
      </c>
      <c r="L238" s="40"/>
      <c r="M238" s="40"/>
    </row>
    <row r="239" spans="1:13">
      <c r="A239" s="27"/>
      <c r="B239" t="s">
        <v>1489</v>
      </c>
      <c r="C239" t="s">
        <v>1453</v>
      </c>
      <c r="D239" s="13">
        <v>4000</v>
      </c>
      <c r="E239" s="13">
        <v>3080</v>
      </c>
      <c r="F239" s="13">
        <f t="shared" si="13"/>
        <v>920</v>
      </c>
      <c r="G239" t="s">
        <v>516</v>
      </c>
      <c r="H239" t="s">
        <v>11</v>
      </c>
      <c r="I239" t="s">
        <v>12</v>
      </c>
      <c r="J239" t="s">
        <v>13</v>
      </c>
      <c r="K239" s="40">
        <v>112</v>
      </c>
      <c r="L239" s="40"/>
      <c r="M239" s="40"/>
    </row>
    <row r="240" spans="1:13">
      <c r="A240" s="27"/>
      <c r="B240" t="s">
        <v>1490</v>
      </c>
      <c r="C240" t="s">
        <v>1454</v>
      </c>
      <c r="D240" s="13">
        <v>500</v>
      </c>
      <c r="E240" s="13">
        <v>385</v>
      </c>
      <c r="F240" s="13">
        <f t="shared" si="13"/>
        <v>115</v>
      </c>
      <c r="G240" t="s">
        <v>516</v>
      </c>
      <c r="H240" t="s">
        <v>11</v>
      </c>
      <c r="I240" t="s">
        <v>19</v>
      </c>
      <c r="J240" t="s">
        <v>13</v>
      </c>
      <c r="K240" s="40">
        <v>14</v>
      </c>
      <c r="L240" s="40"/>
      <c r="M240" s="40"/>
    </row>
    <row r="241" spans="1:13">
      <c r="A241" s="27"/>
      <c r="B241" t="s">
        <v>1491</v>
      </c>
      <c r="C241" t="s">
        <v>1455</v>
      </c>
      <c r="D241" s="13">
        <v>4000</v>
      </c>
      <c r="E241" s="13">
        <v>3080</v>
      </c>
      <c r="F241" s="13">
        <f t="shared" si="13"/>
        <v>920</v>
      </c>
      <c r="G241" t="s">
        <v>516</v>
      </c>
      <c r="H241" t="s">
        <v>11</v>
      </c>
      <c r="I241" t="s">
        <v>12</v>
      </c>
      <c r="J241" t="s">
        <v>13</v>
      </c>
      <c r="K241" s="40">
        <v>112</v>
      </c>
      <c r="L241" s="40"/>
      <c r="M241" s="40"/>
    </row>
    <row r="242" spans="1:13">
      <c r="A242" s="27"/>
      <c r="B242" t="s">
        <v>1492</v>
      </c>
      <c r="C242" t="s">
        <v>1456</v>
      </c>
      <c r="D242" s="13">
        <v>500</v>
      </c>
      <c r="E242" s="13">
        <v>385</v>
      </c>
      <c r="F242" s="13">
        <f t="shared" si="13"/>
        <v>115</v>
      </c>
      <c r="G242" t="s">
        <v>516</v>
      </c>
      <c r="H242" t="s">
        <v>11</v>
      </c>
      <c r="I242" t="s">
        <v>19</v>
      </c>
      <c r="J242" t="s">
        <v>13</v>
      </c>
      <c r="K242" s="40">
        <v>14</v>
      </c>
      <c r="L242" s="40"/>
      <c r="M242" s="40"/>
    </row>
    <row r="243" spans="1:13">
      <c r="A243" s="27"/>
      <c r="B243" t="s">
        <v>1493</v>
      </c>
      <c r="C243" t="s">
        <v>1457</v>
      </c>
      <c r="D243" s="13">
        <v>4000</v>
      </c>
      <c r="E243" s="13">
        <v>3080</v>
      </c>
      <c r="F243" s="13">
        <f t="shared" si="13"/>
        <v>920</v>
      </c>
      <c r="G243" t="s">
        <v>516</v>
      </c>
      <c r="H243" t="s">
        <v>11</v>
      </c>
      <c r="I243" t="s">
        <v>12</v>
      </c>
      <c r="J243" t="s">
        <v>13</v>
      </c>
      <c r="K243" s="40">
        <v>112</v>
      </c>
      <c r="L243" s="40"/>
      <c r="M243" s="40"/>
    </row>
    <row r="244" spans="1:13">
      <c r="A244" s="27"/>
      <c r="B244" t="s">
        <v>1494</v>
      </c>
      <c r="C244" t="s">
        <v>1458</v>
      </c>
      <c r="D244" s="13">
        <v>500</v>
      </c>
      <c r="E244" s="13">
        <v>385</v>
      </c>
      <c r="F244" s="13">
        <f t="shared" si="13"/>
        <v>115</v>
      </c>
      <c r="G244" t="s">
        <v>516</v>
      </c>
      <c r="H244" t="s">
        <v>11</v>
      </c>
      <c r="I244" t="s">
        <v>19</v>
      </c>
      <c r="J244" t="s">
        <v>13</v>
      </c>
      <c r="K244" s="40">
        <v>14</v>
      </c>
      <c r="L244" s="40"/>
      <c r="M244" s="40"/>
    </row>
    <row r="245" spans="1:13">
      <c r="A245" s="27"/>
      <c r="B245" t="s">
        <v>1495</v>
      </c>
      <c r="C245" t="s">
        <v>1459</v>
      </c>
      <c r="D245" s="13">
        <v>4000</v>
      </c>
      <c r="E245" s="13">
        <v>3080</v>
      </c>
      <c r="F245" s="13">
        <f t="shared" si="13"/>
        <v>920</v>
      </c>
      <c r="G245" t="s">
        <v>516</v>
      </c>
      <c r="H245" t="s">
        <v>11</v>
      </c>
      <c r="I245" t="s">
        <v>12</v>
      </c>
      <c r="J245" t="s">
        <v>13</v>
      </c>
      <c r="K245" s="40">
        <v>112</v>
      </c>
      <c r="L245" s="40"/>
      <c r="M245" s="40"/>
    </row>
    <row r="246" spans="1:13">
      <c r="A246" s="27"/>
      <c r="B246" t="s">
        <v>1496</v>
      </c>
      <c r="C246" t="s">
        <v>1460</v>
      </c>
      <c r="D246" s="13">
        <v>500</v>
      </c>
      <c r="E246" s="13">
        <v>385</v>
      </c>
      <c r="F246" s="13">
        <f t="shared" si="13"/>
        <v>115</v>
      </c>
      <c r="G246" t="s">
        <v>516</v>
      </c>
      <c r="H246" t="s">
        <v>11</v>
      </c>
      <c r="I246" t="s">
        <v>19</v>
      </c>
      <c r="J246" t="s">
        <v>13</v>
      </c>
      <c r="K246" s="40">
        <v>14</v>
      </c>
      <c r="L246" s="40"/>
      <c r="M246" s="40"/>
    </row>
    <row r="247" spans="1:13">
      <c r="A247" s="27"/>
      <c r="B247" t="s">
        <v>1497</v>
      </c>
      <c r="C247" t="s">
        <v>1461</v>
      </c>
      <c r="D247" s="13">
        <v>4000</v>
      </c>
      <c r="E247" s="13">
        <v>3080</v>
      </c>
      <c r="F247" s="13">
        <f t="shared" si="13"/>
        <v>920</v>
      </c>
      <c r="G247" t="s">
        <v>516</v>
      </c>
      <c r="H247" t="s">
        <v>11</v>
      </c>
      <c r="I247" t="s">
        <v>12</v>
      </c>
      <c r="J247" t="s">
        <v>13</v>
      </c>
      <c r="K247" s="40">
        <v>112</v>
      </c>
      <c r="L247" s="40"/>
      <c r="M247" s="40"/>
    </row>
    <row r="248" spans="1:13">
      <c r="A248" s="27"/>
      <c r="B248" t="s">
        <v>1498</v>
      </c>
      <c r="C248" t="s">
        <v>1462</v>
      </c>
      <c r="D248" s="13">
        <v>500</v>
      </c>
      <c r="E248" s="13">
        <v>385</v>
      </c>
      <c r="F248" s="13">
        <f t="shared" si="13"/>
        <v>115</v>
      </c>
      <c r="G248" t="s">
        <v>516</v>
      </c>
      <c r="H248" t="s">
        <v>11</v>
      </c>
      <c r="I248" t="s">
        <v>19</v>
      </c>
      <c r="J248" t="s">
        <v>13</v>
      </c>
      <c r="K248" s="40">
        <v>14</v>
      </c>
      <c r="L248" s="40"/>
      <c r="M248" s="40"/>
    </row>
    <row r="249" spans="1:13">
      <c r="A249" s="27"/>
      <c r="B249" t="s">
        <v>1499</v>
      </c>
      <c r="C249" t="s">
        <v>1463</v>
      </c>
      <c r="D249" s="13">
        <v>14500</v>
      </c>
      <c r="E249" s="13">
        <v>11165</v>
      </c>
      <c r="F249" s="13">
        <f t="shared" si="13"/>
        <v>3335</v>
      </c>
      <c r="G249" t="s">
        <v>516</v>
      </c>
      <c r="H249" t="s">
        <v>11</v>
      </c>
      <c r="I249" t="s">
        <v>12</v>
      </c>
      <c r="J249" t="s">
        <v>13</v>
      </c>
      <c r="K249" s="40">
        <v>406</v>
      </c>
      <c r="L249" s="40"/>
      <c r="M249" s="40"/>
    </row>
    <row r="250" spans="1:13">
      <c r="A250" s="27"/>
      <c r="B250" t="s">
        <v>1500</v>
      </c>
      <c r="C250" t="s">
        <v>1464</v>
      </c>
      <c r="D250" s="13">
        <v>500</v>
      </c>
      <c r="E250" s="13">
        <v>385</v>
      </c>
      <c r="F250" s="13">
        <f t="shared" si="13"/>
        <v>115</v>
      </c>
      <c r="G250" t="s">
        <v>516</v>
      </c>
      <c r="H250" t="s">
        <v>11</v>
      </c>
      <c r="I250" t="s">
        <v>19</v>
      </c>
      <c r="J250" t="s">
        <v>13</v>
      </c>
      <c r="K250" s="40">
        <v>14</v>
      </c>
      <c r="L250" s="40"/>
      <c r="M250" s="40"/>
    </row>
    <row r="251" spans="1:13">
      <c r="A251" s="27"/>
      <c r="B251" t="s">
        <v>1501</v>
      </c>
      <c r="C251" t="s">
        <v>1465</v>
      </c>
      <c r="D251" s="13">
        <v>14500</v>
      </c>
      <c r="E251" s="13">
        <v>11165</v>
      </c>
      <c r="F251" s="13">
        <f t="shared" si="13"/>
        <v>3335</v>
      </c>
      <c r="G251" t="s">
        <v>516</v>
      </c>
      <c r="H251" t="s">
        <v>11</v>
      </c>
      <c r="I251" t="s">
        <v>12</v>
      </c>
      <c r="J251" t="s">
        <v>13</v>
      </c>
      <c r="K251" s="40">
        <v>406</v>
      </c>
      <c r="L251" s="40"/>
      <c r="M251" s="40"/>
    </row>
    <row r="252" spans="1:13">
      <c r="A252" s="27"/>
      <c r="B252" t="s">
        <v>1502</v>
      </c>
      <c r="C252" t="s">
        <v>1466</v>
      </c>
      <c r="D252" s="13">
        <v>500</v>
      </c>
      <c r="E252" s="13">
        <v>385</v>
      </c>
      <c r="F252" s="13">
        <f t="shared" si="13"/>
        <v>115</v>
      </c>
      <c r="G252" t="s">
        <v>516</v>
      </c>
      <c r="H252" t="s">
        <v>11</v>
      </c>
      <c r="I252" t="s">
        <v>19</v>
      </c>
      <c r="J252" t="s">
        <v>13</v>
      </c>
      <c r="K252" s="40">
        <v>14</v>
      </c>
      <c r="L252" s="40"/>
      <c r="M252" s="40"/>
    </row>
    <row r="253" spans="1:13">
      <c r="A253" s="27"/>
      <c r="B253" t="s">
        <v>1503</v>
      </c>
      <c r="C253" t="s">
        <v>1467</v>
      </c>
      <c r="D253" s="13">
        <v>14500</v>
      </c>
      <c r="E253" s="13">
        <v>11165</v>
      </c>
      <c r="F253" s="13">
        <f t="shared" si="13"/>
        <v>3335</v>
      </c>
      <c r="G253" t="s">
        <v>516</v>
      </c>
      <c r="H253" t="s">
        <v>11</v>
      </c>
      <c r="I253" t="s">
        <v>12</v>
      </c>
      <c r="J253" t="s">
        <v>13</v>
      </c>
      <c r="K253" s="40">
        <v>406</v>
      </c>
      <c r="L253" s="40"/>
      <c r="M253" s="40"/>
    </row>
    <row r="254" spans="1:13">
      <c r="A254" s="27"/>
      <c r="B254" t="s">
        <v>1504</v>
      </c>
      <c r="C254" t="s">
        <v>1468</v>
      </c>
      <c r="D254" s="13">
        <v>500</v>
      </c>
      <c r="E254" s="13">
        <v>385</v>
      </c>
      <c r="F254" s="13">
        <f t="shared" si="13"/>
        <v>115</v>
      </c>
      <c r="G254" t="s">
        <v>516</v>
      </c>
      <c r="H254" t="s">
        <v>11</v>
      </c>
      <c r="I254" t="s">
        <v>19</v>
      </c>
      <c r="J254" t="s">
        <v>13</v>
      </c>
      <c r="K254" s="40">
        <v>14</v>
      </c>
      <c r="L254" s="40"/>
      <c r="M254" s="40"/>
    </row>
    <row r="255" spans="1:13">
      <c r="A255" s="27"/>
      <c r="B255" t="s">
        <v>1505</v>
      </c>
      <c r="C255" t="s">
        <v>1469</v>
      </c>
      <c r="D255" s="13">
        <v>14500</v>
      </c>
      <c r="E255" s="13">
        <v>11165</v>
      </c>
      <c r="F255" s="13">
        <f t="shared" si="13"/>
        <v>3335</v>
      </c>
      <c r="G255" t="s">
        <v>516</v>
      </c>
      <c r="H255" t="s">
        <v>11</v>
      </c>
      <c r="I255" t="s">
        <v>12</v>
      </c>
      <c r="J255" t="s">
        <v>13</v>
      </c>
      <c r="K255" s="40">
        <v>406</v>
      </c>
      <c r="L255" s="40"/>
      <c r="M255" s="40"/>
    </row>
    <row r="256" spans="1:13">
      <c r="A256" s="27"/>
      <c r="B256" t="s">
        <v>1506</v>
      </c>
      <c r="C256" t="s">
        <v>1470</v>
      </c>
      <c r="D256" s="13">
        <v>500</v>
      </c>
      <c r="E256" s="13">
        <v>385</v>
      </c>
      <c r="F256" s="13">
        <f t="shared" si="13"/>
        <v>115</v>
      </c>
      <c r="G256" t="s">
        <v>516</v>
      </c>
      <c r="H256" t="s">
        <v>11</v>
      </c>
      <c r="I256" t="s">
        <v>19</v>
      </c>
      <c r="J256" t="s">
        <v>13</v>
      </c>
      <c r="K256" s="40">
        <v>14</v>
      </c>
      <c r="L256" s="40"/>
      <c r="M256" s="40"/>
    </row>
    <row r="257" spans="1:13">
      <c r="A257" s="27"/>
      <c r="B257" t="s">
        <v>1507</v>
      </c>
      <c r="C257" t="s">
        <v>1471</v>
      </c>
      <c r="D257" s="13">
        <v>14500</v>
      </c>
      <c r="E257" s="13">
        <v>11165</v>
      </c>
      <c r="F257" s="13">
        <f t="shared" si="13"/>
        <v>3335</v>
      </c>
      <c r="G257" t="s">
        <v>516</v>
      </c>
      <c r="H257" t="s">
        <v>11</v>
      </c>
      <c r="I257" t="s">
        <v>12</v>
      </c>
      <c r="J257" t="s">
        <v>13</v>
      </c>
      <c r="K257" s="40">
        <v>406</v>
      </c>
      <c r="L257" s="40"/>
      <c r="M257" s="40"/>
    </row>
    <row r="258" spans="1:13">
      <c r="A258" s="27"/>
      <c r="B258" t="s">
        <v>1508</v>
      </c>
      <c r="C258" t="s">
        <v>1472</v>
      </c>
      <c r="D258" s="13">
        <v>500</v>
      </c>
      <c r="E258" s="13">
        <v>385</v>
      </c>
      <c r="F258" s="13">
        <f t="shared" si="13"/>
        <v>115</v>
      </c>
      <c r="G258" t="s">
        <v>516</v>
      </c>
      <c r="H258" t="s">
        <v>11</v>
      </c>
      <c r="I258" t="s">
        <v>19</v>
      </c>
      <c r="J258" t="s">
        <v>13</v>
      </c>
      <c r="K258" s="40">
        <v>14</v>
      </c>
      <c r="L258" s="40"/>
      <c r="M258" s="40"/>
    </row>
    <row r="259" spans="1:13">
      <c r="A259" s="27"/>
      <c r="B259" t="s">
        <v>1509</v>
      </c>
      <c r="C259" t="s">
        <v>1473</v>
      </c>
      <c r="D259" s="13">
        <v>14500</v>
      </c>
      <c r="E259" s="13">
        <v>11165</v>
      </c>
      <c r="F259" s="13">
        <f t="shared" si="13"/>
        <v>3335</v>
      </c>
      <c r="G259" t="s">
        <v>516</v>
      </c>
      <c r="H259" t="s">
        <v>11</v>
      </c>
      <c r="I259" t="s">
        <v>12</v>
      </c>
      <c r="J259" t="s">
        <v>13</v>
      </c>
      <c r="K259" s="40">
        <v>406</v>
      </c>
      <c r="L259" s="40"/>
      <c r="M259" s="40"/>
    </row>
    <row r="260" spans="1:13">
      <c r="A260" s="27"/>
      <c r="B260" t="s">
        <v>1510</v>
      </c>
      <c r="C260" t="s">
        <v>1474</v>
      </c>
      <c r="D260" s="13">
        <v>500</v>
      </c>
      <c r="E260" s="13">
        <v>385</v>
      </c>
      <c r="F260" s="13">
        <f t="shared" si="13"/>
        <v>115</v>
      </c>
      <c r="G260" t="s">
        <v>516</v>
      </c>
      <c r="H260" t="s">
        <v>11</v>
      </c>
      <c r="I260" t="s">
        <v>19</v>
      </c>
      <c r="J260" t="s">
        <v>13</v>
      </c>
      <c r="K260" s="40">
        <v>14</v>
      </c>
      <c r="L260" s="40"/>
      <c r="M260" s="40"/>
    </row>
    <row r="261" spans="1:13">
      <c r="A261" s="27"/>
      <c r="B261" t="s">
        <v>1511</v>
      </c>
      <c r="C261" t="s">
        <v>1475</v>
      </c>
      <c r="D261" s="13">
        <v>31000</v>
      </c>
      <c r="E261" s="13">
        <v>23870</v>
      </c>
      <c r="F261" s="13">
        <f t="shared" si="13"/>
        <v>7130</v>
      </c>
      <c r="G261" t="s">
        <v>516</v>
      </c>
      <c r="H261" t="s">
        <v>11</v>
      </c>
      <c r="I261" t="s">
        <v>12</v>
      </c>
      <c r="J261" t="s">
        <v>13</v>
      </c>
      <c r="K261" s="40">
        <v>868</v>
      </c>
      <c r="L261" s="40"/>
      <c r="M261" s="40"/>
    </row>
    <row r="262" spans="1:13">
      <c r="A262" s="27"/>
      <c r="B262" t="s">
        <v>1512</v>
      </c>
      <c r="C262" t="s">
        <v>1476</v>
      </c>
      <c r="D262" s="13">
        <v>500</v>
      </c>
      <c r="E262" s="13">
        <v>385</v>
      </c>
      <c r="F262" s="13">
        <f t="shared" si="13"/>
        <v>115</v>
      </c>
      <c r="G262" t="s">
        <v>516</v>
      </c>
      <c r="H262" t="s">
        <v>11</v>
      </c>
      <c r="I262" t="s">
        <v>19</v>
      </c>
      <c r="J262" t="s">
        <v>13</v>
      </c>
      <c r="K262" s="40">
        <v>14</v>
      </c>
      <c r="L262" s="40"/>
      <c r="M262" s="40"/>
    </row>
    <row r="263" spans="1:13">
      <c r="A263" s="27"/>
      <c r="B263" t="s">
        <v>1513</v>
      </c>
      <c r="C263" t="s">
        <v>1477</v>
      </c>
      <c r="D263" s="13">
        <v>31000</v>
      </c>
      <c r="E263" s="13">
        <v>23870</v>
      </c>
      <c r="F263" s="13">
        <f t="shared" si="13"/>
        <v>7130</v>
      </c>
      <c r="G263" t="s">
        <v>516</v>
      </c>
      <c r="H263" t="s">
        <v>11</v>
      </c>
      <c r="I263" t="s">
        <v>12</v>
      </c>
      <c r="J263" t="s">
        <v>13</v>
      </c>
      <c r="K263" s="40">
        <v>868</v>
      </c>
      <c r="L263" s="40"/>
      <c r="M263" s="40"/>
    </row>
    <row r="264" spans="1:13">
      <c r="A264" s="27"/>
      <c r="B264" t="s">
        <v>1514</v>
      </c>
      <c r="C264" t="s">
        <v>1478</v>
      </c>
      <c r="D264" s="13">
        <v>500</v>
      </c>
      <c r="E264" s="13">
        <v>385</v>
      </c>
      <c r="F264" s="13">
        <f t="shared" si="13"/>
        <v>115</v>
      </c>
      <c r="G264" t="s">
        <v>516</v>
      </c>
      <c r="H264" t="s">
        <v>11</v>
      </c>
      <c r="I264" t="s">
        <v>19</v>
      </c>
      <c r="J264" t="s">
        <v>13</v>
      </c>
      <c r="K264" s="40">
        <v>14</v>
      </c>
      <c r="L264" s="40"/>
      <c r="M264" s="40"/>
    </row>
    <row r="265" spans="1:13">
      <c r="A265" s="27"/>
      <c r="B265" t="s">
        <v>1515</v>
      </c>
      <c r="C265" t="s">
        <v>1479</v>
      </c>
      <c r="D265" s="13">
        <v>31000</v>
      </c>
      <c r="E265" s="13">
        <v>23870</v>
      </c>
      <c r="F265" s="13">
        <f t="shared" si="13"/>
        <v>7130</v>
      </c>
      <c r="G265" t="s">
        <v>516</v>
      </c>
      <c r="H265" t="s">
        <v>11</v>
      </c>
      <c r="I265" t="s">
        <v>12</v>
      </c>
      <c r="J265" t="s">
        <v>13</v>
      </c>
      <c r="K265" s="40">
        <v>868</v>
      </c>
      <c r="L265" s="40"/>
      <c r="M265" s="40"/>
    </row>
    <row r="266" spans="1:13">
      <c r="A266" s="27"/>
      <c r="B266" t="s">
        <v>1516</v>
      </c>
      <c r="C266" t="s">
        <v>1480</v>
      </c>
      <c r="D266" s="13">
        <v>500</v>
      </c>
      <c r="E266" s="13">
        <v>385</v>
      </c>
      <c r="F266" s="13">
        <f t="shared" si="13"/>
        <v>115</v>
      </c>
      <c r="G266" t="s">
        <v>516</v>
      </c>
      <c r="H266" t="s">
        <v>11</v>
      </c>
      <c r="I266" t="s">
        <v>19</v>
      </c>
      <c r="J266" t="s">
        <v>13</v>
      </c>
      <c r="K266" s="40">
        <v>14</v>
      </c>
      <c r="L266" s="40"/>
      <c r="M266" s="40"/>
    </row>
    <row r="267" spans="1:13">
      <c r="A267" s="27"/>
      <c r="B267" t="s">
        <v>1517</v>
      </c>
      <c r="C267" t="s">
        <v>1481</v>
      </c>
      <c r="D267" s="13">
        <v>31000</v>
      </c>
      <c r="E267" s="13">
        <v>23870</v>
      </c>
      <c r="F267" s="13">
        <f t="shared" si="13"/>
        <v>7130</v>
      </c>
      <c r="G267" t="s">
        <v>516</v>
      </c>
      <c r="H267" t="s">
        <v>11</v>
      </c>
      <c r="I267" t="s">
        <v>12</v>
      </c>
      <c r="J267" t="s">
        <v>13</v>
      </c>
      <c r="K267" s="40">
        <v>868</v>
      </c>
      <c r="L267" s="40"/>
      <c r="M267" s="40"/>
    </row>
    <row r="268" spans="1:13">
      <c r="A268" s="27"/>
      <c r="B268" t="s">
        <v>1518</v>
      </c>
      <c r="C268" t="s">
        <v>1482</v>
      </c>
      <c r="D268" s="13">
        <v>500</v>
      </c>
      <c r="E268" s="13">
        <v>385</v>
      </c>
      <c r="F268" s="13">
        <f t="shared" si="13"/>
        <v>115</v>
      </c>
      <c r="G268" t="s">
        <v>516</v>
      </c>
      <c r="H268" t="s">
        <v>11</v>
      </c>
      <c r="I268" t="s">
        <v>19</v>
      </c>
      <c r="J268" t="s">
        <v>13</v>
      </c>
      <c r="K268" s="40">
        <v>14</v>
      </c>
      <c r="L268" s="40"/>
      <c r="M268" s="40"/>
    </row>
    <row r="269" spans="1:13">
      <c r="A269" s="27"/>
      <c r="B269" t="s">
        <v>1519</v>
      </c>
      <c r="C269" t="s">
        <v>1483</v>
      </c>
      <c r="D269" s="13">
        <v>31000</v>
      </c>
      <c r="E269" s="13">
        <v>23870</v>
      </c>
      <c r="F269" s="13">
        <f t="shared" si="13"/>
        <v>7130</v>
      </c>
      <c r="G269" t="s">
        <v>516</v>
      </c>
      <c r="H269" t="s">
        <v>11</v>
      </c>
      <c r="I269" t="s">
        <v>12</v>
      </c>
      <c r="J269" t="s">
        <v>13</v>
      </c>
      <c r="K269" s="40">
        <v>868</v>
      </c>
      <c r="L269" s="40"/>
      <c r="M269" s="40"/>
    </row>
    <row r="270" spans="1:13">
      <c r="A270" s="27"/>
      <c r="B270" t="s">
        <v>1520</v>
      </c>
      <c r="C270" t="s">
        <v>1484</v>
      </c>
      <c r="D270" s="13">
        <v>500</v>
      </c>
      <c r="E270" s="13">
        <v>385</v>
      </c>
      <c r="F270" s="13">
        <f t="shared" si="13"/>
        <v>115</v>
      </c>
      <c r="G270" t="s">
        <v>516</v>
      </c>
      <c r="H270" t="s">
        <v>11</v>
      </c>
      <c r="I270" t="s">
        <v>19</v>
      </c>
      <c r="J270" t="s">
        <v>13</v>
      </c>
      <c r="K270" s="40">
        <v>14</v>
      </c>
      <c r="L270" s="40"/>
      <c r="M270" s="40"/>
    </row>
    <row r="271" spans="1:13">
      <c r="A271" s="27"/>
      <c r="B271" t="s">
        <v>1521</v>
      </c>
      <c r="C271" t="s">
        <v>1485</v>
      </c>
      <c r="D271" s="13">
        <v>31000</v>
      </c>
      <c r="E271" s="13">
        <v>23870</v>
      </c>
      <c r="F271" s="13">
        <f t="shared" si="13"/>
        <v>7130</v>
      </c>
      <c r="G271" t="s">
        <v>516</v>
      </c>
      <c r="H271" t="s">
        <v>11</v>
      </c>
      <c r="I271" t="s">
        <v>12</v>
      </c>
      <c r="J271" t="s">
        <v>13</v>
      </c>
      <c r="K271" s="40">
        <v>868</v>
      </c>
      <c r="L271" s="40"/>
      <c r="M271" s="40"/>
    </row>
    <row r="272" spans="1:13">
      <c r="A272" s="27"/>
      <c r="B272" t="s">
        <v>1522</v>
      </c>
      <c r="C272" t="s">
        <v>1486</v>
      </c>
      <c r="D272" s="13">
        <v>500</v>
      </c>
      <c r="E272" s="13">
        <v>385</v>
      </c>
      <c r="F272" s="13">
        <f t="shared" si="13"/>
        <v>115</v>
      </c>
      <c r="G272" t="s">
        <v>516</v>
      </c>
      <c r="H272" t="s">
        <v>11</v>
      </c>
      <c r="I272" t="s">
        <v>19</v>
      </c>
      <c r="J272" t="s">
        <v>13</v>
      </c>
      <c r="K272" s="40">
        <v>14</v>
      </c>
      <c r="L272" s="40"/>
      <c r="M272" s="40"/>
    </row>
    <row r="273" spans="1:13">
      <c r="A273" s="27"/>
      <c r="C273"/>
      <c r="K273" s="40"/>
      <c r="L273" s="40"/>
      <c r="M273" s="40"/>
    </row>
    <row r="274" spans="1:13">
      <c r="A274" s="27"/>
      <c r="B274" t="s">
        <v>1700</v>
      </c>
      <c r="C274" t="s">
        <v>1698</v>
      </c>
      <c r="D274" s="13">
        <v>300</v>
      </c>
      <c r="E274" s="13">
        <v>231</v>
      </c>
      <c r="F274" s="13">
        <f>D274-E274</f>
        <v>69</v>
      </c>
      <c r="G274" t="s">
        <v>516</v>
      </c>
      <c r="H274" t="s">
        <v>11</v>
      </c>
      <c r="I274" t="s">
        <v>12</v>
      </c>
      <c r="J274" t="s">
        <v>13</v>
      </c>
      <c r="K274" s="40">
        <v>9.98</v>
      </c>
      <c r="L274" s="40"/>
      <c r="M274" s="40"/>
    </row>
    <row r="275" spans="1:13">
      <c r="A275" s="27"/>
      <c r="B275" t="s">
        <v>1701</v>
      </c>
      <c r="C275" t="s">
        <v>1699</v>
      </c>
      <c r="D275" s="13">
        <v>300</v>
      </c>
      <c r="E275" s="13">
        <v>231</v>
      </c>
      <c r="F275" s="13">
        <f>D275-E275</f>
        <v>69</v>
      </c>
      <c r="G275" t="s">
        <v>516</v>
      </c>
      <c r="H275" t="s">
        <v>11</v>
      </c>
      <c r="I275" t="s">
        <v>12</v>
      </c>
      <c r="J275" t="s">
        <v>13</v>
      </c>
      <c r="K275" s="40">
        <v>9.98</v>
      </c>
      <c r="L275" s="40"/>
      <c r="M275" s="40"/>
    </row>
    <row r="276" spans="1:13">
      <c r="A276" s="27"/>
      <c r="C276"/>
      <c r="K276" s="40"/>
      <c r="L276" s="40"/>
      <c r="M276" s="40"/>
    </row>
    <row r="277" spans="1:13">
      <c r="A277" s="4" t="s">
        <v>123</v>
      </c>
      <c r="B277" s="3"/>
      <c r="C277" s="23" t="s">
        <v>236</v>
      </c>
      <c r="G277" s="3"/>
      <c r="K277" s="40"/>
      <c r="L277" s="40"/>
      <c r="M277" s="40"/>
    </row>
    <row r="278" spans="1:13">
      <c r="B278" s="21" t="s">
        <v>580</v>
      </c>
      <c r="C278" t="s">
        <v>773</v>
      </c>
      <c r="D278" s="13">
        <v>2</v>
      </c>
      <c r="E278" s="13">
        <v>1.54</v>
      </c>
      <c r="F278" s="13">
        <f t="shared" ref="F278:F288" si="14">D278-E278</f>
        <v>0.45999999999999996</v>
      </c>
      <c r="G278" s="21" t="s">
        <v>516</v>
      </c>
      <c r="H278" s="21" t="s">
        <v>11</v>
      </c>
      <c r="I278" s="21" t="s">
        <v>12</v>
      </c>
      <c r="J278" s="21" t="s">
        <v>13</v>
      </c>
      <c r="K278" s="40">
        <v>7.0000000000000007E-2</v>
      </c>
      <c r="L278" s="40"/>
      <c r="M278" s="40"/>
    </row>
    <row r="279" spans="1:13">
      <c r="B279" t="s">
        <v>578</v>
      </c>
      <c r="C279" t="s">
        <v>771</v>
      </c>
      <c r="D279" s="13">
        <v>40</v>
      </c>
      <c r="E279" s="13">
        <v>30.8</v>
      </c>
      <c r="F279" s="13">
        <f t="shared" si="14"/>
        <v>9.1999999999999993</v>
      </c>
      <c r="G279" s="21" t="s">
        <v>516</v>
      </c>
      <c r="H279" s="21" t="s">
        <v>11</v>
      </c>
      <c r="I279" s="21" t="s">
        <v>12</v>
      </c>
      <c r="J279" s="21" t="s">
        <v>13</v>
      </c>
      <c r="K279" s="40">
        <v>1.33</v>
      </c>
      <c r="L279" s="40"/>
      <c r="M279" s="40"/>
    </row>
    <row r="280" spans="1:13">
      <c r="A280" t="s">
        <v>527</v>
      </c>
      <c r="B280" t="s">
        <v>406</v>
      </c>
      <c r="C280" t="s">
        <v>776</v>
      </c>
      <c r="D280" s="13">
        <v>1350</v>
      </c>
      <c r="E280" s="13">
        <v>1039.5</v>
      </c>
      <c r="F280" s="13">
        <f t="shared" si="14"/>
        <v>310.5</v>
      </c>
      <c r="G280" t="s">
        <v>516</v>
      </c>
      <c r="H280" t="s">
        <v>11</v>
      </c>
      <c r="I280" t="s">
        <v>19</v>
      </c>
      <c r="J280" t="s">
        <v>13</v>
      </c>
      <c r="K280" s="40">
        <v>44.89</v>
      </c>
      <c r="L280" s="40"/>
      <c r="M280" s="40"/>
    </row>
    <row r="281" spans="1:13">
      <c r="B281" t="s">
        <v>875</v>
      </c>
      <c r="C281" t="s">
        <v>874</v>
      </c>
      <c r="D281" s="13">
        <v>1350</v>
      </c>
      <c r="E281" s="13">
        <v>1039.5</v>
      </c>
      <c r="F281" s="13">
        <f t="shared" si="14"/>
        <v>310.5</v>
      </c>
      <c r="G281" t="s">
        <v>516</v>
      </c>
      <c r="H281" t="s">
        <v>11</v>
      </c>
      <c r="I281" t="s">
        <v>19</v>
      </c>
      <c r="J281" t="s">
        <v>13</v>
      </c>
      <c r="K281" s="40">
        <v>44.89</v>
      </c>
      <c r="L281" s="40"/>
      <c r="M281" s="40"/>
    </row>
    <row r="282" spans="1:13">
      <c r="B282" t="s">
        <v>407</v>
      </c>
      <c r="C282" t="s">
        <v>777</v>
      </c>
      <c r="D282" s="13">
        <v>4050</v>
      </c>
      <c r="E282" s="13">
        <v>3118.5</v>
      </c>
      <c r="F282" s="13">
        <f t="shared" si="14"/>
        <v>931.5</v>
      </c>
      <c r="G282" t="s">
        <v>516</v>
      </c>
      <c r="H282" t="s">
        <v>11</v>
      </c>
      <c r="I282" t="s">
        <v>19</v>
      </c>
      <c r="J282" t="s">
        <v>13</v>
      </c>
      <c r="K282" s="40">
        <v>134.66</v>
      </c>
      <c r="L282" s="40"/>
      <c r="M282" s="40"/>
    </row>
    <row r="283" spans="1:13">
      <c r="B283" t="s">
        <v>877</v>
      </c>
      <c r="C283" t="s">
        <v>876</v>
      </c>
      <c r="D283" s="13">
        <v>4050</v>
      </c>
      <c r="E283" s="13">
        <v>3118.5</v>
      </c>
      <c r="F283" s="13">
        <f t="shared" si="14"/>
        <v>931.5</v>
      </c>
      <c r="G283" t="s">
        <v>516</v>
      </c>
      <c r="H283" t="s">
        <v>11</v>
      </c>
      <c r="I283" t="s">
        <v>19</v>
      </c>
      <c r="J283" t="s">
        <v>13</v>
      </c>
      <c r="K283" s="40">
        <v>134.66</v>
      </c>
      <c r="L283" s="40"/>
      <c r="M283" s="40"/>
    </row>
    <row r="284" spans="1:13">
      <c r="B284" t="s">
        <v>408</v>
      </c>
      <c r="C284" t="s">
        <v>778</v>
      </c>
      <c r="D284" s="13">
        <v>7900</v>
      </c>
      <c r="E284" s="13">
        <v>6083</v>
      </c>
      <c r="F284" s="13">
        <f t="shared" si="14"/>
        <v>1817</v>
      </c>
      <c r="G284" t="s">
        <v>516</v>
      </c>
      <c r="H284" t="s">
        <v>11</v>
      </c>
      <c r="I284" t="s">
        <v>19</v>
      </c>
      <c r="J284" t="s">
        <v>13</v>
      </c>
      <c r="K284" s="40">
        <v>262.68</v>
      </c>
      <c r="L284" s="40"/>
      <c r="M284" s="40"/>
    </row>
    <row r="285" spans="1:13">
      <c r="B285" t="s">
        <v>879</v>
      </c>
      <c r="C285" t="s">
        <v>878</v>
      </c>
      <c r="D285" s="13">
        <v>7900</v>
      </c>
      <c r="E285" s="13">
        <v>6083</v>
      </c>
      <c r="F285" s="13">
        <f t="shared" si="14"/>
        <v>1817</v>
      </c>
      <c r="G285" t="s">
        <v>516</v>
      </c>
      <c r="H285" t="s">
        <v>11</v>
      </c>
      <c r="I285" t="s">
        <v>19</v>
      </c>
      <c r="J285" t="s">
        <v>13</v>
      </c>
      <c r="K285" s="40">
        <v>262.68</v>
      </c>
      <c r="L285" s="40"/>
      <c r="M285" s="40"/>
    </row>
    <row r="286" spans="1:13">
      <c r="B286" t="s">
        <v>409</v>
      </c>
      <c r="C286" t="s">
        <v>779</v>
      </c>
      <c r="D286" s="13">
        <v>12000</v>
      </c>
      <c r="E286" s="13">
        <v>9240</v>
      </c>
      <c r="F286" s="13">
        <f t="shared" si="14"/>
        <v>2760</v>
      </c>
      <c r="G286" t="s">
        <v>516</v>
      </c>
      <c r="H286" t="s">
        <v>11</v>
      </c>
      <c r="I286" t="s">
        <v>19</v>
      </c>
      <c r="J286" t="s">
        <v>13</v>
      </c>
      <c r="K286" s="40">
        <v>399</v>
      </c>
      <c r="L286" s="40"/>
      <c r="M286" s="40"/>
    </row>
    <row r="287" spans="1:13">
      <c r="B287" t="s">
        <v>881</v>
      </c>
      <c r="C287" t="s">
        <v>880</v>
      </c>
      <c r="D287" s="13">
        <v>12000</v>
      </c>
      <c r="E287" s="13">
        <v>9240</v>
      </c>
      <c r="F287" s="13">
        <f t="shared" si="14"/>
        <v>2760</v>
      </c>
      <c r="G287" t="s">
        <v>516</v>
      </c>
      <c r="H287" t="s">
        <v>11</v>
      </c>
      <c r="I287" t="s">
        <v>19</v>
      </c>
      <c r="J287" t="s">
        <v>13</v>
      </c>
      <c r="K287" s="40">
        <v>399</v>
      </c>
      <c r="L287" s="40"/>
      <c r="M287" s="40"/>
    </row>
    <row r="288" spans="1:13">
      <c r="B288" s="53" t="s">
        <v>1353</v>
      </c>
      <c r="C288" s="53" t="s">
        <v>587</v>
      </c>
      <c r="D288" s="13">
        <v>9</v>
      </c>
      <c r="E288" s="13">
        <v>6.93</v>
      </c>
      <c r="F288" s="13">
        <f t="shared" si="14"/>
        <v>2.0700000000000003</v>
      </c>
      <c r="G288" s="21" t="s">
        <v>516</v>
      </c>
      <c r="H288" s="21" t="s">
        <v>11</v>
      </c>
      <c r="I288" s="21" t="s">
        <v>12</v>
      </c>
      <c r="J288" s="21" t="s">
        <v>13</v>
      </c>
      <c r="K288" s="40">
        <v>0.3</v>
      </c>
      <c r="L288" s="40"/>
      <c r="M288" s="40"/>
    </row>
    <row r="289" spans="1:13">
      <c r="C289"/>
      <c r="K289" s="40"/>
      <c r="L289" s="40"/>
      <c r="M289" s="40"/>
    </row>
    <row r="290" spans="1:13">
      <c r="A290" s="27" t="s">
        <v>150</v>
      </c>
      <c r="B290" s="21"/>
      <c r="C290" s="24" t="s">
        <v>103</v>
      </c>
      <c r="K290" s="40"/>
      <c r="L290" s="40"/>
      <c r="M290" s="40"/>
    </row>
    <row r="291" spans="1:13">
      <c r="A291" s="4" t="s">
        <v>1227</v>
      </c>
      <c r="B291" s="21" t="s">
        <v>105</v>
      </c>
      <c r="C291" t="s">
        <v>554</v>
      </c>
      <c r="D291" s="13">
        <v>95</v>
      </c>
      <c r="E291" s="13">
        <v>78.430000000000007</v>
      </c>
      <c r="F291" s="13">
        <f>D291-E291</f>
        <v>16.569999999999993</v>
      </c>
      <c r="G291" t="s">
        <v>516</v>
      </c>
      <c r="H291" t="s">
        <v>11</v>
      </c>
      <c r="I291" t="s">
        <v>12</v>
      </c>
      <c r="J291" t="s">
        <v>13</v>
      </c>
      <c r="K291" s="40">
        <v>3.39</v>
      </c>
      <c r="L291" s="40"/>
      <c r="M291" s="40"/>
    </row>
    <row r="292" spans="1:13">
      <c r="A292" s="4" t="s">
        <v>1227</v>
      </c>
      <c r="B292" s="21" t="s">
        <v>944</v>
      </c>
      <c r="C292" t="s">
        <v>943</v>
      </c>
      <c r="D292" s="13">
        <v>95</v>
      </c>
      <c r="E292" s="13">
        <v>78.430000000000007</v>
      </c>
      <c r="F292" s="13">
        <f t="shared" ref="F292" si="15">D292-E292</f>
        <v>16.569999999999993</v>
      </c>
      <c r="G292" t="s">
        <v>516</v>
      </c>
      <c r="H292" t="s">
        <v>11</v>
      </c>
      <c r="I292" t="s">
        <v>12</v>
      </c>
      <c r="J292" t="s">
        <v>13</v>
      </c>
      <c r="K292" s="40">
        <v>3.39</v>
      </c>
      <c r="L292" s="40"/>
      <c r="M292" s="40"/>
    </row>
    <row r="293" spans="1:13">
      <c r="A293" s="27" t="s">
        <v>1131</v>
      </c>
      <c r="B293" s="21" t="s">
        <v>106</v>
      </c>
      <c r="C293" t="s">
        <v>555</v>
      </c>
      <c r="D293" s="13">
        <v>145</v>
      </c>
      <c r="E293" s="13">
        <v>119.57</v>
      </c>
      <c r="F293" s="13">
        <f>D293-E293</f>
        <v>25.430000000000007</v>
      </c>
      <c r="G293" t="s">
        <v>516</v>
      </c>
      <c r="H293" t="s">
        <v>11</v>
      </c>
      <c r="I293" t="s">
        <v>12</v>
      </c>
      <c r="J293" t="s">
        <v>13</v>
      </c>
      <c r="K293" s="40">
        <v>5.16</v>
      </c>
      <c r="L293" s="40"/>
      <c r="M293" s="40"/>
    </row>
    <row r="294" spans="1:13">
      <c r="A294" s="27"/>
      <c r="B294" s="21" t="s">
        <v>946</v>
      </c>
      <c r="C294" t="s">
        <v>945</v>
      </c>
      <c r="D294" s="13">
        <v>145</v>
      </c>
      <c r="E294" s="13">
        <v>119.57000000000001</v>
      </c>
      <c r="F294" s="13">
        <f t="shared" ref="F294" si="16">D294-E294</f>
        <v>25.429999999999993</v>
      </c>
      <c r="G294" t="s">
        <v>516</v>
      </c>
      <c r="H294" t="s">
        <v>11</v>
      </c>
      <c r="I294" t="s">
        <v>12</v>
      </c>
      <c r="J294" t="s">
        <v>13</v>
      </c>
      <c r="K294" s="40">
        <v>5.16</v>
      </c>
      <c r="L294" s="40"/>
      <c r="M294" s="40"/>
    </row>
    <row r="295" spans="1:13">
      <c r="A295" s="4" t="s">
        <v>1227</v>
      </c>
      <c r="B295" s="21" t="s">
        <v>498</v>
      </c>
      <c r="C295" t="s">
        <v>770</v>
      </c>
      <c r="D295" s="13">
        <v>50</v>
      </c>
      <c r="E295" s="13">
        <v>41.25</v>
      </c>
      <c r="F295" s="13">
        <f>D295-E295</f>
        <v>8.75</v>
      </c>
      <c r="G295" t="s">
        <v>516</v>
      </c>
      <c r="H295" t="s">
        <v>11</v>
      </c>
      <c r="I295" t="s">
        <v>12</v>
      </c>
      <c r="J295" t="s">
        <v>13</v>
      </c>
      <c r="K295" s="40">
        <v>1.78</v>
      </c>
      <c r="L295" s="40"/>
      <c r="M295" s="40"/>
    </row>
    <row r="296" spans="1:13">
      <c r="A296" s="27" t="s">
        <v>754</v>
      </c>
      <c r="B296" s="21" t="s">
        <v>515</v>
      </c>
      <c r="C296" t="s">
        <v>104</v>
      </c>
      <c r="D296" s="13">
        <v>65</v>
      </c>
      <c r="E296" s="13">
        <v>53.68</v>
      </c>
      <c r="F296" s="13">
        <f>D296-E296</f>
        <v>11.32</v>
      </c>
      <c r="G296" t="s">
        <v>516</v>
      </c>
      <c r="H296" t="s">
        <v>11</v>
      </c>
      <c r="I296" t="s">
        <v>12</v>
      </c>
      <c r="J296" t="s">
        <v>13</v>
      </c>
      <c r="K296" s="40">
        <v>2.3199999999999998</v>
      </c>
      <c r="L296" s="40"/>
      <c r="M296" s="40"/>
    </row>
    <row r="297" spans="1:13">
      <c r="A297" s="27"/>
      <c r="B297" s="21" t="s">
        <v>948</v>
      </c>
      <c r="C297" t="s">
        <v>947</v>
      </c>
      <c r="D297" s="13">
        <v>65</v>
      </c>
      <c r="E297" s="13">
        <v>53.68</v>
      </c>
      <c r="F297" s="13">
        <f t="shared" ref="F297:F298" si="17">D297-E297</f>
        <v>11.32</v>
      </c>
      <c r="G297" t="s">
        <v>516</v>
      </c>
      <c r="H297" t="s">
        <v>11</v>
      </c>
      <c r="I297" t="s">
        <v>12</v>
      </c>
      <c r="J297" t="s">
        <v>13</v>
      </c>
      <c r="K297" s="40">
        <v>2.3199999999999998</v>
      </c>
      <c r="L297" s="40"/>
      <c r="M297" s="40"/>
    </row>
    <row r="298" spans="1:13">
      <c r="A298" s="4" t="s">
        <v>150</v>
      </c>
      <c r="B298" s="21" t="s">
        <v>1136</v>
      </c>
      <c r="C298" t="s">
        <v>1135</v>
      </c>
      <c r="D298" s="13">
        <v>135</v>
      </c>
      <c r="E298" s="13">
        <v>111.43</v>
      </c>
      <c r="F298" s="13">
        <f t="shared" si="17"/>
        <v>23.569999999999993</v>
      </c>
      <c r="G298" t="s">
        <v>516</v>
      </c>
      <c r="H298" t="s">
        <v>11</v>
      </c>
      <c r="I298" t="s">
        <v>12</v>
      </c>
      <c r="J298" t="s">
        <v>13</v>
      </c>
      <c r="K298" s="40">
        <v>4.8099999999999996</v>
      </c>
      <c r="L298" s="40"/>
      <c r="M298" s="40"/>
    </row>
    <row r="299" spans="1:13">
      <c r="A299" s="27"/>
      <c r="C299"/>
      <c r="K299" s="40"/>
      <c r="L299" s="40"/>
      <c r="M299" s="40"/>
    </row>
    <row r="300" spans="1:13">
      <c r="A300" s="4" t="s">
        <v>1224</v>
      </c>
      <c r="B300" s="21" t="s">
        <v>486</v>
      </c>
      <c r="C300" t="s">
        <v>485</v>
      </c>
      <c r="D300" s="13">
        <v>8</v>
      </c>
      <c r="E300" s="13">
        <v>6.6</v>
      </c>
      <c r="F300" s="13">
        <f>D300-E300</f>
        <v>1.4000000000000004</v>
      </c>
      <c r="G300" s="21" t="s">
        <v>516</v>
      </c>
      <c r="H300" s="21" t="s">
        <v>11</v>
      </c>
      <c r="I300" s="21" t="s">
        <v>12</v>
      </c>
      <c r="J300" s="21" t="s">
        <v>13</v>
      </c>
      <c r="K300" s="40">
        <v>0.28999999999999998</v>
      </c>
      <c r="L300" s="40"/>
      <c r="M300" s="40"/>
    </row>
    <row r="301" spans="1:13">
      <c r="A301" s="27"/>
      <c r="B301" s="21" t="s">
        <v>530</v>
      </c>
      <c r="C301" t="s">
        <v>529</v>
      </c>
      <c r="D301" s="13">
        <v>8</v>
      </c>
      <c r="E301" s="13">
        <v>6.6</v>
      </c>
      <c r="F301" s="13">
        <f>D301-E301</f>
        <v>1.4000000000000004</v>
      </c>
      <c r="G301" s="21" t="s">
        <v>516</v>
      </c>
      <c r="H301" s="21" t="s">
        <v>11</v>
      </c>
      <c r="I301" s="21" t="s">
        <v>12</v>
      </c>
      <c r="J301" s="21" t="s">
        <v>13</v>
      </c>
      <c r="K301" s="40">
        <v>0.28999999999999998</v>
      </c>
      <c r="L301" s="40"/>
      <c r="M301" s="40"/>
    </row>
    <row r="302" spans="1:13">
      <c r="A302" s="27"/>
      <c r="B302" s="21"/>
      <c r="C302"/>
      <c r="G302" s="21"/>
      <c r="H302" s="21"/>
      <c r="I302" s="21"/>
      <c r="J302" s="21"/>
      <c r="K302" s="40"/>
      <c r="L302" s="40"/>
      <c r="M302" s="40"/>
    </row>
    <row r="303" spans="1:13">
      <c r="A303" s="4" t="s">
        <v>1228</v>
      </c>
      <c r="B303" s="33" t="s">
        <v>644</v>
      </c>
      <c r="C303" s="33" t="s">
        <v>643</v>
      </c>
      <c r="D303" s="13">
        <v>20</v>
      </c>
      <c r="E303" s="13">
        <v>16.5</v>
      </c>
      <c r="F303" s="13">
        <f t="shared" ref="F303:F305" si="18">D303-E303</f>
        <v>3.5</v>
      </c>
      <c r="G303" s="33" t="s">
        <v>516</v>
      </c>
      <c r="H303" s="33" t="s">
        <v>11</v>
      </c>
      <c r="I303" s="33" t="s">
        <v>12</v>
      </c>
      <c r="J303" s="33" t="s">
        <v>13</v>
      </c>
      <c r="K303" s="40">
        <v>2.14</v>
      </c>
      <c r="L303" s="40"/>
      <c r="M303" s="40"/>
    </row>
    <row r="304" spans="1:13">
      <c r="A304" s="27"/>
      <c r="B304" s="33" t="s">
        <v>950</v>
      </c>
      <c r="C304" s="33" t="s">
        <v>949</v>
      </c>
      <c r="D304" s="13">
        <v>20</v>
      </c>
      <c r="E304" s="13">
        <v>16.5</v>
      </c>
      <c r="F304" s="13">
        <f>D304-E304</f>
        <v>3.5</v>
      </c>
      <c r="G304" t="s">
        <v>516</v>
      </c>
      <c r="H304" t="s">
        <v>11</v>
      </c>
      <c r="I304" t="s">
        <v>12</v>
      </c>
      <c r="J304" t="s">
        <v>13</v>
      </c>
      <c r="K304" s="40">
        <v>2.14</v>
      </c>
      <c r="L304" s="40"/>
      <c r="M304" s="40"/>
    </row>
    <row r="305" spans="1:13">
      <c r="A305" s="4" t="s">
        <v>1228</v>
      </c>
      <c r="B305" s="33" t="s">
        <v>646</v>
      </c>
      <c r="C305" s="33" t="s">
        <v>645</v>
      </c>
      <c r="D305" s="13">
        <v>20</v>
      </c>
      <c r="E305" s="13">
        <v>16.5</v>
      </c>
      <c r="F305" s="13">
        <f t="shared" si="18"/>
        <v>3.5</v>
      </c>
      <c r="G305" s="33" t="s">
        <v>516</v>
      </c>
      <c r="H305" s="33" t="s">
        <v>11</v>
      </c>
      <c r="I305" s="33" t="s">
        <v>12</v>
      </c>
      <c r="J305" s="33" t="s">
        <v>13</v>
      </c>
      <c r="K305" s="40">
        <v>0.72</v>
      </c>
      <c r="L305" s="40"/>
      <c r="M305" s="40"/>
    </row>
    <row r="306" spans="1:13">
      <c r="A306" s="4"/>
      <c r="B306" s="33" t="s">
        <v>952</v>
      </c>
      <c r="C306" s="33" t="s">
        <v>951</v>
      </c>
      <c r="D306" s="13">
        <v>20</v>
      </c>
      <c r="E306" s="13">
        <v>16.5</v>
      </c>
      <c r="F306" s="13">
        <f>D306-E306</f>
        <v>3.5</v>
      </c>
      <c r="G306" t="s">
        <v>516</v>
      </c>
      <c r="H306" t="s">
        <v>11</v>
      </c>
      <c r="I306" t="s">
        <v>12</v>
      </c>
      <c r="J306" t="s">
        <v>13</v>
      </c>
      <c r="K306" s="40">
        <v>0.72</v>
      </c>
      <c r="L306" s="40"/>
      <c r="M306" s="40"/>
    </row>
    <row r="307" spans="1:13">
      <c r="A307" s="27"/>
      <c r="B307" s="33"/>
      <c r="C307" s="33"/>
      <c r="G307" s="33"/>
      <c r="H307" s="33"/>
      <c r="I307" s="33"/>
      <c r="J307" s="33"/>
      <c r="K307" s="40"/>
      <c r="L307" s="40"/>
      <c r="M307" s="40"/>
    </row>
    <row r="308" spans="1:13">
      <c r="A308" s="27" t="s">
        <v>151</v>
      </c>
      <c r="B308" s="33"/>
      <c r="C308" s="23" t="s">
        <v>629</v>
      </c>
      <c r="G308" s="3"/>
      <c r="K308" s="40"/>
      <c r="L308" s="40"/>
      <c r="M308" s="40"/>
    </row>
    <row r="309" spans="1:13">
      <c r="A309" s="27"/>
      <c r="B309" t="s">
        <v>108</v>
      </c>
      <c r="C309" t="s">
        <v>107</v>
      </c>
      <c r="D309" s="13">
        <v>1500</v>
      </c>
      <c r="E309" s="13">
        <v>1237.5</v>
      </c>
      <c r="F309" s="13">
        <f t="shared" ref="F309:F317" si="19">D309-E309</f>
        <v>262.5</v>
      </c>
      <c r="G309" t="s">
        <v>516</v>
      </c>
      <c r="H309" t="s">
        <v>11</v>
      </c>
      <c r="I309" t="s">
        <v>12</v>
      </c>
      <c r="J309" t="s">
        <v>13</v>
      </c>
      <c r="K309" s="40">
        <v>53.44</v>
      </c>
      <c r="L309" s="40"/>
      <c r="M309" s="40"/>
    </row>
    <row r="310" spans="1:13">
      <c r="A310" s="27"/>
      <c r="B310" t="s">
        <v>109</v>
      </c>
      <c r="C310" t="s">
        <v>556</v>
      </c>
      <c r="D310" s="13">
        <v>250</v>
      </c>
      <c r="E310" s="13">
        <v>206.25</v>
      </c>
      <c r="F310" s="13">
        <f t="shared" si="19"/>
        <v>43.75</v>
      </c>
      <c r="G310" t="s">
        <v>516</v>
      </c>
      <c r="H310" t="s">
        <v>11</v>
      </c>
      <c r="I310" t="s">
        <v>19</v>
      </c>
      <c r="J310" t="s">
        <v>13</v>
      </c>
      <c r="K310" s="40">
        <v>8.90625</v>
      </c>
      <c r="L310" s="40"/>
      <c r="M310" s="40"/>
    </row>
    <row r="311" spans="1:13">
      <c r="B311" t="s">
        <v>111</v>
      </c>
      <c r="C311" t="s">
        <v>110</v>
      </c>
      <c r="D311" s="13">
        <v>750</v>
      </c>
      <c r="E311" s="13">
        <v>618.75</v>
      </c>
      <c r="F311" s="13">
        <f t="shared" si="19"/>
        <v>131.25</v>
      </c>
      <c r="G311" t="s">
        <v>516</v>
      </c>
      <c r="H311" t="s">
        <v>11</v>
      </c>
      <c r="I311" t="s">
        <v>12</v>
      </c>
      <c r="J311" t="s">
        <v>13</v>
      </c>
      <c r="K311" s="40">
        <v>26.71875</v>
      </c>
      <c r="L311" s="40"/>
      <c r="M311" s="40"/>
    </row>
    <row r="312" spans="1:13">
      <c r="B312" t="s">
        <v>426</v>
      </c>
      <c r="C312" t="s">
        <v>767</v>
      </c>
      <c r="D312" s="13">
        <v>500</v>
      </c>
      <c r="E312" s="13">
        <v>412.5</v>
      </c>
      <c r="F312" s="13">
        <f t="shared" si="19"/>
        <v>87.5</v>
      </c>
      <c r="G312" t="s">
        <v>516</v>
      </c>
      <c r="H312" t="s">
        <v>11</v>
      </c>
      <c r="I312" t="s">
        <v>19</v>
      </c>
      <c r="J312" t="s">
        <v>13</v>
      </c>
      <c r="K312" s="40">
        <v>17.8125</v>
      </c>
      <c r="L312" s="40"/>
      <c r="M312" s="40"/>
    </row>
    <row r="313" spans="1:13">
      <c r="B313" t="s">
        <v>427</v>
      </c>
      <c r="C313" t="s">
        <v>557</v>
      </c>
      <c r="D313" s="13">
        <v>600</v>
      </c>
      <c r="E313" s="13">
        <v>495</v>
      </c>
      <c r="F313" s="13">
        <f t="shared" si="19"/>
        <v>105</v>
      </c>
      <c r="G313" t="s">
        <v>516</v>
      </c>
      <c r="H313" t="s">
        <v>11</v>
      </c>
      <c r="I313" t="s">
        <v>19</v>
      </c>
      <c r="J313" t="s">
        <v>13</v>
      </c>
      <c r="K313" s="40">
        <v>27</v>
      </c>
      <c r="L313" s="40"/>
      <c r="M313" s="40"/>
    </row>
    <row r="314" spans="1:13">
      <c r="B314" t="s">
        <v>476</v>
      </c>
      <c r="C314" t="s">
        <v>475</v>
      </c>
      <c r="D314" s="13">
        <v>1500</v>
      </c>
      <c r="E314" s="13">
        <v>1237.5</v>
      </c>
      <c r="F314" s="13">
        <f t="shared" si="19"/>
        <v>262.5</v>
      </c>
      <c r="G314" t="s">
        <v>516</v>
      </c>
      <c r="H314" t="s">
        <v>11</v>
      </c>
      <c r="I314" t="s">
        <v>19</v>
      </c>
      <c r="J314" t="s">
        <v>13</v>
      </c>
      <c r="K314" s="40">
        <v>53.44</v>
      </c>
      <c r="L314" s="40"/>
      <c r="M314" s="40"/>
    </row>
    <row r="315" spans="1:13">
      <c r="B315" t="s">
        <v>478</v>
      </c>
      <c r="C315" t="s">
        <v>477</v>
      </c>
      <c r="D315" s="13">
        <v>1250</v>
      </c>
      <c r="E315" s="13">
        <v>1031.25</v>
      </c>
      <c r="F315" s="13">
        <f t="shared" si="19"/>
        <v>218.75</v>
      </c>
      <c r="G315" t="s">
        <v>516</v>
      </c>
      <c r="H315" t="s">
        <v>11</v>
      </c>
      <c r="I315" t="s">
        <v>19</v>
      </c>
      <c r="J315" t="s">
        <v>13</v>
      </c>
      <c r="K315" s="40">
        <v>44.53125</v>
      </c>
      <c r="L315" s="40"/>
      <c r="M315" s="40"/>
    </row>
    <row r="316" spans="1:13">
      <c r="B316" t="s">
        <v>480</v>
      </c>
      <c r="C316" t="s">
        <v>479</v>
      </c>
      <c r="D316" s="13">
        <v>750</v>
      </c>
      <c r="E316" s="13">
        <v>618.75</v>
      </c>
      <c r="F316" s="13">
        <f t="shared" si="19"/>
        <v>131.25</v>
      </c>
      <c r="G316" t="s">
        <v>516</v>
      </c>
      <c r="H316" t="s">
        <v>11</v>
      </c>
      <c r="I316" t="s">
        <v>12</v>
      </c>
      <c r="J316" t="s">
        <v>13</v>
      </c>
      <c r="K316" s="40">
        <v>26.71875</v>
      </c>
      <c r="L316" s="40"/>
      <c r="M316" s="40"/>
    </row>
    <row r="317" spans="1:13">
      <c r="B317" t="s">
        <v>482</v>
      </c>
      <c r="C317" t="s">
        <v>481</v>
      </c>
      <c r="D317" s="13">
        <v>500</v>
      </c>
      <c r="E317" s="13">
        <v>412.5</v>
      </c>
      <c r="F317" s="13">
        <f t="shared" si="19"/>
        <v>87.5</v>
      </c>
      <c r="G317" t="s">
        <v>516</v>
      </c>
      <c r="H317" t="s">
        <v>11</v>
      </c>
      <c r="I317" t="s">
        <v>12</v>
      </c>
      <c r="J317" t="s">
        <v>13</v>
      </c>
      <c r="K317" s="40">
        <v>17.8125</v>
      </c>
      <c r="L317" s="40"/>
      <c r="M317" s="40"/>
    </row>
    <row r="318" spans="1:13">
      <c r="C318"/>
      <c r="K318" s="40"/>
      <c r="L318" s="40"/>
      <c r="M318" s="40"/>
    </row>
    <row r="319" spans="1:13">
      <c r="B319" t="s">
        <v>1750</v>
      </c>
      <c r="C319" t="s">
        <v>1749</v>
      </c>
      <c r="D319" s="13">
        <v>225</v>
      </c>
      <c r="E319" s="13">
        <v>185.68</v>
      </c>
      <c r="F319" s="13">
        <f>D319-E319</f>
        <v>39.319999999999993</v>
      </c>
      <c r="G319" t="s">
        <v>516</v>
      </c>
      <c r="H319" t="s">
        <v>11</v>
      </c>
      <c r="I319" t="s">
        <v>19</v>
      </c>
      <c r="J319" t="s">
        <v>13</v>
      </c>
      <c r="K319" s="40">
        <v>8.02</v>
      </c>
      <c r="L319" s="40"/>
      <c r="M319" s="40"/>
    </row>
    <row r="320" spans="1:13">
      <c r="C320"/>
      <c r="K320" s="40"/>
      <c r="L320" s="40"/>
      <c r="M320" s="40"/>
    </row>
    <row r="321" spans="1:13">
      <c r="B321" t="s">
        <v>641</v>
      </c>
      <c r="C321" t="s">
        <v>640</v>
      </c>
      <c r="D321" s="13">
        <v>250</v>
      </c>
      <c r="E321" s="13">
        <v>206.25</v>
      </c>
      <c r="F321" s="13">
        <f>D321-E321</f>
        <v>43.75</v>
      </c>
      <c r="G321" t="s">
        <v>516</v>
      </c>
      <c r="H321" t="s">
        <v>11</v>
      </c>
      <c r="I321" t="s">
        <v>19</v>
      </c>
      <c r="J321" t="s">
        <v>13</v>
      </c>
      <c r="K321" s="40">
        <v>8.90625</v>
      </c>
      <c r="L321" s="40"/>
      <c r="M321" s="40"/>
    </row>
    <row r="322" spans="1:13">
      <c r="K322" s="40"/>
      <c r="L322" s="40"/>
      <c r="M322" s="40"/>
    </row>
    <row r="323" spans="1:13">
      <c r="A323" s="27" t="s">
        <v>126</v>
      </c>
      <c r="C323" s="23" t="s">
        <v>112</v>
      </c>
      <c r="G323" s="3"/>
      <c r="K323" s="40"/>
      <c r="L323" s="40"/>
      <c r="M323" s="40"/>
    </row>
    <row r="324" spans="1:13">
      <c r="A324" s="27" t="s">
        <v>1229</v>
      </c>
      <c r="B324" t="s">
        <v>113</v>
      </c>
      <c r="C324" t="s">
        <v>764</v>
      </c>
      <c r="D324" s="13">
        <v>95</v>
      </c>
      <c r="E324" s="13">
        <v>78.430000000000007</v>
      </c>
      <c r="F324" s="13">
        <f t="shared" ref="F324:F330" si="20">D324-E324</f>
        <v>16.569999999999993</v>
      </c>
      <c r="G324" t="s">
        <v>516</v>
      </c>
      <c r="H324" t="s">
        <v>11</v>
      </c>
      <c r="I324" t="s">
        <v>12</v>
      </c>
      <c r="J324" t="s">
        <v>13</v>
      </c>
      <c r="K324" s="40">
        <v>3.3867499999999997</v>
      </c>
      <c r="L324" s="40"/>
      <c r="M324" s="40"/>
    </row>
    <row r="325" spans="1:13">
      <c r="B325" t="s">
        <v>954</v>
      </c>
      <c r="C325" t="s">
        <v>953</v>
      </c>
      <c r="D325" s="13">
        <v>95</v>
      </c>
      <c r="E325" s="13">
        <v>78.430000000000007</v>
      </c>
      <c r="F325" s="13">
        <f t="shared" si="20"/>
        <v>16.569999999999993</v>
      </c>
      <c r="G325" t="s">
        <v>516</v>
      </c>
      <c r="H325" t="s">
        <v>11</v>
      </c>
      <c r="I325" t="s">
        <v>12</v>
      </c>
      <c r="J325" t="s">
        <v>13</v>
      </c>
      <c r="K325" s="40">
        <v>3.3867499999999997</v>
      </c>
      <c r="L325" s="40"/>
      <c r="M325" s="40"/>
    </row>
    <row r="326" spans="1:13">
      <c r="B326" t="s">
        <v>114</v>
      </c>
      <c r="C326" t="s">
        <v>763</v>
      </c>
      <c r="D326" s="13">
        <v>145</v>
      </c>
      <c r="E326" s="13">
        <v>119.57</v>
      </c>
      <c r="F326" s="13">
        <f t="shared" si="20"/>
        <v>25.430000000000007</v>
      </c>
      <c r="G326" t="s">
        <v>516</v>
      </c>
      <c r="H326" t="s">
        <v>11</v>
      </c>
      <c r="I326" t="s">
        <v>12</v>
      </c>
      <c r="J326" t="s">
        <v>13</v>
      </c>
      <c r="K326" s="40">
        <v>5.1632500000000006</v>
      </c>
      <c r="L326" s="40"/>
      <c r="M326" s="40"/>
    </row>
    <row r="327" spans="1:13">
      <c r="B327" t="s">
        <v>956</v>
      </c>
      <c r="C327" t="s">
        <v>955</v>
      </c>
      <c r="D327" s="13">
        <v>145</v>
      </c>
      <c r="E327" s="13">
        <v>119.57</v>
      </c>
      <c r="F327" s="13">
        <f t="shared" si="20"/>
        <v>25.430000000000007</v>
      </c>
      <c r="G327" t="s">
        <v>516</v>
      </c>
      <c r="H327" t="s">
        <v>11</v>
      </c>
      <c r="I327" t="s">
        <v>12</v>
      </c>
      <c r="J327" t="s">
        <v>13</v>
      </c>
      <c r="K327" s="40">
        <v>5.1632500000000006</v>
      </c>
      <c r="L327" s="40"/>
      <c r="M327" s="40"/>
    </row>
    <row r="328" spans="1:13">
      <c r="B328" t="s">
        <v>610</v>
      </c>
      <c r="C328" t="s">
        <v>609</v>
      </c>
      <c r="D328" s="13">
        <v>60</v>
      </c>
      <c r="E328" s="13">
        <v>49.5</v>
      </c>
      <c r="F328" s="13">
        <f t="shared" si="20"/>
        <v>10.5</v>
      </c>
      <c r="G328" s="21" t="s">
        <v>516</v>
      </c>
      <c r="H328" s="21" t="s">
        <v>11</v>
      </c>
      <c r="I328" s="21" t="s">
        <v>19</v>
      </c>
      <c r="J328" s="21" t="s">
        <v>13</v>
      </c>
      <c r="K328" s="40">
        <v>2.1375000000000002</v>
      </c>
      <c r="L328" s="40"/>
      <c r="M328" s="40"/>
    </row>
    <row r="329" spans="1:13">
      <c r="A329" s="27" t="s">
        <v>1230</v>
      </c>
      <c r="B329" t="s">
        <v>470</v>
      </c>
      <c r="C329" t="s">
        <v>469</v>
      </c>
      <c r="D329" s="13">
        <v>50</v>
      </c>
      <c r="E329" s="13">
        <v>41.25</v>
      </c>
      <c r="F329" s="13">
        <f t="shared" si="20"/>
        <v>8.75</v>
      </c>
      <c r="G329" t="s">
        <v>516</v>
      </c>
      <c r="H329" t="s">
        <v>11</v>
      </c>
      <c r="I329" s="35" t="s">
        <v>12</v>
      </c>
      <c r="J329" t="s">
        <v>13</v>
      </c>
      <c r="K329" s="40">
        <v>1.78125</v>
      </c>
      <c r="L329" s="40"/>
      <c r="M329" s="40"/>
    </row>
    <row r="330" spans="1:13">
      <c r="B330" t="s">
        <v>958</v>
      </c>
      <c r="C330" t="s">
        <v>957</v>
      </c>
      <c r="D330" s="13">
        <v>50</v>
      </c>
      <c r="E330" s="13">
        <v>41.25</v>
      </c>
      <c r="F330" s="13">
        <f t="shared" si="20"/>
        <v>8.75</v>
      </c>
      <c r="G330" t="s">
        <v>516</v>
      </c>
      <c r="H330" t="s">
        <v>11</v>
      </c>
      <c r="I330" t="s">
        <v>12</v>
      </c>
      <c r="J330" t="s">
        <v>13</v>
      </c>
      <c r="K330" s="40">
        <v>1.78125</v>
      </c>
      <c r="L330" s="40"/>
      <c r="M330" s="40"/>
    </row>
    <row r="331" spans="1:13">
      <c r="C331"/>
      <c r="I331" s="19"/>
      <c r="K331" s="40"/>
      <c r="L331" s="40"/>
      <c r="M331" s="40"/>
    </row>
    <row r="332" spans="1:13">
      <c r="B332" t="s">
        <v>1896</v>
      </c>
      <c r="C332" t="s">
        <v>1895</v>
      </c>
      <c r="D332" s="13">
        <v>15</v>
      </c>
      <c r="E332" s="13">
        <v>12.43</v>
      </c>
      <c r="F332" s="13">
        <f>D332-E332</f>
        <v>2.5700000000000003</v>
      </c>
      <c r="G332" t="s">
        <v>516</v>
      </c>
      <c r="H332" t="s">
        <v>11</v>
      </c>
      <c r="I332" s="21" t="s">
        <v>19</v>
      </c>
      <c r="J332" t="s">
        <v>13</v>
      </c>
      <c r="K332" s="40">
        <v>0.54</v>
      </c>
      <c r="L332" s="40"/>
      <c r="M332" s="40"/>
    </row>
    <row r="333" spans="1:13">
      <c r="B333" t="s">
        <v>832</v>
      </c>
      <c r="C333" t="s">
        <v>831</v>
      </c>
      <c r="D333" s="13">
        <v>75</v>
      </c>
      <c r="E333" s="13">
        <v>61.93</v>
      </c>
      <c r="F333" s="13">
        <v>2.6742499999999998</v>
      </c>
      <c r="G333" s="21" t="s">
        <v>516</v>
      </c>
      <c r="H333" s="21" t="s">
        <v>11</v>
      </c>
      <c r="I333" s="21" t="s">
        <v>19</v>
      </c>
      <c r="J333" t="s">
        <v>13</v>
      </c>
      <c r="K333" s="40">
        <v>3.38</v>
      </c>
      <c r="L333" s="40"/>
      <c r="M333" s="40"/>
    </row>
    <row r="334" spans="1:13">
      <c r="B334" t="s">
        <v>1900</v>
      </c>
      <c r="C334" t="s">
        <v>1897</v>
      </c>
      <c r="D334" s="13">
        <v>90</v>
      </c>
      <c r="E334" s="13">
        <v>74.25</v>
      </c>
      <c r="F334" s="13">
        <v>2.6742499999999998</v>
      </c>
      <c r="G334" t="s">
        <v>516</v>
      </c>
      <c r="H334" t="s">
        <v>11</v>
      </c>
      <c r="I334" s="21" t="s">
        <v>19</v>
      </c>
      <c r="J334" t="s">
        <v>13</v>
      </c>
      <c r="K334" s="40">
        <v>3.21</v>
      </c>
      <c r="L334" s="40"/>
      <c r="M334" s="40"/>
    </row>
    <row r="335" spans="1:13">
      <c r="B335" t="s">
        <v>1901</v>
      </c>
      <c r="C335" t="s">
        <v>1898</v>
      </c>
      <c r="D335" s="13">
        <v>125</v>
      </c>
      <c r="E335" s="13">
        <v>103.18</v>
      </c>
      <c r="F335" s="13">
        <v>2.6742499999999998</v>
      </c>
      <c r="G335" t="s">
        <v>516</v>
      </c>
      <c r="H335" t="s">
        <v>11</v>
      </c>
      <c r="I335" s="21" t="s">
        <v>19</v>
      </c>
      <c r="J335" t="s">
        <v>13</v>
      </c>
      <c r="K335" s="40">
        <v>4.46</v>
      </c>
      <c r="L335" s="40"/>
      <c r="M335" s="40"/>
    </row>
    <row r="336" spans="1:13">
      <c r="B336" t="s">
        <v>1902</v>
      </c>
      <c r="C336" t="s">
        <v>1899</v>
      </c>
      <c r="D336" s="13">
        <v>75</v>
      </c>
      <c r="E336" s="13">
        <v>61.93</v>
      </c>
      <c r="F336" s="13">
        <v>2.6742499999999998</v>
      </c>
      <c r="G336" t="s">
        <v>516</v>
      </c>
      <c r="H336" t="s">
        <v>11</v>
      </c>
      <c r="I336" s="21" t="s">
        <v>19</v>
      </c>
      <c r="J336" t="s">
        <v>13</v>
      </c>
      <c r="K336" s="40">
        <v>2.67</v>
      </c>
      <c r="L336" s="40"/>
      <c r="M336" s="40"/>
    </row>
    <row r="337" spans="1:13">
      <c r="G337" s="21"/>
      <c r="H337" s="21"/>
      <c r="I337" s="21"/>
      <c r="J337" s="21"/>
      <c r="K337" s="40"/>
      <c r="L337" s="40"/>
      <c r="M337" s="40"/>
    </row>
    <row r="338" spans="1:13">
      <c r="B338" t="s">
        <v>1329</v>
      </c>
      <c r="C338" s="51" t="s">
        <v>1328</v>
      </c>
      <c r="D338" s="13">
        <v>0</v>
      </c>
      <c r="E338" s="13">
        <v>0</v>
      </c>
      <c r="F338" s="13">
        <v>0</v>
      </c>
      <c r="G338" s="51" t="s">
        <v>516</v>
      </c>
      <c r="H338" s="51" t="s">
        <v>11</v>
      </c>
      <c r="I338" s="51" t="s">
        <v>12</v>
      </c>
      <c r="J338" s="21" t="s">
        <v>13</v>
      </c>
      <c r="K338" s="40"/>
      <c r="L338" s="40"/>
      <c r="M338" s="40"/>
    </row>
    <row r="339" spans="1:13">
      <c r="B339" t="s">
        <v>1400</v>
      </c>
      <c r="C339" s="53" t="s">
        <v>1398</v>
      </c>
      <c r="D339" s="13">
        <v>200</v>
      </c>
      <c r="E339" s="13">
        <v>165</v>
      </c>
      <c r="F339" s="13">
        <f>D339-E339</f>
        <v>35</v>
      </c>
      <c r="G339" s="53" t="s">
        <v>516</v>
      </c>
      <c r="H339" s="51" t="s">
        <v>11</v>
      </c>
      <c r="I339" s="51" t="s">
        <v>12</v>
      </c>
      <c r="J339" s="21" t="s">
        <v>13</v>
      </c>
      <c r="K339" s="40">
        <v>4.75</v>
      </c>
      <c r="L339" s="40"/>
      <c r="M339" s="40"/>
    </row>
    <row r="340" spans="1:13">
      <c r="B340" t="s">
        <v>1401</v>
      </c>
      <c r="C340" s="53" t="s">
        <v>1399</v>
      </c>
      <c r="D340" s="13">
        <v>100</v>
      </c>
      <c r="E340" s="13">
        <v>82.5</v>
      </c>
      <c r="F340" s="13">
        <f>D340-E340</f>
        <v>17.5</v>
      </c>
      <c r="G340" s="53" t="s">
        <v>516</v>
      </c>
      <c r="H340" s="51" t="s">
        <v>11</v>
      </c>
      <c r="I340" s="51" t="s">
        <v>12</v>
      </c>
      <c r="J340" s="21" t="s">
        <v>13</v>
      </c>
      <c r="K340" s="40">
        <v>3.56</v>
      </c>
      <c r="L340" s="40"/>
      <c r="M340" s="40"/>
    </row>
    <row r="341" spans="1:13">
      <c r="G341" s="21"/>
      <c r="H341" s="21"/>
      <c r="I341" s="21"/>
      <c r="J341" s="21"/>
      <c r="K341" s="40"/>
      <c r="L341" s="40"/>
      <c r="M341" s="40"/>
    </row>
    <row r="342" spans="1:13">
      <c r="B342" t="s">
        <v>632</v>
      </c>
      <c r="C342" t="s">
        <v>630</v>
      </c>
      <c r="D342" s="13">
        <v>20</v>
      </c>
      <c r="E342" s="13">
        <v>16.5</v>
      </c>
      <c r="F342" s="13">
        <f t="shared" ref="F342:F345" si="21">D342-E342</f>
        <v>3.5</v>
      </c>
      <c r="G342" t="s">
        <v>516</v>
      </c>
      <c r="H342" t="s">
        <v>11</v>
      </c>
      <c r="I342" t="s">
        <v>12</v>
      </c>
      <c r="J342" t="s">
        <v>13</v>
      </c>
      <c r="K342" s="40">
        <v>2.4937499999999999</v>
      </c>
      <c r="L342" s="40"/>
      <c r="M342" s="40"/>
    </row>
    <row r="343" spans="1:13">
      <c r="B343" t="s">
        <v>960</v>
      </c>
      <c r="C343" t="s">
        <v>959</v>
      </c>
      <c r="D343" s="13">
        <v>20</v>
      </c>
      <c r="E343" s="13">
        <v>16.5</v>
      </c>
      <c r="F343" s="13">
        <f>D343-E343</f>
        <v>3.5</v>
      </c>
      <c r="G343" t="s">
        <v>516</v>
      </c>
      <c r="H343" t="s">
        <v>11</v>
      </c>
      <c r="I343" t="s">
        <v>12</v>
      </c>
      <c r="J343" t="s">
        <v>13</v>
      </c>
      <c r="K343" s="40">
        <v>0.71250000000000002</v>
      </c>
      <c r="L343" s="40"/>
      <c r="M343" s="40"/>
    </row>
    <row r="344" spans="1:13">
      <c r="B344" t="s">
        <v>633</v>
      </c>
      <c r="C344" t="s">
        <v>631</v>
      </c>
      <c r="D344" s="13">
        <v>20</v>
      </c>
      <c r="E344" s="13">
        <v>16.5</v>
      </c>
      <c r="F344" s="13">
        <f t="shared" si="21"/>
        <v>3.5</v>
      </c>
      <c r="G344" t="s">
        <v>516</v>
      </c>
      <c r="H344" t="s">
        <v>11</v>
      </c>
      <c r="I344" t="s">
        <v>12</v>
      </c>
      <c r="J344" t="s">
        <v>13</v>
      </c>
      <c r="K344" s="40">
        <v>0.71250000000000002</v>
      </c>
      <c r="L344" s="40"/>
      <c r="M344" s="40"/>
    </row>
    <row r="345" spans="1:13">
      <c r="B345" t="s">
        <v>962</v>
      </c>
      <c r="C345" t="s">
        <v>961</v>
      </c>
      <c r="D345" s="13">
        <v>20</v>
      </c>
      <c r="E345" s="13">
        <v>16.5</v>
      </c>
      <c r="F345" s="13">
        <f t="shared" si="21"/>
        <v>3.5</v>
      </c>
      <c r="G345" t="s">
        <v>516</v>
      </c>
      <c r="H345" t="s">
        <v>11</v>
      </c>
      <c r="I345" t="s">
        <v>12</v>
      </c>
      <c r="J345" t="s">
        <v>13</v>
      </c>
      <c r="K345" s="40">
        <v>0.71250000000000002</v>
      </c>
      <c r="L345" s="40"/>
      <c r="M345" s="40"/>
    </row>
    <row r="346" spans="1:13">
      <c r="C346"/>
      <c r="K346" s="40"/>
      <c r="L346" s="40"/>
      <c r="M346" s="40"/>
    </row>
    <row r="347" spans="1:13">
      <c r="B347" t="s">
        <v>1697</v>
      </c>
      <c r="C347" t="s">
        <v>1696</v>
      </c>
      <c r="D347" s="13">
        <v>800</v>
      </c>
      <c r="E347" s="13">
        <v>660</v>
      </c>
      <c r="F347" s="13">
        <f>D347-E347</f>
        <v>140</v>
      </c>
      <c r="G347" t="s">
        <v>516</v>
      </c>
      <c r="H347" t="s">
        <v>11</v>
      </c>
      <c r="I347" s="21" t="s">
        <v>19</v>
      </c>
      <c r="J347" t="s">
        <v>13</v>
      </c>
      <c r="K347" s="40">
        <v>28.5</v>
      </c>
      <c r="L347" s="40"/>
      <c r="M347" s="40"/>
    </row>
    <row r="348" spans="1:13">
      <c r="C348"/>
      <c r="H348" s="21"/>
      <c r="I348" s="32"/>
      <c r="J348" s="21"/>
      <c r="K348" s="40"/>
      <c r="L348" s="40"/>
      <c r="M348" s="40"/>
    </row>
    <row r="349" spans="1:13">
      <c r="A349" s="27" t="s">
        <v>152</v>
      </c>
      <c r="C349" s="23" t="s">
        <v>115</v>
      </c>
      <c r="K349" s="40"/>
      <c r="L349" s="40"/>
      <c r="M349" s="40"/>
    </row>
    <row r="350" spans="1:13">
      <c r="A350" s="27"/>
      <c r="B350" t="s">
        <v>1284</v>
      </c>
      <c r="C350" s="50" t="s">
        <v>1283</v>
      </c>
      <c r="D350" s="13">
        <v>120</v>
      </c>
      <c r="E350" s="13">
        <v>92.4</v>
      </c>
      <c r="F350" s="13">
        <f>D350-E350</f>
        <v>27.599999999999994</v>
      </c>
      <c r="G350" s="50" t="s">
        <v>516</v>
      </c>
      <c r="H350" s="50" t="s">
        <v>11</v>
      </c>
      <c r="I350" s="50" t="s">
        <v>12</v>
      </c>
      <c r="J350" s="50" t="s">
        <v>13</v>
      </c>
      <c r="K350" s="40">
        <v>3.99</v>
      </c>
      <c r="L350" s="40"/>
      <c r="M350" s="40"/>
    </row>
    <row r="351" spans="1:13">
      <c r="A351" s="27"/>
      <c r="B351" t="s">
        <v>1348</v>
      </c>
      <c r="C351" s="50" t="s">
        <v>1283</v>
      </c>
      <c r="D351" s="13">
        <v>120</v>
      </c>
      <c r="E351" s="13">
        <v>92.4</v>
      </c>
      <c r="F351" s="13">
        <f>D351-E351</f>
        <v>27.599999999999994</v>
      </c>
      <c r="G351" s="53" t="s">
        <v>516</v>
      </c>
      <c r="H351" s="53" t="s">
        <v>11</v>
      </c>
      <c r="I351" s="53" t="s">
        <v>12</v>
      </c>
      <c r="J351" s="53" t="s">
        <v>13</v>
      </c>
      <c r="K351" s="40">
        <v>3.99</v>
      </c>
      <c r="L351" s="40"/>
      <c r="M351" s="40"/>
    </row>
    <row r="352" spans="1:13">
      <c r="A352" s="27"/>
      <c r="B352" t="s">
        <v>1286</v>
      </c>
      <c r="C352" s="50" t="s">
        <v>1285</v>
      </c>
      <c r="D352" s="13">
        <v>120</v>
      </c>
      <c r="E352" s="13">
        <v>92.4</v>
      </c>
      <c r="F352" s="13">
        <f t="shared" ref="F352" si="22">D352-E352</f>
        <v>27.599999999999994</v>
      </c>
      <c r="G352" s="50" t="s">
        <v>516</v>
      </c>
      <c r="H352" s="50" t="s">
        <v>11</v>
      </c>
      <c r="I352" s="50" t="s">
        <v>12</v>
      </c>
      <c r="J352" s="50" t="s">
        <v>13</v>
      </c>
      <c r="K352" s="40">
        <v>3.99</v>
      </c>
      <c r="L352" s="40"/>
      <c r="M352" s="40"/>
    </row>
    <row r="353" spans="1:13">
      <c r="A353" s="27"/>
      <c r="B353" t="s">
        <v>1349</v>
      </c>
      <c r="C353" s="50" t="s">
        <v>1446</v>
      </c>
      <c r="D353" s="13">
        <v>120</v>
      </c>
      <c r="E353" s="13">
        <v>92.4</v>
      </c>
      <c r="F353" s="13">
        <f>D353-E353</f>
        <v>27.599999999999994</v>
      </c>
      <c r="G353" s="53" t="s">
        <v>516</v>
      </c>
      <c r="H353" s="53" t="s">
        <v>11</v>
      </c>
      <c r="I353" s="53" t="s">
        <v>12</v>
      </c>
      <c r="J353" s="53" t="s">
        <v>13</v>
      </c>
      <c r="K353" s="40">
        <v>3.99</v>
      </c>
      <c r="L353" s="40"/>
      <c r="M353" s="40"/>
    </row>
    <row r="354" spans="1:13">
      <c r="A354" s="27"/>
      <c r="B354" t="s">
        <v>1288</v>
      </c>
      <c r="C354" s="50" t="s">
        <v>1287</v>
      </c>
      <c r="D354" s="13">
        <v>30</v>
      </c>
      <c r="E354" s="13">
        <v>23.1</v>
      </c>
      <c r="F354" s="13">
        <f t="shared" ref="F354:F356" si="23">D354-E354</f>
        <v>6.8999999999999986</v>
      </c>
      <c r="G354" s="50" t="s">
        <v>516</v>
      </c>
      <c r="H354" s="50" t="s">
        <v>11</v>
      </c>
      <c r="I354" s="50" t="s">
        <v>19</v>
      </c>
      <c r="J354" s="50" t="s">
        <v>13</v>
      </c>
      <c r="K354" s="40">
        <v>0.99750000000000005</v>
      </c>
      <c r="L354" s="40"/>
      <c r="M354" s="40"/>
    </row>
    <row r="355" spans="1:13">
      <c r="A355" s="27"/>
      <c r="B355" t="s">
        <v>1350</v>
      </c>
      <c r="C355" s="50" t="s">
        <v>1287</v>
      </c>
      <c r="D355" s="13">
        <v>30</v>
      </c>
      <c r="E355" s="13">
        <v>23.1</v>
      </c>
      <c r="F355" s="13">
        <f>D355-E355</f>
        <v>6.8999999999999986</v>
      </c>
      <c r="G355" s="53" t="s">
        <v>516</v>
      </c>
      <c r="H355" s="53" t="s">
        <v>11</v>
      </c>
      <c r="I355" s="53" t="s">
        <v>19</v>
      </c>
      <c r="J355" s="53" t="s">
        <v>13</v>
      </c>
      <c r="K355" s="40">
        <v>1</v>
      </c>
      <c r="L355" s="40"/>
      <c r="M355" s="40"/>
    </row>
    <row r="356" spans="1:13">
      <c r="A356" s="27"/>
      <c r="B356" t="s">
        <v>1290</v>
      </c>
      <c r="C356" s="50" t="s">
        <v>1289</v>
      </c>
      <c r="D356" s="13">
        <v>30</v>
      </c>
      <c r="E356" s="13">
        <v>23.1</v>
      </c>
      <c r="F356" s="13">
        <f t="shared" si="23"/>
        <v>6.8999999999999986</v>
      </c>
      <c r="G356" s="50" t="s">
        <v>516</v>
      </c>
      <c r="H356" s="50" t="s">
        <v>11</v>
      </c>
      <c r="I356" s="50" t="s">
        <v>19</v>
      </c>
      <c r="J356" s="50" t="s">
        <v>13</v>
      </c>
      <c r="K356" s="40">
        <v>0.99750000000000005</v>
      </c>
      <c r="L356" s="40"/>
      <c r="M356" s="40"/>
    </row>
    <row r="357" spans="1:13">
      <c r="A357" s="27"/>
      <c r="C357"/>
      <c r="K357" s="40"/>
      <c r="L357" s="40"/>
      <c r="M357" s="40"/>
    </row>
    <row r="358" spans="1:13">
      <c r="A358" s="27" t="s">
        <v>127</v>
      </c>
      <c r="C358" s="23" t="s">
        <v>116</v>
      </c>
      <c r="K358" s="40"/>
      <c r="L358" s="40"/>
      <c r="M358" s="40"/>
    </row>
    <row r="359" spans="1:13">
      <c r="A359" s="27"/>
      <c r="B359" t="s">
        <v>117</v>
      </c>
      <c r="C359" s="50" t="s">
        <v>1019</v>
      </c>
      <c r="D359" s="13">
        <v>95</v>
      </c>
      <c r="E359" s="13">
        <v>78.430000000000007</v>
      </c>
      <c r="F359" s="13">
        <f>D359-E359</f>
        <v>16.569999999999993</v>
      </c>
      <c r="G359" t="s">
        <v>516</v>
      </c>
      <c r="H359" t="s">
        <v>11</v>
      </c>
      <c r="I359" t="s">
        <v>12</v>
      </c>
      <c r="J359" t="s">
        <v>13</v>
      </c>
      <c r="K359" s="40">
        <v>3.39</v>
      </c>
      <c r="L359" s="40"/>
      <c r="M359" s="40"/>
    </row>
    <row r="360" spans="1:13">
      <c r="A360" s="27"/>
      <c r="B360" t="s">
        <v>963</v>
      </c>
      <c r="C360" t="s">
        <v>1020</v>
      </c>
      <c r="D360" s="13">
        <v>95</v>
      </c>
      <c r="E360" s="13">
        <v>78.430000000000007</v>
      </c>
      <c r="F360" s="13">
        <f>D360-E360</f>
        <v>16.569999999999993</v>
      </c>
      <c r="G360" t="s">
        <v>516</v>
      </c>
      <c r="H360" t="s">
        <v>11</v>
      </c>
      <c r="I360" t="s">
        <v>12</v>
      </c>
      <c r="J360" t="s">
        <v>13</v>
      </c>
      <c r="K360" s="40">
        <v>3.39</v>
      </c>
      <c r="L360" s="40"/>
      <c r="M360" s="40"/>
    </row>
    <row r="361" spans="1:13">
      <c r="A361" s="27"/>
      <c r="B361" t="s">
        <v>118</v>
      </c>
      <c r="C361" t="s">
        <v>558</v>
      </c>
      <c r="D361" s="13">
        <v>30</v>
      </c>
      <c r="E361" s="13">
        <v>24.75</v>
      </c>
      <c r="F361" s="13">
        <f>D361-E361</f>
        <v>5.25</v>
      </c>
      <c r="G361" t="s">
        <v>516</v>
      </c>
      <c r="H361" t="s">
        <v>11</v>
      </c>
      <c r="I361" t="s">
        <v>19</v>
      </c>
      <c r="J361" t="s">
        <v>13</v>
      </c>
      <c r="K361" s="40">
        <v>1.0687500000000001</v>
      </c>
      <c r="L361" s="40"/>
      <c r="M361" s="40"/>
    </row>
    <row r="362" spans="1:13">
      <c r="A362" s="27"/>
      <c r="B362" t="s">
        <v>119</v>
      </c>
      <c r="C362" t="s">
        <v>559</v>
      </c>
      <c r="D362" s="13">
        <v>145</v>
      </c>
      <c r="E362" s="13">
        <v>119.57</v>
      </c>
      <c r="F362" s="13">
        <f>D362-E362</f>
        <v>25.430000000000007</v>
      </c>
      <c r="G362" t="s">
        <v>516</v>
      </c>
      <c r="H362" t="s">
        <v>11</v>
      </c>
      <c r="I362" t="s">
        <v>12</v>
      </c>
      <c r="J362" t="s">
        <v>13</v>
      </c>
      <c r="K362" s="40">
        <v>5.16</v>
      </c>
      <c r="L362" s="40"/>
      <c r="M362" s="40"/>
    </row>
    <row r="363" spans="1:13">
      <c r="A363" s="27"/>
      <c r="C363"/>
      <c r="K363" s="40"/>
      <c r="L363" s="40"/>
      <c r="M363" s="40"/>
    </row>
    <row r="364" spans="1:13">
      <c r="A364" s="27"/>
      <c r="B364" t="s">
        <v>635</v>
      </c>
      <c r="C364" t="s">
        <v>634</v>
      </c>
      <c r="D364" s="13">
        <v>20</v>
      </c>
      <c r="E364" s="13">
        <v>16.5</v>
      </c>
      <c r="F364" s="13">
        <f t="shared" ref="F364" si="24">D364-E364</f>
        <v>3.5</v>
      </c>
      <c r="G364" t="s">
        <v>516</v>
      </c>
      <c r="H364" t="s">
        <v>11</v>
      </c>
      <c r="I364" t="s">
        <v>12</v>
      </c>
      <c r="J364" t="s">
        <v>13</v>
      </c>
      <c r="K364" s="40">
        <v>0.71250000000000002</v>
      </c>
      <c r="L364" s="40"/>
      <c r="M364" s="40"/>
    </row>
    <row r="365" spans="1:13">
      <c r="A365" s="27"/>
      <c r="B365" t="s">
        <v>965</v>
      </c>
      <c r="C365" t="s">
        <v>964</v>
      </c>
      <c r="D365" s="13">
        <v>20</v>
      </c>
      <c r="E365" s="13">
        <v>16.5</v>
      </c>
      <c r="F365" s="13">
        <f>D365-E365</f>
        <v>3.5</v>
      </c>
      <c r="G365" t="s">
        <v>516</v>
      </c>
      <c r="H365" t="s">
        <v>11</v>
      </c>
      <c r="I365" t="s">
        <v>12</v>
      </c>
      <c r="J365" t="s">
        <v>13</v>
      </c>
      <c r="K365" s="40">
        <v>0.71250000000000002</v>
      </c>
      <c r="L365" s="40"/>
      <c r="M365" s="40"/>
    </row>
    <row r="366" spans="1:13">
      <c r="A366" s="27"/>
      <c r="K366" s="40"/>
      <c r="L366" s="40"/>
      <c r="M366" s="40"/>
    </row>
    <row r="367" spans="1:13">
      <c r="A367" s="4" t="s">
        <v>1231</v>
      </c>
      <c r="C367" s="23" t="s">
        <v>975</v>
      </c>
      <c r="K367" s="40"/>
      <c r="L367" s="40"/>
      <c r="M367" s="40"/>
    </row>
    <row r="368" spans="1:13">
      <c r="B368" t="s">
        <v>977</v>
      </c>
      <c r="C368" t="s">
        <v>976</v>
      </c>
      <c r="D368" s="13">
        <v>120</v>
      </c>
      <c r="E368" s="13">
        <v>92.4</v>
      </c>
      <c r="F368" s="13">
        <f>D368-E368</f>
        <v>27.599999999999994</v>
      </c>
      <c r="G368" t="s">
        <v>516</v>
      </c>
      <c r="H368" t="s">
        <v>11</v>
      </c>
      <c r="I368" t="s">
        <v>12</v>
      </c>
      <c r="J368" t="s">
        <v>13</v>
      </c>
      <c r="K368" s="40">
        <v>3.99</v>
      </c>
      <c r="L368" s="40"/>
      <c r="M368" s="40"/>
    </row>
    <row r="369" spans="1:13">
      <c r="B369" t="s">
        <v>979</v>
      </c>
      <c r="C369" t="s">
        <v>978</v>
      </c>
      <c r="D369" s="13">
        <v>120</v>
      </c>
      <c r="E369" s="13">
        <v>92.4</v>
      </c>
      <c r="F369" s="13">
        <f t="shared" ref="F369:F377" si="25">D369-E369</f>
        <v>27.599999999999994</v>
      </c>
      <c r="G369" t="s">
        <v>516</v>
      </c>
      <c r="H369" t="s">
        <v>11</v>
      </c>
      <c r="I369" t="s">
        <v>12</v>
      </c>
      <c r="J369" t="s">
        <v>13</v>
      </c>
      <c r="K369" s="40">
        <v>3.99</v>
      </c>
      <c r="L369" s="40"/>
      <c r="M369" s="40"/>
    </row>
    <row r="370" spans="1:13">
      <c r="B370" t="s">
        <v>981</v>
      </c>
      <c r="C370" t="s">
        <v>980</v>
      </c>
      <c r="D370" s="13">
        <v>30</v>
      </c>
      <c r="E370" s="13">
        <v>23.1</v>
      </c>
      <c r="F370" s="13">
        <f t="shared" si="25"/>
        <v>6.8999999999999986</v>
      </c>
      <c r="G370" t="s">
        <v>516</v>
      </c>
      <c r="H370" t="s">
        <v>11</v>
      </c>
      <c r="I370" t="s">
        <v>12</v>
      </c>
      <c r="J370" t="s">
        <v>13</v>
      </c>
      <c r="K370" s="40">
        <v>0.99750000000000005</v>
      </c>
      <c r="L370" s="40"/>
      <c r="M370" s="40"/>
    </row>
    <row r="371" spans="1:13">
      <c r="B371" t="s">
        <v>983</v>
      </c>
      <c r="C371" t="s">
        <v>982</v>
      </c>
      <c r="D371" s="13">
        <v>30</v>
      </c>
      <c r="E371" s="13">
        <v>23.1</v>
      </c>
      <c r="F371" s="13">
        <f t="shared" si="25"/>
        <v>6.8999999999999986</v>
      </c>
      <c r="G371" t="s">
        <v>516</v>
      </c>
      <c r="H371" t="s">
        <v>11</v>
      </c>
      <c r="I371" t="s">
        <v>12</v>
      </c>
      <c r="J371" t="s">
        <v>13</v>
      </c>
      <c r="K371" s="40">
        <v>0.99750000000000005</v>
      </c>
      <c r="L371" s="40"/>
      <c r="M371" s="40"/>
    </row>
    <row r="372" spans="1:13">
      <c r="B372" t="s">
        <v>985</v>
      </c>
      <c r="C372" t="s">
        <v>984</v>
      </c>
      <c r="D372" s="13">
        <v>15</v>
      </c>
      <c r="E372" s="13">
        <v>11.55</v>
      </c>
      <c r="F372" s="13">
        <f t="shared" si="25"/>
        <v>3.4499999999999993</v>
      </c>
      <c r="G372" t="s">
        <v>516</v>
      </c>
      <c r="H372" t="s">
        <v>11</v>
      </c>
      <c r="I372" t="s">
        <v>12</v>
      </c>
      <c r="J372" t="s">
        <v>13</v>
      </c>
      <c r="K372" s="40">
        <v>0.49875000000000003</v>
      </c>
      <c r="L372" s="40"/>
      <c r="M372" s="40"/>
    </row>
    <row r="373" spans="1:13">
      <c r="B373" t="s">
        <v>987</v>
      </c>
      <c r="C373" t="s">
        <v>986</v>
      </c>
      <c r="D373" s="13">
        <v>72</v>
      </c>
      <c r="E373" s="13">
        <v>55.44</v>
      </c>
      <c r="F373" s="13">
        <f t="shared" si="25"/>
        <v>16.560000000000002</v>
      </c>
      <c r="G373" t="s">
        <v>516</v>
      </c>
      <c r="H373" t="s">
        <v>11</v>
      </c>
      <c r="I373" t="s">
        <v>12</v>
      </c>
      <c r="J373" t="s">
        <v>13</v>
      </c>
      <c r="K373" s="40">
        <v>2.3940000000000001</v>
      </c>
      <c r="L373" s="40"/>
      <c r="M373" s="40"/>
    </row>
    <row r="374" spans="1:13">
      <c r="B374" t="s">
        <v>989</v>
      </c>
      <c r="C374" t="s">
        <v>988</v>
      </c>
      <c r="D374" s="13">
        <v>1400</v>
      </c>
      <c r="E374" s="13">
        <v>1078</v>
      </c>
      <c r="F374" s="13">
        <f t="shared" si="25"/>
        <v>322</v>
      </c>
      <c r="G374" t="s">
        <v>516</v>
      </c>
      <c r="H374" t="s">
        <v>11</v>
      </c>
      <c r="I374" t="s">
        <v>19</v>
      </c>
      <c r="J374" t="s">
        <v>13</v>
      </c>
      <c r="K374" s="40">
        <v>46.55</v>
      </c>
      <c r="L374" s="40"/>
      <c r="M374" s="40"/>
    </row>
    <row r="375" spans="1:13">
      <c r="B375" t="s">
        <v>991</v>
      </c>
      <c r="C375" t="s">
        <v>990</v>
      </c>
      <c r="D375" s="13">
        <v>1400</v>
      </c>
      <c r="E375" s="13">
        <v>1078</v>
      </c>
      <c r="F375" s="13">
        <f t="shared" si="25"/>
        <v>322</v>
      </c>
      <c r="G375" t="s">
        <v>516</v>
      </c>
      <c r="H375" t="s">
        <v>11</v>
      </c>
      <c r="I375" t="s">
        <v>19</v>
      </c>
      <c r="J375" t="s">
        <v>13</v>
      </c>
      <c r="K375" s="40">
        <v>46.55</v>
      </c>
      <c r="L375" s="40"/>
      <c r="M375" s="40"/>
    </row>
    <row r="376" spans="1:13">
      <c r="B376" t="s">
        <v>993</v>
      </c>
      <c r="C376" t="s">
        <v>992</v>
      </c>
      <c r="D376" s="13">
        <v>4</v>
      </c>
      <c r="E376" s="13">
        <v>3.0799999999999996</v>
      </c>
      <c r="F376" s="13">
        <f t="shared" si="25"/>
        <v>0.92000000000000037</v>
      </c>
      <c r="G376" t="s">
        <v>516</v>
      </c>
      <c r="H376" t="s">
        <v>11</v>
      </c>
      <c r="I376" t="s">
        <v>19</v>
      </c>
      <c r="J376" t="s">
        <v>13</v>
      </c>
      <c r="K376" s="40">
        <v>0.13299999999999998</v>
      </c>
      <c r="L376" s="40"/>
      <c r="M376" s="40"/>
    </row>
    <row r="377" spans="1:13">
      <c r="B377" t="s">
        <v>995</v>
      </c>
      <c r="C377" t="s">
        <v>994</v>
      </c>
      <c r="D377" s="13">
        <v>4</v>
      </c>
      <c r="E377" s="13">
        <v>3.0799999999999996</v>
      </c>
      <c r="F377" s="13">
        <f t="shared" si="25"/>
        <v>0.92000000000000037</v>
      </c>
      <c r="G377" t="s">
        <v>516</v>
      </c>
      <c r="H377" t="s">
        <v>11</v>
      </c>
      <c r="I377" t="s">
        <v>19</v>
      </c>
      <c r="J377" t="s">
        <v>13</v>
      </c>
      <c r="K377" s="40">
        <v>0.13299999999999998</v>
      </c>
      <c r="L377" s="40"/>
      <c r="M377" s="40"/>
    </row>
    <row r="378" spans="1:13">
      <c r="C378"/>
      <c r="K378" s="40"/>
      <c r="L378" s="40"/>
      <c r="M378" s="40"/>
    </row>
    <row r="379" spans="1:13">
      <c r="A379" s="4" t="s">
        <v>1232</v>
      </c>
      <c r="C379" s="23" t="s">
        <v>1103</v>
      </c>
      <c r="K379" s="40"/>
      <c r="L379" s="40"/>
      <c r="M379" s="40"/>
    </row>
    <row r="380" spans="1:13">
      <c r="B380" t="s">
        <v>1105</v>
      </c>
      <c r="C380" t="s">
        <v>1104</v>
      </c>
      <c r="D380" s="13">
        <v>1000</v>
      </c>
      <c r="E380" s="13">
        <v>770</v>
      </c>
      <c r="F380" s="13">
        <f>D380-E380</f>
        <v>230</v>
      </c>
      <c r="G380" t="s">
        <v>516</v>
      </c>
      <c r="H380" t="s">
        <v>11</v>
      </c>
      <c r="I380" t="s">
        <v>12</v>
      </c>
      <c r="J380" t="s">
        <v>13</v>
      </c>
      <c r="K380" s="40">
        <v>33.25</v>
      </c>
      <c r="L380" s="40"/>
      <c r="M380" s="40"/>
    </row>
    <row r="381" spans="1:13">
      <c r="B381" t="s">
        <v>1107</v>
      </c>
      <c r="C381" t="s">
        <v>1106</v>
      </c>
      <c r="D381" s="13">
        <v>150</v>
      </c>
      <c r="E381" s="13">
        <v>115.5</v>
      </c>
      <c r="F381" s="13">
        <f t="shared" ref="F381:F390" si="26">D381-E381</f>
        <v>34.5</v>
      </c>
      <c r="G381" t="s">
        <v>516</v>
      </c>
      <c r="H381" t="s">
        <v>11</v>
      </c>
      <c r="I381" t="s">
        <v>19</v>
      </c>
      <c r="J381" t="s">
        <v>13</v>
      </c>
      <c r="K381" s="40">
        <v>4.99</v>
      </c>
      <c r="L381" s="40"/>
      <c r="M381" s="40"/>
    </row>
    <row r="382" spans="1:13">
      <c r="B382" t="s">
        <v>1144</v>
      </c>
      <c r="C382" t="s">
        <v>1143</v>
      </c>
      <c r="D382" s="13">
        <v>100</v>
      </c>
      <c r="E382" s="13">
        <v>77</v>
      </c>
      <c r="F382" s="13">
        <f>D382-E382</f>
        <v>23</v>
      </c>
      <c r="G382" t="s">
        <v>516</v>
      </c>
      <c r="H382" t="s">
        <v>11</v>
      </c>
      <c r="I382" t="s">
        <v>19</v>
      </c>
      <c r="J382" t="s">
        <v>13</v>
      </c>
      <c r="K382" s="40">
        <v>3.33</v>
      </c>
      <c r="L382" s="40"/>
      <c r="M382" s="40"/>
    </row>
    <row r="383" spans="1:13">
      <c r="B383" t="s">
        <v>1109</v>
      </c>
      <c r="C383" t="s">
        <v>1108</v>
      </c>
      <c r="D383" s="13">
        <v>1000</v>
      </c>
      <c r="E383" s="13">
        <v>770</v>
      </c>
      <c r="F383" s="13">
        <f t="shared" si="26"/>
        <v>230</v>
      </c>
      <c r="G383" t="s">
        <v>516</v>
      </c>
      <c r="H383" t="s">
        <v>11</v>
      </c>
      <c r="I383" t="s">
        <v>12</v>
      </c>
      <c r="J383" t="s">
        <v>13</v>
      </c>
      <c r="K383" s="40">
        <v>33.25</v>
      </c>
      <c r="L383" s="40"/>
      <c r="M383" s="40"/>
    </row>
    <row r="384" spans="1:13">
      <c r="A384" s="4" t="s">
        <v>1233</v>
      </c>
      <c r="B384" t="s">
        <v>1111</v>
      </c>
      <c r="C384" t="s">
        <v>1110</v>
      </c>
      <c r="D384" s="13">
        <v>150</v>
      </c>
      <c r="E384" s="13">
        <v>115.5</v>
      </c>
      <c r="F384" s="13">
        <f t="shared" si="26"/>
        <v>34.5</v>
      </c>
      <c r="G384" t="s">
        <v>516</v>
      </c>
      <c r="H384" t="s">
        <v>11</v>
      </c>
      <c r="I384" t="s">
        <v>19</v>
      </c>
      <c r="J384" t="s">
        <v>13</v>
      </c>
      <c r="K384" s="40">
        <v>4.9874999999999998</v>
      </c>
      <c r="L384" s="40"/>
      <c r="M384" s="40"/>
    </row>
    <row r="385" spans="1:13">
      <c r="B385" t="s">
        <v>1113</v>
      </c>
      <c r="C385" t="s">
        <v>1112</v>
      </c>
      <c r="D385" s="13">
        <v>1000</v>
      </c>
      <c r="E385" s="13">
        <v>770</v>
      </c>
      <c r="F385" s="13">
        <f t="shared" si="26"/>
        <v>230</v>
      </c>
      <c r="G385" t="s">
        <v>516</v>
      </c>
      <c r="H385" t="s">
        <v>11</v>
      </c>
      <c r="I385" t="s">
        <v>12</v>
      </c>
      <c r="J385" t="s">
        <v>13</v>
      </c>
      <c r="K385" s="40">
        <v>33.25</v>
      </c>
      <c r="L385" s="40"/>
      <c r="M385" s="40"/>
    </row>
    <row r="386" spans="1:13">
      <c r="A386" s="4" t="s">
        <v>1234</v>
      </c>
      <c r="B386" t="s">
        <v>1115</v>
      </c>
      <c r="C386" t="s">
        <v>1114</v>
      </c>
      <c r="D386" s="13">
        <v>150</v>
      </c>
      <c r="E386" s="13">
        <v>115.5</v>
      </c>
      <c r="F386" s="13">
        <f t="shared" si="26"/>
        <v>34.5</v>
      </c>
      <c r="G386" t="s">
        <v>516</v>
      </c>
      <c r="H386" t="s">
        <v>11</v>
      </c>
      <c r="I386" t="s">
        <v>19</v>
      </c>
      <c r="J386" t="s">
        <v>13</v>
      </c>
      <c r="K386" s="40">
        <v>4.99</v>
      </c>
      <c r="L386" s="40"/>
      <c r="M386" s="40"/>
    </row>
    <row r="387" spans="1:13">
      <c r="A387" s="4"/>
      <c r="B387" t="s">
        <v>1915</v>
      </c>
      <c r="C387" t="s">
        <v>1911</v>
      </c>
      <c r="D387" s="13">
        <v>5</v>
      </c>
      <c r="E387" s="13">
        <v>4.4000000000000004</v>
      </c>
      <c r="F387" s="13">
        <f t="shared" si="26"/>
        <v>0.59999999999999964</v>
      </c>
      <c r="G387" t="s">
        <v>516</v>
      </c>
      <c r="H387" t="s">
        <v>11</v>
      </c>
      <c r="I387" t="s">
        <v>19</v>
      </c>
      <c r="J387" t="s">
        <v>13</v>
      </c>
      <c r="K387" s="40">
        <v>0.19</v>
      </c>
      <c r="L387" s="40"/>
      <c r="M387" s="40"/>
    </row>
    <row r="388" spans="1:13">
      <c r="A388" s="4"/>
      <c r="B388" t="s">
        <v>1916</v>
      </c>
      <c r="C388" t="s">
        <v>1912</v>
      </c>
      <c r="D388" s="13">
        <v>16.7</v>
      </c>
      <c r="E388" s="13">
        <v>14.63</v>
      </c>
      <c r="F388" s="13">
        <f t="shared" si="26"/>
        <v>2.0699999999999985</v>
      </c>
      <c r="G388" t="s">
        <v>516</v>
      </c>
      <c r="H388" t="s">
        <v>11</v>
      </c>
      <c r="I388" t="s">
        <v>19</v>
      </c>
      <c r="J388" t="s">
        <v>13</v>
      </c>
      <c r="K388" s="40">
        <v>0.63</v>
      </c>
      <c r="L388" s="40"/>
      <c r="M388" s="40"/>
    </row>
    <row r="389" spans="1:13">
      <c r="A389" s="4"/>
      <c r="B389" t="s">
        <v>1917</v>
      </c>
      <c r="C389" t="s">
        <v>1913</v>
      </c>
      <c r="D389" s="13">
        <v>166.7</v>
      </c>
      <c r="E389" s="13">
        <v>146.63</v>
      </c>
      <c r="F389" s="13">
        <f t="shared" si="26"/>
        <v>20.069999999999993</v>
      </c>
      <c r="G389" t="s">
        <v>516</v>
      </c>
      <c r="H389" t="s">
        <v>11</v>
      </c>
      <c r="I389" t="s">
        <v>19</v>
      </c>
      <c r="J389" t="s">
        <v>13</v>
      </c>
      <c r="K389" s="40">
        <v>6.33</v>
      </c>
      <c r="L389" s="40"/>
      <c r="M389" s="40"/>
    </row>
    <row r="390" spans="1:13">
      <c r="A390" s="4"/>
      <c r="B390" t="s">
        <v>1918</v>
      </c>
      <c r="C390" t="s">
        <v>1914</v>
      </c>
      <c r="D390" s="13">
        <v>1666.7</v>
      </c>
      <c r="E390" s="13">
        <v>1466.63</v>
      </c>
      <c r="F390" s="13">
        <f t="shared" si="26"/>
        <v>200.06999999999994</v>
      </c>
      <c r="G390" t="s">
        <v>516</v>
      </c>
      <c r="H390" t="s">
        <v>11</v>
      </c>
      <c r="I390" t="s">
        <v>19</v>
      </c>
      <c r="J390" t="s">
        <v>13</v>
      </c>
      <c r="K390" s="40">
        <v>63.33</v>
      </c>
      <c r="L390" s="40"/>
      <c r="M390" s="40"/>
    </row>
    <row r="391" spans="1:13">
      <c r="C391"/>
      <c r="K391" s="40"/>
      <c r="L391" s="40"/>
      <c r="M391" s="40"/>
    </row>
    <row r="392" spans="1:13">
      <c r="A392" s="27"/>
      <c r="C392" s="23" t="s">
        <v>237</v>
      </c>
      <c r="K392" s="40"/>
      <c r="L392" s="40"/>
      <c r="M392" s="40"/>
    </row>
    <row r="393" spans="1:13">
      <c r="A393" s="27"/>
      <c r="B393" s="19" t="s">
        <v>483</v>
      </c>
      <c r="C393" t="s">
        <v>774</v>
      </c>
      <c r="D393" s="13">
        <v>500</v>
      </c>
      <c r="E393" s="13">
        <v>385</v>
      </c>
      <c r="F393" s="13">
        <f>D393-E393</f>
        <v>115</v>
      </c>
      <c r="G393" t="s">
        <v>516</v>
      </c>
      <c r="H393" t="s">
        <v>11</v>
      </c>
      <c r="I393" t="s">
        <v>12</v>
      </c>
      <c r="J393" s="19" t="s">
        <v>13</v>
      </c>
      <c r="K393" s="40">
        <v>16.63</v>
      </c>
      <c r="L393" s="40"/>
      <c r="M393" s="40"/>
    </row>
    <row r="394" spans="1:13">
      <c r="A394" s="27"/>
      <c r="B394" s="19"/>
      <c r="C394"/>
      <c r="J394" s="19"/>
      <c r="K394" s="40"/>
      <c r="L394" s="40"/>
      <c r="M394" s="40"/>
    </row>
    <row r="395" spans="1:13">
      <c r="A395" s="27"/>
      <c r="B395" s="19" t="s">
        <v>497</v>
      </c>
      <c r="C395" s="19" t="s">
        <v>496</v>
      </c>
      <c r="D395" s="13">
        <v>65</v>
      </c>
      <c r="E395" s="13">
        <v>57.2</v>
      </c>
      <c r="F395" s="13">
        <f>D395-E395</f>
        <v>7.7999999999999972</v>
      </c>
      <c r="G395" s="19" t="s">
        <v>516</v>
      </c>
      <c r="H395" s="19" t="s">
        <v>11</v>
      </c>
      <c r="I395" s="19" t="s">
        <v>12</v>
      </c>
      <c r="J395" s="19" t="s">
        <v>13</v>
      </c>
      <c r="K395" s="40">
        <v>2.4700000000000002</v>
      </c>
      <c r="L395" s="40"/>
      <c r="M395" s="40"/>
    </row>
    <row r="396" spans="1:13">
      <c r="A396" s="27"/>
      <c r="B396" t="s">
        <v>873</v>
      </c>
      <c r="C396" s="19" t="s">
        <v>872</v>
      </c>
      <c r="D396" s="13">
        <v>0</v>
      </c>
      <c r="E396" s="13">
        <v>0</v>
      </c>
      <c r="F396" s="13">
        <v>0</v>
      </c>
      <c r="G396" s="19" t="s">
        <v>516</v>
      </c>
      <c r="H396" s="19" t="s">
        <v>11</v>
      </c>
      <c r="I396" t="s">
        <v>27</v>
      </c>
      <c r="J396" s="19" t="s">
        <v>13</v>
      </c>
      <c r="K396" s="40"/>
      <c r="L396" s="40"/>
      <c r="M396" s="40"/>
    </row>
    <row r="397" spans="1:13">
      <c r="A397" s="27"/>
      <c r="B397" t="s">
        <v>2067</v>
      </c>
      <c r="C397" s="35" t="s">
        <v>2069</v>
      </c>
      <c r="D397" s="13">
        <v>650</v>
      </c>
      <c r="E397" s="13">
        <v>572</v>
      </c>
      <c r="F397" s="13">
        <f>D397-E397</f>
        <v>78</v>
      </c>
      <c r="G397" t="s">
        <v>516</v>
      </c>
      <c r="H397" t="s">
        <v>11</v>
      </c>
      <c r="I397" t="s">
        <v>19</v>
      </c>
      <c r="J397" s="19" t="s">
        <v>13</v>
      </c>
      <c r="K397" s="40"/>
      <c r="L397" s="40"/>
      <c r="M397" s="40"/>
    </row>
    <row r="398" spans="1:13">
      <c r="A398" s="27"/>
      <c r="B398" t="s">
        <v>2068</v>
      </c>
      <c r="C398" s="35" t="s">
        <v>2070</v>
      </c>
      <c r="D398" s="13">
        <v>630.5</v>
      </c>
      <c r="E398" s="13">
        <v>554.84</v>
      </c>
      <c r="F398" s="13">
        <f>D398-E398</f>
        <v>75.659999999999968</v>
      </c>
      <c r="G398" t="s">
        <v>516</v>
      </c>
      <c r="H398" t="s">
        <v>11</v>
      </c>
      <c r="I398" t="s">
        <v>19</v>
      </c>
      <c r="J398" s="19" t="s">
        <v>13</v>
      </c>
      <c r="K398" s="40"/>
      <c r="L398" s="40"/>
      <c r="M398" s="40"/>
    </row>
    <row r="399" spans="1:13">
      <c r="A399" s="27"/>
      <c r="B399" t="s">
        <v>834</v>
      </c>
      <c r="C399" s="19" t="s">
        <v>833</v>
      </c>
      <c r="D399" s="13">
        <v>20</v>
      </c>
      <c r="E399" s="13">
        <v>17.600000000000001</v>
      </c>
      <c r="F399" s="13">
        <f>D399-E399</f>
        <v>2.3999999999999986</v>
      </c>
      <c r="G399" t="s">
        <v>516</v>
      </c>
      <c r="H399" t="s">
        <v>11</v>
      </c>
      <c r="I399" t="s">
        <v>12</v>
      </c>
      <c r="J399" t="s">
        <v>13</v>
      </c>
      <c r="K399" s="40">
        <v>0.76</v>
      </c>
      <c r="L399" s="40"/>
      <c r="M399" s="40"/>
    </row>
    <row r="400" spans="1:13">
      <c r="A400" s="27"/>
      <c r="B400" t="s">
        <v>843</v>
      </c>
      <c r="C400" s="19" t="s">
        <v>842</v>
      </c>
      <c r="D400" s="13">
        <v>0</v>
      </c>
      <c r="E400" s="13">
        <v>0</v>
      </c>
      <c r="F400" s="13">
        <v>0</v>
      </c>
      <c r="G400" t="s">
        <v>516</v>
      </c>
      <c r="H400" t="s">
        <v>11</v>
      </c>
      <c r="I400" t="s">
        <v>27</v>
      </c>
      <c r="J400" t="s">
        <v>13</v>
      </c>
      <c r="K400" s="40"/>
      <c r="L400" s="40"/>
      <c r="M400" s="40"/>
    </row>
    <row r="401" spans="1:13">
      <c r="A401" s="27"/>
      <c r="B401" s="19"/>
      <c r="C401" s="19"/>
      <c r="K401" s="40"/>
      <c r="L401" s="40"/>
      <c r="M401" s="40"/>
    </row>
    <row r="402" spans="1:13">
      <c r="A402" s="27"/>
      <c r="C402" s="23" t="s">
        <v>1742</v>
      </c>
      <c r="K402" s="40"/>
      <c r="L402" s="40"/>
      <c r="M402" s="40"/>
    </row>
    <row r="403" spans="1:13">
      <c r="A403" s="27"/>
      <c r="B403" t="s">
        <v>1747</v>
      </c>
      <c r="C403" s="19" t="s">
        <v>1746</v>
      </c>
      <c r="D403" s="13">
        <v>300</v>
      </c>
      <c r="E403" s="13">
        <v>231</v>
      </c>
      <c r="F403" s="13">
        <f>D403-E403</f>
        <v>69</v>
      </c>
      <c r="G403" t="s">
        <v>516</v>
      </c>
      <c r="H403" t="s">
        <v>11</v>
      </c>
      <c r="I403" t="s">
        <v>27</v>
      </c>
      <c r="J403" t="s">
        <v>13</v>
      </c>
      <c r="K403" s="40">
        <v>9.75</v>
      </c>
      <c r="L403" s="40"/>
      <c r="M403" s="40"/>
    </row>
    <row r="404" spans="1:13">
      <c r="A404" s="27"/>
      <c r="B404" t="s">
        <v>1748</v>
      </c>
      <c r="C404" s="19" t="s">
        <v>1743</v>
      </c>
      <c r="D404" s="13">
        <v>0</v>
      </c>
      <c r="E404" s="13">
        <v>0</v>
      </c>
      <c r="F404" s="13">
        <v>0</v>
      </c>
      <c r="G404" t="s">
        <v>516</v>
      </c>
      <c r="H404" t="s">
        <v>11</v>
      </c>
      <c r="I404" t="s">
        <v>27</v>
      </c>
      <c r="J404" t="s">
        <v>13</v>
      </c>
      <c r="K404" s="40"/>
      <c r="L404" s="40"/>
      <c r="M404" s="40"/>
    </row>
    <row r="405" spans="1:13">
      <c r="C405" s="26"/>
      <c r="G405" s="4"/>
      <c r="K405" s="40"/>
      <c r="L405" s="40"/>
      <c r="M405" s="40"/>
    </row>
    <row r="406" spans="1:13">
      <c r="C406" s="26"/>
      <c r="G406" s="4"/>
      <c r="K406" s="40"/>
      <c r="L406" s="40"/>
      <c r="M406" s="40"/>
    </row>
    <row r="407" spans="1:13">
      <c r="A407" s="27" t="s">
        <v>203</v>
      </c>
      <c r="C407" s="23" t="s">
        <v>204</v>
      </c>
      <c r="K407" s="40"/>
      <c r="L407" s="40"/>
      <c r="M407" s="40"/>
    </row>
    <row r="408" spans="1:13">
      <c r="B408" t="s">
        <v>227</v>
      </c>
      <c r="C408" s="19" t="s">
        <v>590</v>
      </c>
      <c r="D408" s="13">
        <v>8</v>
      </c>
      <c r="E408" s="13">
        <v>7.01</v>
      </c>
      <c r="F408" s="13">
        <f>D408-E408</f>
        <v>0.99000000000000021</v>
      </c>
      <c r="G408" s="21" t="s">
        <v>516</v>
      </c>
      <c r="H408" s="21" t="s">
        <v>11</v>
      </c>
      <c r="I408" s="21" t="s">
        <v>12</v>
      </c>
      <c r="J408" s="21" t="s">
        <v>13</v>
      </c>
      <c r="K408" s="40">
        <v>0.23</v>
      </c>
      <c r="L408" s="40"/>
      <c r="M408" s="40"/>
    </row>
    <row r="409" spans="1:13">
      <c r="B409" t="s">
        <v>524</v>
      </c>
      <c r="C409" s="19" t="s">
        <v>228</v>
      </c>
      <c r="D409" s="13">
        <v>2.7</v>
      </c>
      <c r="E409" s="13">
        <v>2.31</v>
      </c>
      <c r="F409" s="13">
        <f>D409-E409</f>
        <v>0.39000000000000012</v>
      </c>
      <c r="G409" s="21" t="s">
        <v>516</v>
      </c>
      <c r="H409" s="21" t="s">
        <v>11</v>
      </c>
      <c r="I409" s="21" t="s">
        <v>12</v>
      </c>
      <c r="J409" s="21" t="s">
        <v>13</v>
      </c>
      <c r="K409" s="40">
        <v>0.08</v>
      </c>
      <c r="L409" s="40"/>
      <c r="M409" s="40"/>
    </row>
    <row r="410" spans="1:13">
      <c r="C410" s="19"/>
      <c r="G410" s="21"/>
      <c r="H410" s="21"/>
      <c r="I410" s="21"/>
      <c r="J410" s="21"/>
      <c r="K410" s="40"/>
      <c r="L410" s="40"/>
      <c r="M410" s="40"/>
    </row>
    <row r="411" spans="1:13">
      <c r="B411" s="19" t="s">
        <v>229</v>
      </c>
      <c r="C411" s="19" t="s">
        <v>591</v>
      </c>
      <c r="D411" s="13">
        <v>3.3</v>
      </c>
      <c r="E411" s="13">
        <v>2.97</v>
      </c>
      <c r="F411" s="13">
        <f>D411-E411</f>
        <v>0.32999999999999963</v>
      </c>
      <c r="G411" s="21" t="s">
        <v>516</v>
      </c>
      <c r="H411" s="21" t="s">
        <v>11</v>
      </c>
      <c r="I411" s="21" t="s">
        <v>19</v>
      </c>
      <c r="J411" s="21" t="s">
        <v>13</v>
      </c>
      <c r="K411" s="40">
        <v>0.1</v>
      </c>
      <c r="L411" s="40"/>
      <c r="M411" s="40"/>
    </row>
    <row r="412" spans="1:13">
      <c r="B412" s="19" t="s">
        <v>1838</v>
      </c>
      <c r="C412" s="19" t="s">
        <v>1831</v>
      </c>
      <c r="D412" s="13">
        <v>150</v>
      </c>
      <c r="E412" s="13">
        <v>130</v>
      </c>
      <c r="F412" s="13">
        <f>D412-E412</f>
        <v>20</v>
      </c>
      <c r="G412" s="21" t="s">
        <v>516</v>
      </c>
      <c r="H412" s="21" t="s">
        <v>1832</v>
      </c>
      <c r="I412" s="21" t="s">
        <v>12</v>
      </c>
      <c r="J412" s="21" t="s">
        <v>13</v>
      </c>
      <c r="K412" s="40"/>
      <c r="L412" s="40"/>
      <c r="M412" s="40"/>
    </row>
    <row r="413" spans="1:13">
      <c r="B413" s="19"/>
      <c r="C413" s="22"/>
      <c r="K413" s="40"/>
      <c r="L413" s="40"/>
      <c r="M413" s="40"/>
    </row>
    <row r="414" spans="1:13">
      <c r="A414" s="27" t="s">
        <v>200</v>
      </c>
      <c r="C414" s="23" t="s">
        <v>191</v>
      </c>
      <c r="K414" s="40"/>
      <c r="L414" s="40"/>
      <c r="M414" s="40"/>
    </row>
    <row r="415" spans="1:13">
      <c r="B415" t="s">
        <v>231</v>
      </c>
      <c r="C415" t="s">
        <v>230</v>
      </c>
      <c r="D415" s="13">
        <v>2</v>
      </c>
      <c r="E415" s="13">
        <v>1.76</v>
      </c>
      <c r="F415" s="13">
        <f>D415-E415</f>
        <v>0.24</v>
      </c>
      <c r="G415" t="s">
        <v>516</v>
      </c>
      <c r="H415" t="s">
        <v>11</v>
      </c>
      <c r="I415" t="s">
        <v>19</v>
      </c>
      <c r="J415" t="s">
        <v>13</v>
      </c>
      <c r="K415" s="40">
        <v>0.8</v>
      </c>
      <c r="L415" s="40"/>
      <c r="M415" s="40"/>
    </row>
    <row r="416" spans="1:13">
      <c r="B416" t="s">
        <v>233</v>
      </c>
      <c r="C416" t="s">
        <v>232</v>
      </c>
      <c r="D416" s="13">
        <v>100</v>
      </c>
      <c r="E416" s="13">
        <v>88</v>
      </c>
      <c r="F416" s="13">
        <f>D416-E416</f>
        <v>12</v>
      </c>
      <c r="G416" t="s">
        <v>516</v>
      </c>
      <c r="H416" t="s">
        <v>11</v>
      </c>
      <c r="I416" t="s">
        <v>19</v>
      </c>
      <c r="J416" t="s">
        <v>13</v>
      </c>
      <c r="K416" s="40">
        <v>3.8</v>
      </c>
      <c r="L416" s="40"/>
      <c r="M416" s="40"/>
    </row>
    <row r="417" spans="1:13">
      <c r="K417" s="40"/>
      <c r="L417" s="40"/>
      <c r="M417" s="40"/>
    </row>
    <row r="418" spans="1:13">
      <c r="A418" s="27" t="s">
        <v>244</v>
      </c>
      <c r="C418" s="23" t="s">
        <v>234</v>
      </c>
      <c r="K418" s="40"/>
      <c r="L418" s="40"/>
      <c r="M418" s="40"/>
    </row>
    <row r="419" spans="1:13">
      <c r="B419" s="21" t="s">
        <v>654</v>
      </c>
      <c r="C419" s="32" t="s">
        <v>1324</v>
      </c>
      <c r="D419" s="13">
        <v>100</v>
      </c>
      <c r="E419" s="13">
        <v>82.5</v>
      </c>
      <c r="F419" s="13">
        <f t="shared" ref="F419:F420" si="27">D419-E419</f>
        <v>17.5</v>
      </c>
      <c r="G419" s="21" t="s">
        <v>516</v>
      </c>
      <c r="H419" s="21" t="s">
        <v>11</v>
      </c>
      <c r="I419" s="21" t="s">
        <v>12</v>
      </c>
      <c r="J419" s="21" t="s">
        <v>13</v>
      </c>
      <c r="K419" s="40">
        <v>3.56</v>
      </c>
      <c r="L419" s="40"/>
      <c r="M419" s="40"/>
    </row>
    <row r="420" spans="1:13">
      <c r="B420" s="21" t="s">
        <v>655</v>
      </c>
      <c r="C420" s="32" t="s">
        <v>1325</v>
      </c>
      <c r="D420" s="13">
        <v>15</v>
      </c>
      <c r="E420" s="13">
        <v>12.430000000000001</v>
      </c>
      <c r="F420" s="13">
        <f t="shared" si="27"/>
        <v>2.5699999999999985</v>
      </c>
      <c r="G420" s="21" t="s">
        <v>516</v>
      </c>
      <c r="H420" s="21" t="s">
        <v>11</v>
      </c>
      <c r="I420" s="21" t="s">
        <v>12</v>
      </c>
      <c r="J420" s="21" t="s">
        <v>13</v>
      </c>
      <c r="K420" s="40">
        <v>0.54</v>
      </c>
      <c r="L420" s="40"/>
      <c r="M420" s="40"/>
    </row>
    <row r="421" spans="1:13">
      <c r="K421" s="40"/>
      <c r="L421" s="40"/>
      <c r="M421" s="40"/>
    </row>
    <row r="422" spans="1:13">
      <c r="A422" s="27" t="s">
        <v>124</v>
      </c>
      <c r="C422" s="23" t="s">
        <v>235</v>
      </c>
      <c r="K422" s="40"/>
      <c r="L422" s="40"/>
      <c r="M422" s="40"/>
    </row>
    <row r="423" spans="1:13">
      <c r="A423" s="4" t="s">
        <v>1235</v>
      </c>
      <c r="B423" s="21" t="s">
        <v>657</v>
      </c>
      <c r="C423" s="21" t="s">
        <v>656</v>
      </c>
      <c r="D423" s="13">
        <v>50</v>
      </c>
      <c r="E423" s="13">
        <v>41.25</v>
      </c>
      <c r="F423" s="13">
        <f t="shared" ref="F423:F437" si="28">D423-E423</f>
        <v>8.75</v>
      </c>
      <c r="G423" s="21" t="s">
        <v>516</v>
      </c>
      <c r="H423" s="21" t="s">
        <v>11</v>
      </c>
      <c r="I423" s="21" t="s">
        <v>12</v>
      </c>
      <c r="J423" s="21" t="s">
        <v>13</v>
      </c>
      <c r="K423" s="40">
        <v>7.13</v>
      </c>
      <c r="L423" s="40"/>
      <c r="M423" s="40"/>
    </row>
    <row r="424" spans="1:13">
      <c r="A424" s="4" t="s">
        <v>1235</v>
      </c>
      <c r="B424" s="21" t="s">
        <v>659</v>
      </c>
      <c r="C424" s="21" t="s">
        <v>658</v>
      </c>
      <c r="D424" s="13">
        <v>10</v>
      </c>
      <c r="E424" s="13">
        <v>8.25</v>
      </c>
      <c r="F424" s="13">
        <f t="shared" si="28"/>
        <v>1.75</v>
      </c>
      <c r="G424" s="21" t="s">
        <v>516</v>
      </c>
      <c r="H424" s="21" t="s">
        <v>11</v>
      </c>
      <c r="I424" s="21" t="s">
        <v>12</v>
      </c>
      <c r="J424" s="21" t="s">
        <v>13</v>
      </c>
      <c r="K424" s="40">
        <v>0.36</v>
      </c>
      <c r="L424" s="40"/>
      <c r="M424" s="40"/>
    </row>
    <row r="425" spans="1:13">
      <c r="A425" s="4"/>
      <c r="B425" s="21" t="s">
        <v>1844</v>
      </c>
      <c r="C425" s="21" t="s">
        <v>1843</v>
      </c>
      <c r="D425" s="13">
        <v>5</v>
      </c>
      <c r="E425" s="13">
        <v>4.4000000000000004</v>
      </c>
      <c r="F425" s="13">
        <f>D425-E425</f>
        <v>0.59999999999999964</v>
      </c>
      <c r="G425" s="21" t="s">
        <v>516</v>
      </c>
      <c r="H425" s="21" t="s">
        <v>11</v>
      </c>
      <c r="I425" s="21" t="s">
        <v>12</v>
      </c>
      <c r="J425" s="21" t="s">
        <v>13</v>
      </c>
      <c r="K425" s="40">
        <v>0.19</v>
      </c>
      <c r="L425" s="40"/>
      <c r="M425" s="40"/>
    </row>
    <row r="426" spans="1:13">
      <c r="A426" s="4" t="s">
        <v>1235</v>
      </c>
      <c r="B426" s="21" t="s">
        <v>661</v>
      </c>
      <c r="C426" s="21" t="s">
        <v>660</v>
      </c>
      <c r="D426" s="13">
        <v>20</v>
      </c>
      <c r="E426" s="13">
        <v>16.5</v>
      </c>
      <c r="F426" s="13">
        <f t="shared" si="28"/>
        <v>3.5</v>
      </c>
      <c r="G426" s="21" t="s">
        <v>516</v>
      </c>
      <c r="H426" s="21" t="s">
        <v>11</v>
      </c>
      <c r="I426" s="21" t="s">
        <v>12</v>
      </c>
      <c r="J426" s="21" t="s">
        <v>13</v>
      </c>
      <c r="K426" s="40">
        <v>0.71</v>
      </c>
      <c r="L426" s="40"/>
      <c r="M426" s="40"/>
    </row>
    <row r="427" spans="1:13">
      <c r="A427" s="4" t="s">
        <v>1235</v>
      </c>
      <c r="B427" s="21" t="s">
        <v>663</v>
      </c>
      <c r="C427" s="21" t="s">
        <v>662</v>
      </c>
      <c r="D427" s="13">
        <v>200</v>
      </c>
      <c r="E427" s="13">
        <v>165</v>
      </c>
      <c r="F427" s="13">
        <f t="shared" si="28"/>
        <v>35</v>
      </c>
      <c r="G427" s="21" t="s">
        <v>516</v>
      </c>
      <c r="H427" s="21" t="s">
        <v>11</v>
      </c>
      <c r="I427" s="21" t="s">
        <v>12</v>
      </c>
      <c r="J427" s="21" t="s">
        <v>13</v>
      </c>
      <c r="K427" s="40">
        <v>0.54</v>
      </c>
      <c r="L427" s="40"/>
      <c r="M427" s="40"/>
    </row>
    <row r="428" spans="1:13">
      <c r="A428" s="4" t="s">
        <v>1235</v>
      </c>
      <c r="B428" s="21" t="s">
        <v>891</v>
      </c>
      <c r="C428" s="21" t="s">
        <v>890</v>
      </c>
      <c r="D428" s="13">
        <v>100</v>
      </c>
      <c r="E428" s="13">
        <v>82.5</v>
      </c>
      <c r="F428" s="13">
        <f t="shared" si="28"/>
        <v>17.5</v>
      </c>
      <c r="G428" s="21" t="s">
        <v>516</v>
      </c>
      <c r="H428" s="21" t="s">
        <v>11</v>
      </c>
      <c r="I428" s="21" t="s">
        <v>12</v>
      </c>
      <c r="J428" s="21" t="s">
        <v>13</v>
      </c>
      <c r="K428" s="40">
        <v>3.56</v>
      </c>
      <c r="L428" s="40"/>
      <c r="M428" s="40"/>
    </row>
    <row r="429" spans="1:13">
      <c r="A429" s="4" t="s">
        <v>1235</v>
      </c>
      <c r="B429" s="21" t="s">
        <v>893</v>
      </c>
      <c r="C429" s="21" t="s">
        <v>892</v>
      </c>
      <c r="D429" s="13">
        <v>70</v>
      </c>
      <c r="E429" s="13">
        <v>57.75</v>
      </c>
      <c r="F429" s="13">
        <f t="shared" si="28"/>
        <v>12.25</v>
      </c>
      <c r="G429" s="21" t="s">
        <v>516</v>
      </c>
      <c r="H429" s="21" t="s">
        <v>11</v>
      </c>
      <c r="I429" s="21" t="s">
        <v>12</v>
      </c>
      <c r="J429" s="21" t="s">
        <v>13</v>
      </c>
      <c r="K429" s="40">
        <v>2.4900000000000002</v>
      </c>
      <c r="L429" s="40"/>
      <c r="M429" s="40"/>
    </row>
    <row r="430" spans="1:13">
      <c r="A430" s="4"/>
      <c r="B430" s="21" t="s">
        <v>1718</v>
      </c>
      <c r="C430" s="21" t="s">
        <v>1717</v>
      </c>
      <c r="D430" s="13">
        <v>32</v>
      </c>
      <c r="E430" s="13">
        <v>26.4</v>
      </c>
      <c r="F430" s="13">
        <f t="shared" si="28"/>
        <v>5.6000000000000014</v>
      </c>
      <c r="G430" s="32" t="s">
        <v>516</v>
      </c>
      <c r="H430" s="32" t="s">
        <v>11</v>
      </c>
      <c r="I430" s="32" t="s">
        <v>12</v>
      </c>
      <c r="J430" s="32" t="s">
        <v>13</v>
      </c>
      <c r="K430" s="40">
        <v>1.1399999999999999</v>
      </c>
      <c r="L430" s="40"/>
      <c r="M430" s="40"/>
    </row>
    <row r="431" spans="1:13">
      <c r="A431" s="4"/>
      <c r="B431" s="21" t="s">
        <v>1720</v>
      </c>
      <c r="C431" s="21" t="s">
        <v>1719</v>
      </c>
      <c r="D431" s="13">
        <v>12</v>
      </c>
      <c r="E431" s="13">
        <v>9.9</v>
      </c>
      <c r="F431" s="13">
        <f t="shared" si="28"/>
        <v>2.0999999999999996</v>
      </c>
      <c r="G431" s="32" t="s">
        <v>516</v>
      </c>
      <c r="H431" s="32" t="s">
        <v>11</v>
      </c>
      <c r="I431" s="32" t="s">
        <v>12</v>
      </c>
      <c r="J431" s="32" t="s">
        <v>13</v>
      </c>
      <c r="K431" s="40">
        <v>0.43</v>
      </c>
      <c r="L431" s="40"/>
      <c r="M431" s="40"/>
    </row>
    <row r="432" spans="1:13">
      <c r="A432" s="4" t="s">
        <v>1235</v>
      </c>
      <c r="B432" s="21" t="s">
        <v>665</v>
      </c>
      <c r="C432" s="21" t="s">
        <v>664</v>
      </c>
      <c r="D432" s="13">
        <v>100</v>
      </c>
      <c r="E432" s="13">
        <v>82.5</v>
      </c>
      <c r="F432" s="13">
        <f t="shared" si="28"/>
        <v>17.5</v>
      </c>
      <c r="G432" s="21" t="s">
        <v>516</v>
      </c>
      <c r="H432" s="21" t="s">
        <v>11</v>
      </c>
      <c r="I432" s="21" t="s">
        <v>12</v>
      </c>
      <c r="J432" s="21" t="s">
        <v>13</v>
      </c>
      <c r="K432" s="40">
        <v>3.56</v>
      </c>
      <c r="L432" s="40"/>
      <c r="M432" s="40"/>
    </row>
    <row r="433" spans="1:171">
      <c r="B433" s="21"/>
      <c r="G433" s="21"/>
      <c r="H433" s="21"/>
      <c r="I433" s="21"/>
      <c r="J433" s="21"/>
      <c r="K433" s="40"/>
      <c r="L433" s="40"/>
      <c r="M433" s="40"/>
    </row>
    <row r="434" spans="1:171">
      <c r="A434" s="4" t="s">
        <v>1235</v>
      </c>
      <c r="B434" s="21" t="s">
        <v>1039</v>
      </c>
      <c r="C434" s="21" t="s">
        <v>1038</v>
      </c>
      <c r="D434" s="13">
        <v>40</v>
      </c>
      <c r="E434" s="13">
        <v>33</v>
      </c>
      <c r="F434" s="13">
        <f>D434-E434</f>
        <v>7</v>
      </c>
      <c r="G434" s="21" t="s">
        <v>516</v>
      </c>
      <c r="H434" s="21" t="s">
        <v>11</v>
      </c>
      <c r="I434" s="21" t="s">
        <v>12</v>
      </c>
      <c r="J434" s="21" t="s">
        <v>13</v>
      </c>
      <c r="K434" s="40">
        <v>1.43</v>
      </c>
      <c r="L434" s="40"/>
      <c r="M434" s="40"/>
    </row>
    <row r="435" spans="1:171">
      <c r="A435" s="4" t="s">
        <v>1235</v>
      </c>
      <c r="B435" s="21" t="s">
        <v>1041</v>
      </c>
      <c r="C435" s="21" t="s">
        <v>1040</v>
      </c>
      <c r="D435" s="13">
        <v>150</v>
      </c>
      <c r="E435" s="13">
        <v>123.75</v>
      </c>
      <c r="F435" s="13">
        <f>D435-E435</f>
        <v>26.25</v>
      </c>
      <c r="G435" s="21" t="s">
        <v>516</v>
      </c>
      <c r="H435" s="21" t="s">
        <v>11</v>
      </c>
      <c r="I435" s="21" t="s">
        <v>19</v>
      </c>
      <c r="J435" s="21" t="s">
        <v>13</v>
      </c>
      <c r="K435" s="40">
        <v>5.34</v>
      </c>
      <c r="L435" s="40"/>
      <c r="M435" s="40"/>
    </row>
    <row r="436" spans="1:171">
      <c r="B436" s="21"/>
      <c r="G436" s="21"/>
      <c r="H436" s="21"/>
      <c r="I436" s="21"/>
      <c r="J436" s="21"/>
      <c r="K436" s="40"/>
      <c r="L436" s="40"/>
      <c r="M436" s="40"/>
    </row>
    <row r="437" spans="1:171" s="29" customFormat="1">
      <c r="A437" s="4" t="s">
        <v>1235</v>
      </c>
      <c r="B437" s="21" t="s">
        <v>668</v>
      </c>
      <c r="C437" s="21" t="s">
        <v>667</v>
      </c>
      <c r="D437" s="13">
        <v>500</v>
      </c>
      <c r="E437" s="13">
        <v>412.5</v>
      </c>
      <c r="F437" s="13">
        <f t="shared" si="28"/>
        <v>87.5</v>
      </c>
      <c r="G437" s="21" t="s">
        <v>516</v>
      </c>
      <c r="H437" s="21" t="s">
        <v>11</v>
      </c>
      <c r="I437" s="21" t="s">
        <v>12</v>
      </c>
      <c r="J437" s="21" t="s">
        <v>13</v>
      </c>
      <c r="K437" s="40">
        <v>17.809999999999999</v>
      </c>
      <c r="L437" s="40"/>
      <c r="M437" s="40"/>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c r="CA437"/>
      <c r="CB437"/>
      <c r="CC437"/>
      <c r="CD437"/>
      <c r="CE437"/>
      <c r="CF437"/>
      <c r="CG437"/>
      <c r="CH437"/>
      <c r="CI437"/>
      <c r="CJ437"/>
      <c r="CK437"/>
      <c r="CL437"/>
      <c r="CM437"/>
      <c r="CN437"/>
      <c r="CO437"/>
      <c r="CP437"/>
      <c r="CQ437"/>
      <c r="CR437"/>
      <c r="CS437"/>
      <c r="CT437"/>
      <c r="CU437"/>
      <c r="CV437"/>
      <c r="CW437"/>
      <c r="CX437"/>
      <c r="CY437"/>
      <c r="CZ437"/>
      <c r="DA437"/>
      <c r="DB437"/>
      <c r="DC437"/>
      <c r="DD437"/>
      <c r="DE437"/>
      <c r="DF437"/>
      <c r="DG437"/>
      <c r="DH437"/>
      <c r="DI437"/>
      <c r="DJ437"/>
      <c r="DK437"/>
      <c r="DL437"/>
      <c r="DM437"/>
      <c r="DN437"/>
      <c r="DO437"/>
      <c r="DP437"/>
      <c r="DQ437"/>
      <c r="DR437"/>
      <c r="DS437"/>
      <c r="DT437"/>
      <c r="DU437"/>
      <c r="DV437"/>
      <c r="DW437"/>
      <c r="DX437"/>
      <c r="DY437"/>
      <c r="DZ437"/>
      <c r="EA437"/>
      <c r="EB437"/>
      <c r="EC437"/>
      <c r="ED437"/>
      <c r="EE437"/>
      <c r="EF437"/>
      <c r="EG437"/>
      <c r="EH437"/>
      <c r="EI437"/>
      <c r="EJ437"/>
      <c r="EK437"/>
      <c r="EL437"/>
      <c r="EM437"/>
      <c r="EN437"/>
      <c r="EO437"/>
      <c r="EP437"/>
      <c r="EQ437"/>
      <c r="ER437"/>
      <c r="ES437"/>
      <c r="ET437"/>
      <c r="EU437"/>
      <c r="EV437"/>
      <c r="EW437"/>
      <c r="EX437"/>
      <c r="EY437"/>
      <c r="EZ437"/>
      <c r="FA437"/>
      <c r="FB437"/>
      <c r="FC437"/>
      <c r="FD437"/>
      <c r="FE437"/>
      <c r="FF437"/>
      <c r="FG437"/>
      <c r="FH437"/>
      <c r="FI437"/>
      <c r="FJ437"/>
      <c r="FK437"/>
      <c r="FL437"/>
      <c r="FM437"/>
      <c r="FN437"/>
      <c r="FO437"/>
    </row>
    <row r="438" spans="1:171">
      <c r="B438" s="21"/>
      <c r="G438" s="8"/>
      <c r="K438" s="40"/>
      <c r="L438" s="40"/>
      <c r="M438" s="40"/>
    </row>
    <row r="439" spans="1:171">
      <c r="A439" s="27" t="s">
        <v>757</v>
      </c>
      <c r="C439" s="2" t="s">
        <v>577</v>
      </c>
      <c r="K439" s="40"/>
      <c r="L439" s="40"/>
      <c r="M439" s="40"/>
    </row>
    <row r="440" spans="1:171">
      <c r="B440" s="21" t="s">
        <v>573</v>
      </c>
      <c r="C440" s="21" t="s">
        <v>572</v>
      </c>
      <c r="D440" s="13">
        <v>1500</v>
      </c>
      <c r="E440" s="13">
        <v>1237.5</v>
      </c>
      <c r="F440" s="13">
        <f>D440-E440</f>
        <v>262.5</v>
      </c>
      <c r="G440" s="21" t="s">
        <v>516</v>
      </c>
      <c r="H440" s="21" t="s">
        <v>11</v>
      </c>
      <c r="I440" s="21" t="s">
        <v>12</v>
      </c>
      <c r="J440" s="21" t="s">
        <v>13</v>
      </c>
      <c r="K440" s="40">
        <v>53.4375</v>
      </c>
      <c r="L440" s="40"/>
      <c r="M440" s="40"/>
    </row>
    <row r="441" spans="1:171">
      <c r="B441" s="21" t="s">
        <v>576</v>
      </c>
      <c r="C441" s="21" t="s">
        <v>575</v>
      </c>
      <c r="D441" s="13">
        <v>1000</v>
      </c>
      <c r="E441" s="13">
        <v>825</v>
      </c>
      <c r="F441" s="13">
        <f>D441-E441</f>
        <v>175</v>
      </c>
      <c r="G441" s="21" t="s">
        <v>516</v>
      </c>
      <c r="H441" s="21" t="s">
        <v>11</v>
      </c>
      <c r="I441" s="21" t="s">
        <v>19</v>
      </c>
      <c r="J441" s="21" t="s">
        <v>13</v>
      </c>
      <c r="K441" s="40">
        <v>35.625</v>
      </c>
      <c r="L441" s="40"/>
      <c r="M441" s="40"/>
    </row>
    <row r="442" spans="1:171">
      <c r="B442" s="21" t="s">
        <v>606</v>
      </c>
      <c r="C442" s="21" t="s">
        <v>605</v>
      </c>
      <c r="D442" s="13">
        <v>1000</v>
      </c>
      <c r="E442" s="13">
        <v>825</v>
      </c>
      <c r="F442" s="13">
        <f>D442-E442</f>
        <v>175</v>
      </c>
      <c r="G442" s="21" t="s">
        <v>516</v>
      </c>
      <c r="H442" s="21" t="s">
        <v>11</v>
      </c>
      <c r="I442" s="21" t="s">
        <v>12</v>
      </c>
      <c r="J442" s="21" t="s">
        <v>13</v>
      </c>
      <c r="K442" s="40">
        <v>35.625</v>
      </c>
      <c r="L442" s="40"/>
      <c r="M442" s="40"/>
    </row>
    <row r="443" spans="1:171">
      <c r="B443" s="21" t="s">
        <v>1894</v>
      </c>
      <c r="C443" s="21" t="s">
        <v>1893</v>
      </c>
      <c r="D443" s="13">
        <v>1000</v>
      </c>
      <c r="E443" s="13">
        <v>825</v>
      </c>
      <c r="F443" s="13">
        <f>D443-E443</f>
        <v>175</v>
      </c>
      <c r="G443" s="21" t="s">
        <v>516</v>
      </c>
      <c r="H443" s="21" t="s">
        <v>11</v>
      </c>
      <c r="I443" s="21" t="s">
        <v>19</v>
      </c>
      <c r="J443" s="21" t="s">
        <v>13</v>
      </c>
      <c r="K443" s="40">
        <v>35.630000000000003</v>
      </c>
      <c r="L443" s="40"/>
      <c r="M443" s="40"/>
    </row>
    <row r="444" spans="1:171">
      <c r="K444" s="40" t="s">
        <v>1131</v>
      </c>
      <c r="L444" s="40"/>
      <c r="M444" s="40"/>
    </row>
    <row r="445" spans="1:171">
      <c r="A445" s="4" t="s">
        <v>1236</v>
      </c>
      <c r="C445" s="2" t="s">
        <v>929</v>
      </c>
      <c r="K445" s="40"/>
      <c r="L445" s="40"/>
      <c r="M445" s="40"/>
    </row>
    <row r="446" spans="1:171">
      <c r="B446" t="s">
        <v>887</v>
      </c>
      <c r="C446" t="s">
        <v>886</v>
      </c>
      <c r="D446" s="13">
        <v>1000</v>
      </c>
      <c r="E446" s="13">
        <v>825</v>
      </c>
      <c r="F446" s="13">
        <f>D446-E446</f>
        <v>175</v>
      </c>
      <c r="G446" t="s">
        <v>516</v>
      </c>
      <c r="H446" t="s">
        <v>11</v>
      </c>
      <c r="I446" t="s">
        <v>12</v>
      </c>
      <c r="J446" t="s">
        <v>13</v>
      </c>
      <c r="K446" s="40">
        <v>35.625</v>
      </c>
      <c r="L446" s="40"/>
      <c r="M446" s="40"/>
    </row>
    <row r="447" spans="1:171">
      <c r="B447" t="s">
        <v>889</v>
      </c>
      <c r="C447" t="s">
        <v>888</v>
      </c>
      <c r="D447" s="13">
        <v>0</v>
      </c>
      <c r="E447" s="13">
        <v>0</v>
      </c>
      <c r="F447" s="13">
        <v>0</v>
      </c>
      <c r="G447" t="s">
        <v>516</v>
      </c>
      <c r="H447" t="s">
        <v>11</v>
      </c>
      <c r="I447" t="s">
        <v>19</v>
      </c>
      <c r="J447" t="s">
        <v>13</v>
      </c>
      <c r="K447" s="40"/>
      <c r="L447" s="40"/>
      <c r="M447" s="40"/>
    </row>
    <row r="448" spans="1:171">
      <c r="B448" s="55" t="s">
        <v>1695</v>
      </c>
      <c r="C448" s="55" t="s">
        <v>1694</v>
      </c>
      <c r="D448" s="13">
        <v>450</v>
      </c>
      <c r="E448" s="13">
        <v>371.25</v>
      </c>
      <c r="F448" s="13">
        <f>D448-E448</f>
        <v>78.75</v>
      </c>
      <c r="G448" t="s">
        <v>516</v>
      </c>
      <c r="H448" t="s">
        <v>11</v>
      </c>
      <c r="I448" t="s">
        <v>19</v>
      </c>
      <c r="J448" t="s">
        <v>13</v>
      </c>
      <c r="K448" s="40">
        <v>16.03</v>
      </c>
      <c r="L448" s="40"/>
      <c r="M448" s="40"/>
    </row>
    <row r="449" spans="1:13">
      <c r="C449"/>
      <c r="K449" s="40"/>
      <c r="L449" s="40"/>
      <c r="M449" s="40"/>
    </row>
    <row r="450" spans="1:13">
      <c r="A450" s="4" t="s">
        <v>1237</v>
      </c>
      <c r="C450" s="2" t="s">
        <v>1028</v>
      </c>
      <c r="K450" s="40"/>
      <c r="L450" s="40"/>
      <c r="M450" s="40"/>
    </row>
    <row r="451" spans="1:13">
      <c r="A451" s="4" t="s">
        <v>1237</v>
      </c>
      <c r="B451" t="s">
        <v>1030</v>
      </c>
      <c r="C451" t="s">
        <v>1029</v>
      </c>
      <c r="D451" s="13">
        <v>1500</v>
      </c>
      <c r="E451" s="13">
        <v>1050</v>
      </c>
      <c r="F451" s="13">
        <f t="shared" ref="F451:F452" si="29">D451-E451</f>
        <v>450</v>
      </c>
      <c r="G451" t="s">
        <v>516</v>
      </c>
      <c r="H451" t="s">
        <v>11</v>
      </c>
      <c r="I451" t="s">
        <v>12</v>
      </c>
      <c r="J451" t="s">
        <v>13</v>
      </c>
      <c r="K451" s="40"/>
      <c r="L451" s="40"/>
      <c r="M451" s="40"/>
    </row>
    <row r="452" spans="1:13">
      <c r="A452" s="4" t="s">
        <v>1237</v>
      </c>
      <c r="B452" t="s">
        <v>1032</v>
      </c>
      <c r="C452" t="s">
        <v>1031</v>
      </c>
      <c r="D452" s="13">
        <v>1500</v>
      </c>
      <c r="E452" s="13">
        <v>1050</v>
      </c>
      <c r="F452" s="13">
        <f t="shared" si="29"/>
        <v>450</v>
      </c>
      <c r="G452" t="s">
        <v>516</v>
      </c>
      <c r="H452" t="s">
        <v>11</v>
      </c>
      <c r="I452" t="s">
        <v>12</v>
      </c>
      <c r="J452" t="s">
        <v>13</v>
      </c>
      <c r="K452" s="40"/>
      <c r="L452" s="40"/>
      <c r="M452" s="40"/>
    </row>
    <row r="453" spans="1:13">
      <c r="C453"/>
      <c r="K453" s="40"/>
      <c r="L453" s="40"/>
      <c r="M453" s="40"/>
    </row>
    <row r="454" spans="1:13">
      <c r="C454"/>
      <c r="D454"/>
      <c r="K454" s="40"/>
      <c r="L454" s="40"/>
      <c r="M454" s="40"/>
    </row>
    <row r="455" spans="1:13">
      <c r="B455" s="50" t="s">
        <v>1294</v>
      </c>
      <c r="C455" s="50" t="s">
        <v>1293</v>
      </c>
      <c r="D455" s="13">
        <v>1000</v>
      </c>
      <c r="E455" s="13">
        <v>880</v>
      </c>
      <c r="F455" s="13">
        <f>D455-E455</f>
        <v>120</v>
      </c>
      <c r="G455" s="50" t="s">
        <v>516</v>
      </c>
      <c r="H455" s="50" t="s">
        <v>11</v>
      </c>
      <c r="I455" s="50" t="s">
        <v>19</v>
      </c>
      <c r="J455" s="50" t="s">
        <v>13</v>
      </c>
      <c r="K455" s="40"/>
      <c r="L455" s="40"/>
      <c r="M455" s="40"/>
    </row>
    <row r="456" spans="1:13">
      <c r="B456" s="53" t="s">
        <v>1397</v>
      </c>
      <c r="C456" s="53" t="s">
        <v>1396</v>
      </c>
      <c r="D456" s="13">
        <v>2</v>
      </c>
      <c r="E456" s="13">
        <v>1.76</v>
      </c>
      <c r="F456" s="13">
        <f>D456-E456</f>
        <v>0.24</v>
      </c>
      <c r="G456" s="53" t="s">
        <v>516</v>
      </c>
      <c r="H456" s="53" t="s">
        <v>11</v>
      </c>
      <c r="I456" s="53" t="s">
        <v>19</v>
      </c>
      <c r="J456" s="53" t="s">
        <v>13</v>
      </c>
      <c r="K456" s="40"/>
      <c r="L456" s="40"/>
      <c r="M456" s="40"/>
    </row>
    <row r="457" spans="1:13">
      <c r="B457" s="53" t="s">
        <v>1408</v>
      </c>
      <c r="C457" s="53" t="s">
        <v>1833</v>
      </c>
      <c r="D457" s="13">
        <v>4</v>
      </c>
      <c r="E457" s="13">
        <v>3.52</v>
      </c>
      <c r="F457" s="13">
        <f>D457-E457</f>
        <v>0.48</v>
      </c>
      <c r="G457" s="53" t="s">
        <v>516</v>
      </c>
      <c r="H457" s="53" t="s">
        <v>11</v>
      </c>
      <c r="I457" s="53" t="s">
        <v>19</v>
      </c>
      <c r="J457" s="53" t="s">
        <v>13</v>
      </c>
      <c r="K457" s="40"/>
      <c r="L457" s="40"/>
      <c r="M457" s="40"/>
    </row>
    <row r="458" spans="1:13">
      <c r="B458" s="53" t="s">
        <v>1908</v>
      </c>
      <c r="C458" s="53" t="s">
        <v>1905</v>
      </c>
      <c r="D458" s="13">
        <v>12</v>
      </c>
      <c r="E458" s="13">
        <v>10.56</v>
      </c>
      <c r="F458" s="13">
        <f t="shared" ref="F458:F460" si="30">D458-E458</f>
        <v>1.4399999999999995</v>
      </c>
      <c r="G458" s="53" t="s">
        <v>516</v>
      </c>
      <c r="H458" s="53" t="s">
        <v>11</v>
      </c>
      <c r="I458" s="53" t="s">
        <v>12</v>
      </c>
      <c r="J458" s="53" t="s">
        <v>13</v>
      </c>
      <c r="K458" s="40">
        <v>0.46</v>
      </c>
      <c r="L458" s="40"/>
      <c r="M458" s="40"/>
    </row>
    <row r="459" spans="1:13">
      <c r="B459" s="53" t="s">
        <v>1909</v>
      </c>
      <c r="C459" s="53" t="s">
        <v>1906</v>
      </c>
      <c r="D459" s="13">
        <v>4</v>
      </c>
      <c r="E459" s="13">
        <v>3.52</v>
      </c>
      <c r="F459" s="13">
        <f t="shared" si="30"/>
        <v>0.48</v>
      </c>
      <c r="G459" s="53" t="s">
        <v>516</v>
      </c>
      <c r="H459" s="53" t="s">
        <v>11</v>
      </c>
      <c r="I459" s="53" t="s">
        <v>12</v>
      </c>
      <c r="J459" s="53" t="s">
        <v>13</v>
      </c>
      <c r="K459" s="40">
        <v>0.15</v>
      </c>
      <c r="L459" s="40"/>
      <c r="M459" s="40"/>
    </row>
    <row r="460" spans="1:13">
      <c r="B460" s="53" t="s">
        <v>1910</v>
      </c>
      <c r="C460" s="53" t="s">
        <v>1907</v>
      </c>
      <c r="D460" s="13">
        <v>0</v>
      </c>
      <c r="E460" s="13">
        <v>0</v>
      </c>
      <c r="F460" s="13">
        <f t="shared" si="30"/>
        <v>0</v>
      </c>
      <c r="G460" s="53" t="s">
        <v>516</v>
      </c>
      <c r="H460" s="53" t="s">
        <v>11</v>
      </c>
      <c r="I460" s="53" t="s">
        <v>27</v>
      </c>
      <c r="J460" s="53" t="s">
        <v>13</v>
      </c>
      <c r="K460" s="40">
        <v>0</v>
      </c>
      <c r="L460" s="40"/>
      <c r="M460" s="40"/>
    </row>
    <row r="461" spans="1:13">
      <c r="B461" s="53" t="s">
        <v>1840</v>
      </c>
      <c r="C461" s="53" t="s">
        <v>1839</v>
      </c>
      <c r="D461" s="13">
        <v>5000</v>
      </c>
      <c r="E461" s="13">
        <v>4400</v>
      </c>
      <c r="F461" s="13">
        <f>D461-E461</f>
        <v>600</v>
      </c>
      <c r="G461" s="53" t="s">
        <v>516</v>
      </c>
      <c r="H461" s="53" t="s">
        <v>11</v>
      </c>
      <c r="I461" t="s">
        <v>12</v>
      </c>
      <c r="J461" s="53" t="s">
        <v>13</v>
      </c>
      <c r="K461" s="40"/>
      <c r="L461" s="40"/>
      <c r="M461" s="40"/>
    </row>
    <row r="462" spans="1:13">
      <c r="B462" s="53" t="s">
        <v>1842</v>
      </c>
      <c r="C462" s="53" t="s">
        <v>1841</v>
      </c>
      <c r="D462" s="13">
        <v>4</v>
      </c>
      <c r="E462" s="13">
        <v>3.52</v>
      </c>
      <c r="F462" s="13">
        <f>D462-E462</f>
        <v>0.48</v>
      </c>
      <c r="G462" s="53" t="s">
        <v>516</v>
      </c>
      <c r="H462" s="53" t="s">
        <v>11</v>
      </c>
      <c r="I462" s="53" t="s">
        <v>19</v>
      </c>
      <c r="J462" s="53" t="s">
        <v>13</v>
      </c>
      <c r="K462" s="40"/>
      <c r="L462" s="40"/>
      <c r="M462" s="40"/>
    </row>
    <row r="463" spans="1:13">
      <c r="B463" s="53"/>
      <c r="C463" s="53"/>
      <c r="K463" s="40"/>
      <c r="L463" s="40"/>
      <c r="M463" s="40"/>
    </row>
    <row r="464" spans="1:13">
      <c r="C464" s="2" t="s">
        <v>1430</v>
      </c>
      <c r="K464" s="40"/>
      <c r="L464" s="40"/>
      <c r="M464" s="40"/>
    </row>
    <row r="465" spans="2:13">
      <c r="B465" s="21" t="s">
        <v>1432</v>
      </c>
      <c r="C465" s="21" t="s">
        <v>1431</v>
      </c>
      <c r="D465" s="13">
        <v>2500</v>
      </c>
      <c r="E465" s="13">
        <v>2200</v>
      </c>
      <c r="F465" s="13">
        <f>D465-E465</f>
        <v>300</v>
      </c>
      <c r="G465" t="s">
        <v>516</v>
      </c>
      <c r="H465" t="s">
        <v>11</v>
      </c>
      <c r="I465" t="s">
        <v>19</v>
      </c>
      <c r="J465" s="53" t="s">
        <v>13</v>
      </c>
      <c r="K465" s="40"/>
      <c r="L465" s="40"/>
      <c r="M465" s="40"/>
    </row>
    <row r="466" spans="2:13">
      <c r="K466" s="40"/>
      <c r="L466" s="40"/>
      <c r="M466" s="40"/>
    </row>
    <row r="467" spans="2:13">
      <c r="B467" s="21" t="s">
        <v>1434</v>
      </c>
      <c r="C467" s="21" t="s">
        <v>1433</v>
      </c>
      <c r="D467" s="13">
        <v>4</v>
      </c>
      <c r="E467" s="13">
        <v>3.52</v>
      </c>
      <c r="F467" s="13">
        <f>D467-E467</f>
        <v>0.48</v>
      </c>
      <c r="G467" t="s">
        <v>516</v>
      </c>
      <c r="H467" t="s">
        <v>11</v>
      </c>
      <c r="I467" t="s">
        <v>12</v>
      </c>
      <c r="J467" s="53" t="s">
        <v>13</v>
      </c>
      <c r="K467" s="40">
        <v>0.15</v>
      </c>
      <c r="L467" s="40"/>
      <c r="M467" s="40"/>
    </row>
    <row r="468" spans="2:13">
      <c r="K468" s="40"/>
      <c r="L468" s="40"/>
      <c r="M468" s="40"/>
    </row>
    <row r="469" spans="2:13">
      <c r="B469" s="21" t="s">
        <v>1722</v>
      </c>
      <c r="C469" s="21" t="s">
        <v>1721</v>
      </c>
      <c r="D469" s="13">
        <v>10</v>
      </c>
      <c r="E469" s="13">
        <v>8.8000000000000007</v>
      </c>
      <c r="F469" s="13">
        <f>D469-E469</f>
        <v>1.1999999999999993</v>
      </c>
      <c r="G469" t="s">
        <v>516</v>
      </c>
      <c r="H469" t="s">
        <v>11</v>
      </c>
      <c r="I469" t="s">
        <v>19</v>
      </c>
      <c r="J469" s="53" t="s">
        <v>13</v>
      </c>
      <c r="K469" s="40">
        <v>0.38</v>
      </c>
      <c r="L469" s="40"/>
      <c r="M469" s="40"/>
    </row>
    <row r="470" spans="2:13">
      <c r="B470" s="21"/>
      <c r="K470" s="40"/>
      <c r="L470" s="40"/>
      <c r="M470" s="40"/>
    </row>
    <row r="471" spans="2:13">
      <c r="B471" s="21" t="s">
        <v>2065</v>
      </c>
      <c r="C471" s="21" t="s">
        <v>2063</v>
      </c>
      <c r="D471" s="13">
        <v>650</v>
      </c>
      <c r="E471" s="13">
        <v>572</v>
      </c>
      <c r="F471" s="13">
        <f>D471-E471</f>
        <v>78</v>
      </c>
      <c r="G471" t="s">
        <v>516</v>
      </c>
      <c r="H471" t="s">
        <v>11</v>
      </c>
      <c r="I471" t="s">
        <v>12</v>
      </c>
      <c r="J471" s="53" t="s">
        <v>13</v>
      </c>
      <c r="K471" s="40"/>
      <c r="L471" s="40"/>
      <c r="M471" s="40"/>
    </row>
    <row r="472" spans="2:13">
      <c r="B472" s="21" t="s">
        <v>2066</v>
      </c>
      <c r="C472" s="21" t="s">
        <v>2064</v>
      </c>
      <c r="D472" s="13">
        <v>630.5</v>
      </c>
      <c r="E472" s="13">
        <v>554.84</v>
      </c>
      <c r="F472" s="13">
        <f>D472-E472</f>
        <v>75.659999999999968</v>
      </c>
      <c r="G472" t="s">
        <v>516</v>
      </c>
      <c r="H472" t="s">
        <v>11</v>
      </c>
      <c r="I472" t="s">
        <v>12</v>
      </c>
      <c r="J472" s="53" t="s">
        <v>13</v>
      </c>
      <c r="K472" s="40"/>
      <c r="L472" s="40"/>
      <c r="M472" s="40"/>
    </row>
  </sheetData>
  <sheetProtection algorithmName="SHA-512" hashValue="MYStQYuN/s4jQqmC4BsjbijeiA68eJR31nY6pd3Kw50cZZkk/+BP19hjXMQmLjyPEwsYHigGU7DfKcOq+HZSNA==" saltValue="YZk0lV+bt0lI7Z1rrNzs1g==" spinCount="100000" sheet="1" objects="1" scenarios="1"/>
  <phoneticPr fontId="32" type="noConversion"/>
  <conditionalFormatting sqref="B79">
    <cfRule type="duplicateValues" dxfId="10" priority="10"/>
  </conditionalFormatting>
  <conditionalFormatting sqref="B197">
    <cfRule type="duplicateValues" dxfId="9" priority="15"/>
  </conditionalFormatting>
  <conditionalFormatting sqref="B455">
    <cfRule type="duplicateValues" dxfId="8" priority="9"/>
  </conditionalFormatting>
  <hyperlinks>
    <hyperlink ref="K1:M1" location="'Incentives Guide'!A1" display="Global H2 Incentive" xr:uid="{4EAB5489-B1CD-4134-B7A8-8F6890A93EAF}"/>
    <hyperlink ref="A3" r:id="rId1" xr:uid="{40F8563A-6D2A-40FD-B0D5-ABAD40EFB72B}"/>
    <hyperlink ref="A4" r:id="rId2" xr:uid="{759A86E3-CFFA-4B1A-907A-D28C71DB4519}"/>
    <hyperlink ref="A5" r:id="rId3" xr:uid="{7755EC91-2FFD-4402-A733-E4BD438BB7B0}"/>
    <hyperlink ref="A7" r:id="rId4" xr:uid="{B20F6F4B-2704-45C9-B6B7-A2420D534EAB}"/>
    <hyperlink ref="A8" r:id="rId5" xr:uid="{8FF5FF76-7A38-48E9-9110-A5DFAADF4C80}"/>
    <hyperlink ref="A12" r:id="rId6" xr:uid="{133A9DBD-0F60-4109-AB7A-3F3BEA3368C7}"/>
    <hyperlink ref="A10" r:id="rId7" xr:uid="{CCC49AC2-D0CA-4784-908A-23AE0B9E9FEA}"/>
    <hyperlink ref="A11" r:id="rId8" xr:uid="{C2250707-556B-4929-BC8B-A94ACF7E1F2C}"/>
    <hyperlink ref="A17" r:id="rId9" xr:uid="{D79D7EAA-CF1C-4BAC-B8CB-11D172B2F64A}"/>
    <hyperlink ref="A19" r:id="rId10" xr:uid="{44460ACF-B558-4F1A-ADED-EE934C2BE530}"/>
    <hyperlink ref="A20" r:id="rId11" xr:uid="{4C94788D-42EC-4988-8ADB-01AF055795F1}"/>
    <hyperlink ref="A21" r:id="rId12" xr:uid="{2E6DE076-D446-414E-AECF-40EB1FE58115}"/>
    <hyperlink ref="A23" r:id="rId13" xr:uid="{8AF1EC3C-CAAF-47E0-BD1E-3FEFDDED2BF2}"/>
    <hyperlink ref="A24" r:id="rId14" xr:uid="{DBEF269E-FDA8-48E3-8E41-3A2BFB48376E}"/>
    <hyperlink ref="A25" r:id="rId15" xr:uid="{1EA8FEF4-2FB9-4237-82C9-3CBDD2332EE6}"/>
    <hyperlink ref="A26" r:id="rId16" xr:uid="{FACA58CC-D100-4E7C-BD58-32A6A35DFB4C}"/>
    <hyperlink ref="A30" r:id="rId17" xr:uid="{300D8363-BC0F-4F29-A255-5E5869F9FA51}"/>
    <hyperlink ref="A31" r:id="rId18" xr:uid="{B8608E11-46E8-438E-9092-B34196B48A6B}"/>
    <hyperlink ref="A33" r:id="rId19" xr:uid="{D043F3B9-42D8-4904-A8C5-86FE7CD9D65B}"/>
    <hyperlink ref="A35" r:id="rId20" xr:uid="{0236CECB-1745-40EF-840D-984C46D4A8B5}"/>
    <hyperlink ref="A36" r:id="rId21" xr:uid="{6BCAEEE3-78C9-48F2-A237-C7B67E5533CC}"/>
    <hyperlink ref="A37" r:id="rId22" xr:uid="{2F63D6A8-50E9-4782-B223-F31964CB99AA}"/>
    <hyperlink ref="A39" r:id="rId23" location="office-ProductsCompare-785zwzq" display="https://www.microsoft.com/en-us/microsoft-365/exchange/advance-threat-protection - office-ProductsCompare-785zwzq" xr:uid="{FF64D154-39BF-4142-BAEB-87B598514686}"/>
    <hyperlink ref="A41" r:id="rId24" xr:uid="{015061F4-5D43-44FA-82B6-57B91949A06A}"/>
    <hyperlink ref="A43" r:id="rId25" xr:uid="{77921340-8C3F-4C2C-AB1B-FD88A9EF6A6D}"/>
    <hyperlink ref="A47" r:id="rId26" xr:uid="{789D23DA-016A-4E7F-8027-4745F0AD943C}"/>
    <hyperlink ref="A49" r:id="rId27" xr:uid="{FF6BAF4E-6ED6-474D-8E87-7068F942C5D1}"/>
    <hyperlink ref="A55" r:id="rId28" xr:uid="{B27FF48B-694F-4AF7-8F3D-F4A38D5732DD}"/>
    <hyperlink ref="A59" r:id="rId29" xr:uid="{3D373E35-E865-4B36-9A5E-1E6CDF70B801}"/>
    <hyperlink ref="A69" r:id="rId30" xr:uid="{58518CDF-FB79-4894-91C1-9C9574A4A42C}"/>
    <hyperlink ref="A73" r:id="rId31" xr:uid="{12874064-CDA0-4A25-8AB2-FE42A468DE2F}"/>
    <hyperlink ref="A71" r:id="rId32" xr:uid="{E5CFD08E-08EE-4660-A5CD-2F1398B4D610}"/>
    <hyperlink ref="A70" r:id="rId33" xr:uid="{A5F0CF31-D802-4E5C-9A11-7601D52A246F}"/>
    <hyperlink ref="A77" r:id="rId34" xr:uid="{C9923A94-2B98-44A0-A561-A60AB2629423}"/>
    <hyperlink ref="A78" r:id="rId35" xr:uid="{A1675825-0761-468F-B7FE-A91FCDD949D0}"/>
    <hyperlink ref="A82" r:id="rId36" xr:uid="{3F431D94-E05D-4E2C-BC6E-36E8020E4A75}"/>
    <hyperlink ref="A88" r:id="rId37" xr:uid="{5E76D796-E7A3-4D00-A604-D1AA5AC94A2A}"/>
    <hyperlink ref="A83" r:id="rId38" xr:uid="{4F13747C-7BBD-4153-834F-E15A073CD792}"/>
    <hyperlink ref="A84" r:id="rId39" location=":~:text=How%20to%20buy%20Microsoft%20365%20Phone%20System%20%E2%80%93,System%20%E2%80%93%20Virtual%20User%20license.%20Select%20Buy%20now." display="https://docs.microsoft.com/en-us/microsoftteams/teams-add-on-licensing/virtual-user - :~:text=How%20to%20buy%20Microsoft%20365%20Phone%20System%20%E2%80%93,System%20%E2%80%93%20Virtual%20User%20license.%20Select%20Buy%20now." xr:uid="{B9BAFC4D-0FD8-4850-85CB-1454272CFB47}"/>
    <hyperlink ref="A85" r:id="rId40" location="how-to-buy-microsoft-365-phone-system--virtual-user-licenses" display="https://docs.microsoft.com/en-us/microsoftteams/teams-add-on-licensing/virtual-user - how-to-buy-microsoft-365-phone-system--virtual-user-licenses" xr:uid="{A0682D51-DCF3-4B08-A3B0-731E1ACE6BBA}"/>
    <hyperlink ref="A87" r:id="rId41" xr:uid="{5DB96FA4-BF94-4BE9-985A-0C3BAE05EF4A}"/>
    <hyperlink ref="A90" r:id="rId42" location="pricingconferencing" display="https://www.microsoft.com/en-us/microsoft-365/microsoft-teams/online-meetings - pricingconferencing" xr:uid="{74C71DC6-672C-42A5-8CF3-40D9E77492F1}"/>
    <hyperlink ref="A101" r:id="rId43" xr:uid="{9F9CAA80-97DF-4655-BBDE-B73BD92FBE0D}"/>
    <hyperlink ref="A112" r:id="rId44" xr:uid="{010647C7-4D14-4FC7-B94F-73BFD717A22A}"/>
    <hyperlink ref="A162" r:id="rId45" xr:uid="{9E789632-F04F-4FBC-B92C-68BB3F7013A1}"/>
    <hyperlink ref="A164" r:id="rId46" xr:uid="{BF7724D6-C853-4F83-AE29-A8699FEEEC8E}"/>
    <hyperlink ref="A118" r:id="rId47" location="related-topics" display="https://docs.microsoft.com/en-us/windows/deployment/windows-10-enterprise-e3-overview - related-topics" xr:uid="{19F2E0A2-BB99-49B4-A1B3-4F7FF550578C}"/>
    <hyperlink ref="A120" r:id="rId48" xr:uid="{6C91FC76-C7C7-4434-93FE-C71B89201745}"/>
    <hyperlink ref="A161" r:id="rId49" xr:uid="{62D87053-FCB3-47E5-A507-49F20E0FC83C}"/>
    <hyperlink ref="A163" r:id="rId50" xr:uid="{E0F4CC81-E6E6-45ED-AD40-2196542AC5FE}"/>
    <hyperlink ref="A168" r:id="rId51" xr:uid="{B26E2DA5-F000-4603-8159-3CCC5570E94E}"/>
    <hyperlink ref="A172" r:id="rId52" xr:uid="{AEA79C7D-0ED7-4FE8-9C4A-AB4428EAF505}"/>
    <hyperlink ref="A174" r:id="rId53" xr:uid="{0145179B-C37F-4763-B196-CEDF0A558CC0}"/>
    <hyperlink ref="A178" r:id="rId54" xr:uid="{BDAD1954-EBC9-4DB3-8618-06B29EDD1A76}"/>
    <hyperlink ref="A180" r:id="rId55" location="the-device-license" display="https://docs.microsoft.com/en-us/dynamics365/business-central/ui-how-users-permissions - the-device-license" xr:uid="{043AD34D-A96B-487D-879B-8D13C2D3BEC0}"/>
    <hyperlink ref="A182" r:id="rId56" xr:uid="{B32574BD-F465-4F4F-B6E0-D902D5485131}"/>
    <hyperlink ref="A184" r:id="rId57" xr:uid="{289191CB-325A-4B8E-B41E-62062C7CD2E7}"/>
    <hyperlink ref="A186" r:id="rId58" xr:uid="{4982C9DB-B1CB-4804-AD00-208614B29494}"/>
    <hyperlink ref="A188" r:id="rId59" xr:uid="{D5A9E323-F55E-401C-9798-3E42DF161B4F}"/>
    <hyperlink ref="A191" r:id="rId60" xr:uid="{E9F6F144-5880-45AF-AE10-BE81F6A32FB5}"/>
    <hyperlink ref="A199" r:id="rId61" xr:uid="{A87E4237-97C8-4F22-BF81-6AB502D3E145}"/>
    <hyperlink ref="A200" r:id="rId62" xr:uid="{71913A4E-450C-4410-A05A-6150DEB7DC70}"/>
    <hyperlink ref="A201" r:id="rId63" location="Finance" display="https://dynamics.microsoft.com/en-us/pricing/ - Finance" xr:uid="{99B42D63-32D7-45A4-AF9F-515191A37970}"/>
    <hyperlink ref="A205" r:id="rId64" xr:uid="{5FC759FE-9C31-4DA0-B23D-6005E8C66CC9}"/>
    <hyperlink ref="A221" r:id="rId65" location="Operations" display="Operations" xr:uid="{76F4EB7D-7095-4ECA-80B2-420903B2371F}"/>
    <hyperlink ref="A219" r:id="rId66" xr:uid="{68DE7E38-C539-4854-8874-E9B55AC5BE92}"/>
    <hyperlink ref="A223" r:id="rId67" xr:uid="{82158C56-DEAE-4F7D-9554-99252285CDB4}"/>
    <hyperlink ref="A226" r:id="rId68" xr:uid="{F5E92705-7E30-490D-BE61-D419D34D7B35}"/>
    <hyperlink ref="A231" r:id="rId69" xr:uid="{50A88D30-6882-4C4A-8065-35BE618851D2}"/>
    <hyperlink ref="A230" r:id="rId70" xr:uid="{813D3A4F-C7EA-4B4C-B562-B35AAD7A789B}"/>
    <hyperlink ref="A277" r:id="rId71" xr:uid="{4E2B6565-609C-4D86-8A18-1859D433B8F9}"/>
    <hyperlink ref="A290" r:id="rId72" xr:uid="{575C6FFA-1602-461F-936E-E8211C2C3FAE}"/>
    <hyperlink ref="A296" r:id="rId73" xr:uid="{9F6A39DB-C3F9-4387-8079-4EEFC9EE321F}"/>
    <hyperlink ref="A291" r:id="rId74" xr:uid="{9E4E3D93-B6E6-467B-A2E1-41E5E753A96D}"/>
    <hyperlink ref="A292" r:id="rId75" xr:uid="{33D640E5-85C1-460C-BB00-087A97885A27}"/>
    <hyperlink ref="A295" r:id="rId76" xr:uid="{727C6DBC-C2D9-4BCD-A109-7D3F4AD98778}"/>
    <hyperlink ref="A303" r:id="rId77" location="Sales" display="https://dynamics.microsoft.com/en-us/pricing/ - Sales" xr:uid="{92FC981A-4287-45A4-B697-28D4A9CDBD2F}"/>
    <hyperlink ref="A298" r:id="rId78" xr:uid="{89E7B783-9E52-4A1F-80B6-1277A9C574E1}"/>
    <hyperlink ref="A308" r:id="rId79" xr:uid="{7F022CF7-71F9-44AD-A774-89EA7F282820}"/>
    <hyperlink ref="A305" r:id="rId80" location="Sales" display="https://dynamics.microsoft.com/en-us/pricing/ - Sales" xr:uid="{61FC39B4-B3B7-422E-B95B-CA6BC435A472}"/>
    <hyperlink ref="A323" r:id="rId81" xr:uid="{406A6BED-BE8E-4509-8962-D28E7ECD4C7D}"/>
    <hyperlink ref="A349" r:id="rId82" xr:uid="{311CD2E9-E9C4-4F21-9982-128DF11ED5EE}"/>
    <hyperlink ref="A358" r:id="rId83" xr:uid="{50948FC6-1BF4-4600-A1EC-CCCB2D39C116}"/>
    <hyperlink ref="A367" r:id="rId84" xr:uid="{824ED7A8-87E5-4A12-91A6-A6A9DAC89A68}"/>
    <hyperlink ref="A379" r:id="rId85" xr:uid="{A20A6395-5493-4D27-A9A3-D42E93944198}"/>
    <hyperlink ref="A384" r:id="rId86" xr:uid="{E1E0526A-8DAA-4684-A1A9-FE5479182EDB}"/>
    <hyperlink ref="A386" r:id="rId87" xr:uid="{C665A9AC-FB28-493E-9958-6452A1A5657E}"/>
    <hyperlink ref="A414" r:id="rId88" xr:uid="{D92CA806-6179-41C1-89E1-D0AE8944A952}"/>
    <hyperlink ref="A407" r:id="rId89" xr:uid="{0358CDC3-6C23-425E-8FFB-8296669FE15B}"/>
    <hyperlink ref="A418" r:id="rId90" xr:uid="{4B320473-3A67-4A0B-8F49-F0E590B0E260}"/>
    <hyperlink ref="A422" r:id="rId91" xr:uid="{1B12F3C2-1AF6-4EDE-8498-1AA9EBC46199}"/>
    <hyperlink ref="A439" r:id="rId92" xr:uid="{974204FE-EC58-4042-9ABD-FD537EEEC757}"/>
    <hyperlink ref="A423" r:id="rId93" xr:uid="{8574039B-A693-4549-9D9E-FBE15E129126}"/>
    <hyperlink ref="A424" r:id="rId94" xr:uid="{735F8216-D6E9-443F-8CBA-E1493D7A0DBA}"/>
    <hyperlink ref="A426" r:id="rId95" xr:uid="{9C9A92D4-7211-4B17-B256-BB23AD7B1337}"/>
    <hyperlink ref="A427" r:id="rId96" xr:uid="{D9F82994-6C16-49EB-9B30-A63028470CE5}"/>
    <hyperlink ref="A428" r:id="rId97" xr:uid="{F4414950-F15A-4457-B6B2-347D6C75A676}"/>
    <hyperlink ref="A432" r:id="rId98" xr:uid="{6244269A-DA20-476B-99A9-681540473935}"/>
    <hyperlink ref="A434" r:id="rId99" xr:uid="{A1770E5B-2F27-4E2C-A7CD-F0518E55468A}"/>
    <hyperlink ref="A435" r:id="rId100" xr:uid="{31452494-EF68-4F86-B289-E7839C0A862C}"/>
    <hyperlink ref="A429" r:id="rId101" xr:uid="{A3CAE0B7-01DB-4C61-8E32-4ED576BA9D9B}"/>
    <hyperlink ref="A437" r:id="rId102" xr:uid="{BF378B1E-AA2E-4968-83A3-9CD8E51FB0A0}"/>
    <hyperlink ref="A445" r:id="rId103" xr:uid="{B7D4678D-162F-4C2B-9824-542F800EE23E}"/>
    <hyperlink ref="A450" r:id="rId104" xr:uid="{722B80B1-1A27-42FB-8F69-0FABDB96FDE3}"/>
    <hyperlink ref="A451" r:id="rId105" xr:uid="{1B06BE71-F65C-46EB-884F-21DC47D50768}"/>
    <hyperlink ref="A452" r:id="rId106" xr:uid="{DAFF91F1-3862-47A5-A3B0-AE352714E233}"/>
    <hyperlink ref="A300" r:id="rId107" xr:uid="{1DD70988-A55D-4336-85C4-314A0B8D9BF4}"/>
  </hyperlinks>
  <pageMargins left="0.25" right="0.25" top="1.135" bottom="0.75" header="0.3" footer="0.3"/>
  <pageSetup scale="92" orientation="landscape" r:id="rId10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1648E-F658-4D5D-A4B6-3F4107FE76EE}">
  <dimension ref="A1:CM554"/>
  <sheetViews>
    <sheetView zoomScale="60" zoomScaleNormal="60" workbookViewId="0">
      <pane ySplit="1" topLeftCell="A2" activePane="bottomLeft" state="frozen"/>
      <selection pane="bottomLeft" activeCell="C536" sqref="C536"/>
    </sheetView>
  </sheetViews>
  <sheetFormatPr defaultRowHeight="15"/>
  <cols>
    <col min="1" max="1" width="35.28515625" customWidth="1"/>
    <col min="2" max="2" width="39.42578125" bestFit="1" customWidth="1"/>
    <col min="3" max="3" width="104.42578125" customWidth="1"/>
    <col min="4" max="4" width="17" style="13" bestFit="1" customWidth="1"/>
    <col min="5" max="5" width="14.42578125" style="13" bestFit="1" customWidth="1"/>
    <col min="6" max="6" width="16.140625" style="13" bestFit="1" customWidth="1"/>
    <col min="7" max="7" width="23.140625" bestFit="1" customWidth="1"/>
    <col min="8" max="8" width="13.42578125" bestFit="1" customWidth="1"/>
    <col min="9" max="9" width="22.28515625" bestFit="1" customWidth="1"/>
    <col min="10" max="10" width="35.5703125" bestFit="1" customWidth="1"/>
    <col min="11" max="11" width="22.7109375" bestFit="1" customWidth="1"/>
    <col min="12" max="12" width="18.5703125" bestFit="1" customWidth="1"/>
    <col min="13" max="13" width="22.42578125" bestFit="1" customWidth="1"/>
  </cols>
  <sheetData>
    <row r="1" spans="1:13">
      <c r="A1" s="43" t="s">
        <v>403</v>
      </c>
      <c r="B1" s="43" t="s">
        <v>1</v>
      </c>
      <c r="C1" s="43" t="s">
        <v>0</v>
      </c>
      <c r="D1" s="16" t="s">
        <v>6</v>
      </c>
      <c r="E1" s="16" t="s">
        <v>7</v>
      </c>
      <c r="F1" s="16" t="s">
        <v>8</v>
      </c>
      <c r="G1" s="43" t="s">
        <v>2</v>
      </c>
      <c r="H1" s="43" t="s">
        <v>3</v>
      </c>
      <c r="I1" s="43" t="s">
        <v>4</v>
      </c>
      <c r="J1" s="43" t="s">
        <v>5</v>
      </c>
      <c r="K1" s="44" t="s">
        <v>1130</v>
      </c>
      <c r="L1" s="45" t="s">
        <v>1128</v>
      </c>
      <c r="M1" s="45" t="s">
        <v>1129</v>
      </c>
    </row>
    <row r="2" spans="1:13">
      <c r="A2" s="3"/>
      <c r="B2" s="3"/>
      <c r="C2" s="46" t="s">
        <v>120</v>
      </c>
      <c r="D2" s="18"/>
      <c r="E2" s="18"/>
      <c r="F2" s="18"/>
      <c r="G2" s="3"/>
      <c r="H2" s="3"/>
      <c r="I2" s="3"/>
      <c r="J2" s="3"/>
      <c r="K2" s="41"/>
      <c r="L2" s="41"/>
      <c r="M2" s="41"/>
    </row>
    <row r="3" spans="1:13">
      <c r="A3" s="4" t="s">
        <v>1238</v>
      </c>
      <c r="B3" t="s">
        <v>303</v>
      </c>
      <c r="C3" t="s">
        <v>372</v>
      </c>
      <c r="D3" s="13">
        <v>0</v>
      </c>
      <c r="E3" s="13">
        <v>0</v>
      </c>
      <c r="F3" s="13">
        <f t="shared" ref="F3:F8" si="0">D3-E3</f>
        <v>0</v>
      </c>
      <c r="G3" t="s">
        <v>246</v>
      </c>
      <c r="H3" t="s">
        <v>11</v>
      </c>
      <c r="I3" t="s">
        <v>12</v>
      </c>
      <c r="J3" t="s">
        <v>247</v>
      </c>
      <c r="K3" s="41"/>
      <c r="L3" s="41"/>
      <c r="M3" s="41"/>
    </row>
    <row r="4" spans="1:13">
      <c r="A4" s="3"/>
      <c r="B4" t="s">
        <v>304</v>
      </c>
      <c r="C4" t="s">
        <v>373</v>
      </c>
      <c r="D4" s="13">
        <v>0</v>
      </c>
      <c r="E4" s="13">
        <v>0</v>
      </c>
      <c r="F4" s="13">
        <f t="shared" si="0"/>
        <v>0</v>
      </c>
      <c r="G4" t="s">
        <v>246</v>
      </c>
      <c r="H4" t="s">
        <v>11</v>
      </c>
      <c r="I4" t="s">
        <v>19</v>
      </c>
      <c r="J4" t="s">
        <v>247</v>
      </c>
      <c r="K4" s="41"/>
      <c r="L4" s="41"/>
      <c r="M4" s="41"/>
    </row>
    <row r="5" spans="1:13">
      <c r="A5" s="3"/>
      <c r="B5" t="s">
        <v>305</v>
      </c>
      <c r="C5" t="s">
        <v>374</v>
      </c>
      <c r="D5" s="13">
        <v>0</v>
      </c>
      <c r="E5" s="13">
        <v>0</v>
      </c>
      <c r="F5" s="13">
        <f t="shared" si="0"/>
        <v>0</v>
      </c>
      <c r="G5" t="s">
        <v>246</v>
      </c>
      <c r="H5" t="s">
        <v>11</v>
      </c>
      <c r="I5" t="s">
        <v>12</v>
      </c>
      <c r="J5" t="s">
        <v>250</v>
      </c>
      <c r="K5" s="41"/>
      <c r="L5" s="41"/>
      <c r="M5" s="41"/>
    </row>
    <row r="6" spans="1:13">
      <c r="A6" s="3"/>
      <c r="B6" t="s">
        <v>306</v>
      </c>
      <c r="C6" t="s">
        <v>375</v>
      </c>
      <c r="D6" s="13">
        <v>0</v>
      </c>
      <c r="E6" s="13">
        <v>0</v>
      </c>
      <c r="F6" s="13">
        <f t="shared" si="0"/>
        <v>0</v>
      </c>
      <c r="G6" t="s">
        <v>246</v>
      </c>
      <c r="H6" t="s">
        <v>11</v>
      </c>
      <c r="I6" t="s">
        <v>19</v>
      </c>
      <c r="J6" t="s">
        <v>250</v>
      </c>
      <c r="K6" s="41"/>
      <c r="L6" s="41"/>
      <c r="M6" s="41"/>
    </row>
    <row r="7" spans="1:13">
      <c r="A7" s="3"/>
      <c r="B7" t="s">
        <v>307</v>
      </c>
      <c r="C7" t="s">
        <v>376</v>
      </c>
      <c r="D7" s="13">
        <v>3.25</v>
      </c>
      <c r="E7" s="13">
        <v>2.8600000000000003</v>
      </c>
      <c r="F7" s="13">
        <f t="shared" si="0"/>
        <v>0.38999999999999968</v>
      </c>
      <c r="G7" t="s">
        <v>246</v>
      </c>
      <c r="H7" t="s">
        <v>11</v>
      </c>
      <c r="I7" t="s">
        <v>12</v>
      </c>
      <c r="J7" t="s">
        <v>247</v>
      </c>
      <c r="K7" s="41">
        <v>0.1</v>
      </c>
      <c r="L7" s="41"/>
      <c r="M7" s="41"/>
    </row>
    <row r="8" spans="1:13">
      <c r="A8" s="3"/>
      <c r="B8" t="s">
        <v>308</v>
      </c>
      <c r="C8" t="s">
        <v>377</v>
      </c>
      <c r="D8" s="13">
        <v>2.5</v>
      </c>
      <c r="E8" s="13">
        <v>2.2000000000000002</v>
      </c>
      <c r="F8" s="13">
        <f t="shared" si="0"/>
        <v>0.29999999999999982</v>
      </c>
      <c r="G8" t="s">
        <v>246</v>
      </c>
      <c r="H8" t="s">
        <v>11</v>
      </c>
      <c r="I8" t="s">
        <v>12</v>
      </c>
      <c r="J8" t="s">
        <v>250</v>
      </c>
      <c r="K8" s="41">
        <v>0.08</v>
      </c>
      <c r="L8" s="41"/>
      <c r="M8" s="41"/>
    </row>
    <row r="9" spans="1:13">
      <c r="A9" s="3"/>
      <c r="B9" t="s">
        <v>309</v>
      </c>
      <c r="C9" t="s">
        <v>378</v>
      </c>
      <c r="D9" s="13">
        <v>0</v>
      </c>
      <c r="E9" s="13">
        <v>0</v>
      </c>
      <c r="F9" s="13">
        <v>0</v>
      </c>
      <c r="G9" t="s">
        <v>246</v>
      </c>
      <c r="H9" t="s">
        <v>11</v>
      </c>
      <c r="I9" t="s">
        <v>12</v>
      </c>
      <c r="J9" t="s">
        <v>250</v>
      </c>
      <c r="K9" s="41"/>
      <c r="L9" s="41"/>
      <c r="M9" s="41"/>
    </row>
    <row r="10" spans="1:13">
      <c r="A10" s="3"/>
      <c r="B10" t="s">
        <v>310</v>
      </c>
      <c r="C10" t="s">
        <v>379</v>
      </c>
      <c r="D10" s="13">
        <v>8</v>
      </c>
      <c r="E10" s="13">
        <v>7.04</v>
      </c>
      <c r="F10" s="13">
        <f>D10-E10</f>
        <v>0.96</v>
      </c>
      <c r="G10" t="s">
        <v>246</v>
      </c>
      <c r="H10" t="s">
        <v>11</v>
      </c>
      <c r="I10" t="s">
        <v>12</v>
      </c>
      <c r="J10" t="s">
        <v>247</v>
      </c>
      <c r="K10" s="41">
        <v>0.26</v>
      </c>
      <c r="L10" s="41"/>
      <c r="M10" s="41"/>
    </row>
    <row r="11" spans="1:13">
      <c r="A11" s="3"/>
      <c r="B11" t="s">
        <v>311</v>
      </c>
      <c r="C11" t="s">
        <v>380</v>
      </c>
      <c r="D11" s="13">
        <v>6</v>
      </c>
      <c r="E11" s="13">
        <v>5.28</v>
      </c>
      <c r="F11" s="13">
        <f>D11-E11</f>
        <v>0.71999999999999975</v>
      </c>
      <c r="G11" t="s">
        <v>246</v>
      </c>
      <c r="H11" t="s">
        <v>11</v>
      </c>
      <c r="I11" t="s">
        <v>12</v>
      </c>
      <c r="J11" t="s">
        <v>250</v>
      </c>
      <c r="K11" s="41">
        <v>0.19</v>
      </c>
      <c r="L11" s="41"/>
      <c r="M11" s="41"/>
    </row>
    <row r="12" spans="1:13">
      <c r="A12" s="3"/>
      <c r="B12" t="s">
        <v>312</v>
      </c>
      <c r="C12" t="s">
        <v>381</v>
      </c>
      <c r="G12" t="s">
        <v>246</v>
      </c>
      <c r="H12" t="s">
        <v>11</v>
      </c>
      <c r="I12" t="s">
        <v>12</v>
      </c>
      <c r="J12" t="s">
        <v>250</v>
      </c>
      <c r="K12" s="41"/>
      <c r="L12" s="41"/>
      <c r="M12" s="41"/>
    </row>
    <row r="13" spans="1:13">
      <c r="A13" s="3"/>
      <c r="B13" t="s">
        <v>313</v>
      </c>
      <c r="C13" t="s">
        <v>382</v>
      </c>
      <c r="D13" s="13">
        <v>8</v>
      </c>
      <c r="E13" s="13">
        <v>7.04</v>
      </c>
      <c r="F13" s="13">
        <f>D13-E13</f>
        <v>0.96</v>
      </c>
      <c r="G13" t="s">
        <v>246</v>
      </c>
      <c r="H13" t="s">
        <v>11</v>
      </c>
      <c r="I13" t="s">
        <v>12</v>
      </c>
      <c r="J13" t="s">
        <v>247</v>
      </c>
      <c r="K13" s="41">
        <v>0.26</v>
      </c>
      <c r="L13" s="41"/>
      <c r="M13" s="41"/>
    </row>
    <row r="14" spans="1:13">
      <c r="A14" s="3"/>
      <c r="B14" t="s">
        <v>314</v>
      </c>
      <c r="C14" t="s">
        <v>383</v>
      </c>
      <c r="D14" s="13">
        <v>6</v>
      </c>
      <c r="E14" s="13">
        <v>5.2799999999999994</v>
      </c>
      <c r="F14" s="13">
        <f>D14-E14</f>
        <v>0.72000000000000064</v>
      </c>
      <c r="G14" t="s">
        <v>246</v>
      </c>
      <c r="H14" t="s">
        <v>11</v>
      </c>
      <c r="I14" t="s">
        <v>12</v>
      </c>
      <c r="J14" t="s">
        <v>250</v>
      </c>
      <c r="K14" s="41">
        <v>0.19</v>
      </c>
      <c r="L14" s="41"/>
      <c r="M14" s="41"/>
    </row>
    <row r="15" spans="1:13">
      <c r="A15" s="3"/>
      <c r="B15" t="s">
        <v>315</v>
      </c>
      <c r="C15" t="s">
        <v>384</v>
      </c>
      <c r="D15" s="13">
        <v>0</v>
      </c>
      <c r="E15" s="13">
        <v>0</v>
      </c>
      <c r="F15" s="13">
        <v>0</v>
      </c>
      <c r="G15" t="s">
        <v>246</v>
      </c>
      <c r="H15" t="s">
        <v>11</v>
      </c>
      <c r="I15" t="s">
        <v>12</v>
      </c>
      <c r="J15" t="s">
        <v>250</v>
      </c>
      <c r="K15" s="41"/>
      <c r="L15" s="41"/>
      <c r="M15" s="41"/>
    </row>
    <row r="16" spans="1:13">
      <c r="A16" s="3"/>
      <c r="B16" t="s">
        <v>316</v>
      </c>
      <c r="C16" t="s">
        <v>385</v>
      </c>
      <c r="D16" s="13">
        <v>2.5</v>
      </c>
      <c r="E16" s="13">
        <v>2.2000000000000002</v>
      </c>
      <c r="F16" s="13">
        <f t="shared" ref="F16:F21" si="1">D16-E16</f>
        <v>0.29999999999999982</v>
      </c>
      <c r="G16" t="s">
        <v>246</v>
      </c>
      <c r="H16" t="s">
        <v>11</v>
      </c>
      <c r="I16" t="s">
        <v>19</v>
      </c>
      <c r="J16" t="s">
        <v>247</v>
      </c>
      <c r="K16" s="41">
        <v>0.08</v>
      </c>
      <c r="L16" s="41"/>
      <c r="M16" s="41"/>
    </row>
    <row r="17" spans="1:13">
      <c r="A17" s="3"/>
      <c r="B17" t="s">
        <v>317</v>
      </c>
      <c r="C17" t="s">
        <v>386</v>
      </c>
      <c r="D17" s="13">
        <v>2.15</v>
      </c>
      <c r="E17" s="13">
        <v>1.89</v>
      </c>
      <c r="F17" s="13">
        <f t="shared" si="1"/>
        <v>0.26</v>
      </c>
      <c r="G17" t="s">
        <v>246</v>
      </c>
      <c r="H17" t="s">
        <v>11</v>
      </c>
      <c r="I17" t="s">
        <v>19</v>
      </c>
      <c r="J17" t="s">
        <v>250</v>
      </c>
      <c r="K17" s="41">
        <v>7.0000000000000007E-2</v>
      </c>
      <c r="L17" s="41"/>
      <c r="M17" s="41"/>
    </row>
    <row r="18" spans="1:13">
      <c r="A18" s="3"/>
      <c r="B18" t="s">
        <v>811</v>
      </c>
      <c r="C18" s="51" t="s">
        <v>1339</v>
      </c>
      <c r="D18" s="13">
        <v>1.4</v>
      </c>
      <c r="E18" s="13">
        <v>1.23</v>
      </c>
      <c r="F18" s="13">
        <f t="shared" si="1"/>
        <v>0.16999999999999993</v>
      </c>
      <c r="G18" t="s">
        <v>246</v>
      </c>
      <c r="H18" t="s">
        <v>11</v>
      </c>
      <c r="I18" t="s">
        <v>19</v>
      </c>
      <c r="J18" t="s">
        <v>247</v>
      </c>
      <c r="K18" s="41">
        <v>0.06</v>
      </c>
      <c r="L18" s="41"/>
      <c r="M18" s="41"/>
    </row>
    <row r="19" spans="1:13">
      <c r="A19" s="3"/>
      <c r="B19" t="s">
        <v>812</v>
      </c>
      <c r="C19" s="51" t="s">
        <v>1340</v>
      </c>
      <c r="D19" s="13">
        <v>0.7</v>
      </c>
      <c r="E19" s="13">
        <v>0.62</v>
      </c>
      <c r="F19" s="13">
        <f t="shared" si="1"/>
        <v>7.999999999999996E-2</v>
      </c>
      <c r="G19" t="s">
        <v>246</v>
      </c>
      <c r="H19" t="s">
        <v>11</v>
      </c>
      <c r="I19" t="s">
        <v>19</v>
      </c>
      <c r="J19" t="s">
        <v>250</v>
      </c>
      <c r="K19" s="41">
        <v>0.02</v>
      </c>
      <c r="L19" s="41"/>
      <c r="M19" s="41"/>
    </row>
    <row r="20" spans="1:13">
      <c r="A20" s="3"/>
      <c r="B20" t="s">
        <v>321</v>
      </c>
      <c r="C20" s="51" t="s">
        <v>1342</v>
      </c>
      <c r="D20" s="13">
        <v>2.2000000000000002</v>
      </c>
      <c r="E20" s="13">
        <v>1.94</v>
      </c>
      <c r="F20" s="13">
        <f t="shared" si="1"/>
        <v>0.26000000000000023</v>
      </c>
      <c r="G20" t="s">
        <v>246</v>
      </c>
      <c r="H20" t="s">
        <v>11</v>
      </c>
      <c r="I20" t="s">
        <v>19</v>
      </c>
      <c r="J20" t="s">
        <v>247</v>
      </c>
      <c r="K20" s="41">
        <v>7.0000000000000007E-2</v>
      </c>
      <c r="L20" s="41"/>
      <c r="M20" s="41"/>
    </row>
    <row r="21" spans="1:13">
      <c r="A21" s="3"/>
      <c r="B21" t="s">
        <v>322</v>
      </c>
      <c r="C21" s="51" t="s">
        <v>1343</v>
      </c>
      <c r="D21" s="13">
        <v>1.5</v>
      </c>
      <c r="E21" s="13">
        <v>1.32</v>
      </c>
      <c r="F21" s="13">
        <f t="shared" si="1"/>
        <v>0.17999999999999994</v>
      </c>
      <c r="G21" t="s">
        <v>246</v>
      </c>
      <c r="H21" t="s">
        <v>11</v>
      </c>
      <c r="I21" t="s">
        <v>19</v>
      </c>
      <c r="J21" t="s">
        <v>250</v>
      </c>
      <c r="K21" s="41">
        <v>0.05</v>
      </c>
      <c r="L21" s="41"/>
      <c r="M21" s="41"/>
    </row>
    <row r="22" spans="1:13">
      <c r="A22" s="3"/>
      <c r="B22" s="51" t="s">
        <v>318</v>
      </c>
      <c r="C22" s="51" t="s">
        <v>1341</v>
      </c>
      <c r="D22" s="13">
        <v>0</v>
      </c>
      <c r="E22" s="13">
        <v>0</v>
      </c>
      <c r="F22" s="13">
        <v>0</v>
      </c>
      <c r="G22" t="s">
        <v>246</v>
      </c>
      <c r="H22" t="s">
        <v>11</v>
      </c>
      <c r="I22" t="s">
        <v>19</v>
      </c>
      <c r="J22" t="s">
        <v>250</v>
      </c>
      <c r="K22" s="41"/>
      <c r="L22" s="41"/>
      <c r="M22" s="41"/>
    </row>
    <row r="23" spans="1:13">
      <c r="A23" s="3"/>
      <c r="B23" s="51" t="s">
        <v>2415</v>
      </c>
      <c r="C23" s="51" t="s">
        <v>2413</v>
      </c>
      <c r="D23" s="13">
        <v>0.4</v>
      </c>
      <c r="E23" s="13">
        <v>0.35</v>
      </c>
      <c r="F23" s="13">
        <v>0</v>
      </c>
      <c r="G23" t="s">
        <v>246</v>
      </c>
      <c r="H23" t="s">
        <v>11</v>
      </c>
      <c r="I23" t="s">
        <v>12</v>
      </c>
      <c r="J23" t="s">
        <v>247</v>
      </c>
      <c r="K23" s="41"/>
      <c r="L23" s="41"/>
      <c r="M23" s="41"/>
    </row>
    <row r="24" spans="1:13">
      <c r="A24" s="3"/>
      <c r="B24" s="51" t="s">
        <v>2416</v>
      </c>
      <c r="C24" s="51" t="s">
        <v>2414</v>
      </c>
      <c r="D24" s="13">
        <v>0.3</v>
      </c>
      <c r="E24" s="13">
        <v>0.26</v>
      </c>
      <c r="F24" s="13">
        <v>0</v>
      </c>
      <c r="G24" t="s">
        <v>246</v>
      </c>
      <c r="H24" t="s">
        <v>11</v>
      </c>
      <c r="I24" t="s">
        <v>12</v>
      </c>
      <c r="J24" t="s">
        <v>250</v>
      </c>
      <c r="K24" s="41"/>
      <c r="L24" s="41"/>
      <c r="M24" s="41"/>
    </row>
    <row r="25" spans="1:13">
      <c r="A25" s="3"/>
      <c r="B25" s="51" t="s">
        <v>2482</v>
      </c>
      <c r="C25" s="51" t="s">
        <v>2479</v>
      </c>
      <c r="D25" s="13">
        <v>2</v>
      </c>
      <c r="E25" s="13">
        <v>1.76</v>
      </c>
      <c r="F25" s="13">
        <v>0</v>
      </c>
      <c r="G25" t="s">
        <v>246</v>
      </c>
      <c r="H25" t="s">
        <v>11</v>
      </c>
      <c r="I25" t="s">
        <v>19</v>
      </c>
      <c r="J25" t="s">
        <v>247</v>
      </c>
      <c r="K25" s="41"/>
      <c r="L25" s="41"/>
      <c r="M25" s="41"/>
    </row>
    <row r="26" spans="1:13">
      <c r="A26" s="3"/>
      <c r="B26" s="51" t="s">
        <v>2483</v>
      </c>
      <c r="C26" s="51" t="s">
        <v>2480</v>
      </c>
      <c r="D26" s="13">
        <v>0.6</v>
      </c>
      <c r="E26" s="13">
        <v>0.53</v>
      </c>
      <c r="F26" s="13">
        <v>0</v>
      </c>
      <c r="G26" t="s">
        <v>246</v>
      </c>
      <c r="H26" t="s">
        <v>11</v>
      </c>
      <c r="I26" t="s">
        <v>12</v>
      </c>
      <c r="J26" t="s">
        <v>247</v>
      </c>
      <c r="K26" s="41"/>
      <c r="L26" s="41"/>
      <c r="M26" s="41"/>
    </row>
    <row r="27" spans="1:13">
      <c r="A27" s="3"/>
      <c r="B27" s="51" t="s">
        <v>2484</v>
      </c>
      <c r="C27" s="51" t="s">
        <v>2481</v>
      </c>
      <c r="D27" s="13">
        <v>0.45</v>
      </c>
      <c r="E27" s="13">
        <v>0.4</v>
      </c>
      <c r="F27" s="13">
        <v>0</v>
      </c>
      <c r="G27" t="s">
        <v>246</v>
      </c>
      <c r="H27" t="s">
        <v>11</v>
      </c>
      <c r="I27" t="s">
        <v>12</v>
      </c>
      <c r="J27" t="s">
        <v>250</v>
      </c>
      <c r="K27" s="41"/>
      <c r="L27" s="41"/>
      <c r="M27" s="41"/>
    </row>
    <row r="28" spans="1:13">
      <c r="A28" s="3"/>
      <c r="B28" s="51" t="s">
        <v>319</v>
      </c>
      <c r="C28" s="51" t="s">
        <v>1083</v>
      </c>
      <c r="D28" s="13">
        <v>2.25</v>
      </c>
      <c r="E28" s="13">
        <v>1.98</v>
      </c>
      <c r="F28" s="13">
        <f>D28-E28</f>
        <v>0.27</v>
      </c>
      <c r="G28" t="s">
        <v>246</v>
      </c>
      <c r="H28" t="s">
        <v>11</v>
      </c>
      <c r="I28" t="s">
        <v>12</v>
      </c>
      <c r="J28" t="s">
        <v>247</v>
      </c>
      <c r="K28" s="41">
        <v>7.0000000000000007E-2</v>
      </c>
      <c r="L28" s="41"/>
      <c r="M28" s="41"/>
    </row>
    <row r="29" spans="1:13">
      <c r="A29" s="3"/>
      <c r="B29" s="51" t="s">
        <v>320</v>
      </c>
      <c r="C29" s="51" t="s">
        <v>1084</v>
      </c>
      <c r="D29" s="13">
        <v>1.75</v>
      </c>
      <c r="E29" s="13">
        <v>1.5399999999999998</v>
      </c>
      <c r="F29" s="13">
        <f>D29-E29</f>
        <v>0.21000000000000019</v>
      </c>
      <c r="G29" t="s">
        <v>246</v>
      </c>
      <c r="H29" t="s">
        <v>11</v>
      </c>
      <c r="I29" t="s">
        <v>12</v>
      </c>
      <c r="J29" t="s">
        <v>250</v>
      </c>
      <c r="K29" s="41">
        <v>0.06</v>
      </c>
      <c r="L29" s="41"/>
      <c r="M29" s="41"/>
    </row>
    <row r="30" spans="1:13">
      <c r="A30" s="3"/>
      <c r="B30" t="s">
        <v>813</v>
      </c>
      <c r="C30" t="s">
        <v>1085</v>
      </c>
      <c r="D30" s="13">
        <v>0</v>
      </c>
      <c r="E30" s="13">
        <v>0</v>
      </c>
      <c r="F30" s="13">
        <v>0</v>
      </c>
      <c r="G30" t="s">
        <v>246</v>
      </c>
      <c r="H30" t="s">
        <v>11</v>
      </c>
      <c r="I30" t="s">
        <v>12</v>
      </c>
      <c r="J30" t="s">
        <v>250</v>
      </c>
      <c r="K30" s="41"/>
      <c r="L30" s="41"/>
      <c r="M30" s="41"/>
    </row>
    <row r="31" spans="1:13">
      <c r="A31" s="3"/>
      <c r="B31" t="s">
        <v>463</v>
      </c>
      <c r="C31" t="s">
        <v>462</v>
      </c>
      <c r="D31" s="13">
        <v>0.2</v>
      </c>
      <c r="E31" s="13">
        <v>0.18</v>
      </c>
      <c r="F31" s="13">
        <f>D31-E31</f>
        <v>2.0000000000000018E-2</v>
      </c>
      <c r="G31" t="s">
        <v>246</v>
      </c>
      <c r="H31" t="s">
        <v>11</v>
      </c>
      <c r="I31" t="s">
        <v>19</v>
      </c>
      <c r="J31" t="s">
        <v>247</v>
      </c>
      <c r="K31" s="41">
        <v>9.5999999999999992E-3</v>
      </c>
      <c r="L31" s="41"/>
      <c r="M31" s="41"/>
    </row>
    <row r="32" spans="1:13">
      <c r="A32" s="3"/>
      <c r="B32" t="s">
        <v>245</v>
      </c>
      <c r="C32" s="51" t="s">
        <v>351</v>
      </c>
      <c r="D32" s="13">
        <v>20</v>
      </c>
      <c r="E32" s="13">
        <v>17.600000000000001</v>
      </c>
      <c r="F32" s="13">
        <f>D32-E32</f>
        <v>2.3999999999999986</v>
      </c>
      <c r="G32" t="s">
        <v>246</v>
      </c>
      <c r="H32" t="s">
        <v>11</v>
      </c>
      <c r="I32" t="s">
        <v>12</v>
      </c>
      <c r="J32" t="s">
        <v>247</v>
      </c>
      <c r="K32" s="41">
        <v>0.64</v>
      </c>
      <c r="L32" s="41"/>
      <c r="M32" s="41"/>
    </row>
    <row r="33" spans="1:13">
      <c r="A33" s="3"/>
      <c r="B33" t="s">
        <v>2128</v>
      </c>
      <c r="C33" s="51" t="s">
        <v>2126</v>
      </c>
      <c r="D33" s="13">
        <v>750</v>
      </c>
      <c r="E33" s="13">
        <v>742.5</v>
      </c>
      <c r="F33" s="13">
        <f>D33-E33</f>
        <v>7.5</v>
      </c>
      <c r="G33" t="s">
        <v>246</v>
      </c>
      <c r="H33" t="s">
        <v>11</v>
      </c>
      <c r="I33" t="s">
        <v>12</v>
      </c>
      <c r="J33" t="s">
        <v>247</v>
      </c>
      <c r="K33" s="41"/>
      <c r="L33" s="41"/>
      <c r="M33" s="41"/>
    </row>
    <row r="34" spans="1:13">
      <c r="A34" s="3"/>
      <c r="B34" t="s">
        <v>2129</v>
      </c>
      <c r="C34" s="51" t="s">
        <v>2127</v>
      </c>
      <c r="D34" s="13">
        <v>2000</v>
      </c>
      <c r="E34" s="13">
        <v>1980</v>
      </c>
      <c r="F34" s="13">
        <f>D34-E34</f>
        <v>20</v>
      </c>
      <c r="G34" t="s">
        <v>246</v>
      </c>
      <c r="H34" t="s">
        <v>11</v>
      </c>
      <c r="I34" t="s">
        <v>12</v>
      </c>
      <c r="J34" t="s">
        <v>247</v>
      </c>
      <c r="K34" s="41"/>
      <c r="L34" s="41"/>
      <c r="M34" s="41"/>
    </row>
    <row r="35" spans="1:13">
      <c r="A35" s="3"/>
      <c r="K35" s="41"/>
      <c r="L35" s="41"/>
      <c r="M35" s="41"/>
    </row>
    <row r="36" spans="1:13">
      <c r="A36" s="3"/>
      <c r="K36" s="41"/>
      <c r="L36" s="41"/>
      <c r="M36" s="41"/>
    </row>
    <row r="37" spans="1:13">
      <c r="A37" s="3"/>
      <c r="B37" t="s">
        <v>1146</v>
      </c>
      <c r="C37" t="s">
        <v>1145</v>
      </c>
      <c r="D37" s="13">
        <v>2.4</v>
      </c>
      <c r="E37" s="13">
        <v>2.11</v>
      </c>
      <c r="F37" s="13">
        <f>D37-E37</f>
        <v>0.29000000000000004</v>
      </c>
      <c r="G37" t="s">
        <v>246</v>
      </c>
      <c r="H37" t="s">
        <v>11</v>
      </c>
      <c r="I37" t="s">
        <v>19</v>
      </c>
      <c r="J37" t="s">
        <v>247</v>
      </c>
      <c r="K37" s="41">
        <v>0.08</v>
      </c>
      <c r="L37" s="41"/>
      <c r="M37" s="41"/>
    </row>
    <row r="38" spans="1:13">
      <c r="A38" s="3"/>
      <c r="B38" t="s">
        <v>1148</v>
      </c>
      <c r="C38" t="s">
        <v>1147</v>
      </c>
      <c r="D38" s="13">
        <v>1.8</v>
      </c>
      <c r="E38" s="13">
        <v>1.58</v>
      </c>
      <c r="F38" s="13">
        <f>D38-E38</f>
        <v>0.21999999999999997</v>
      </c>
      <c r="G38" t="s">
        <v>246</v>
      </c>
      <c r="H38" t="s">
        <v>11</v>
      </c>
      <c r="I38" t="s">
        <v>19</v>
      </c>
      <c r="J38" t="s">
        <v>250</v>
      </c>
      <c r="K38" s="41">
        <v>0.06</v>
      </c>
      <c r="L38" s="41"/>
      <c r="M38" s="41"/>
    </row>
    <row r="39" spans="1:13">
      <c r="A39" s="3"/>
      <c r="K39" s="41"/>
      <c r="L39" s="41"/>
      <c r="M39" s="41"/>
    </row>
    <row r="40" spans="1:13">
      <c r="A40" s="3"/>
      <c r="K40" s="41"/>
      <c r="L40" s="41"/>
      <c r="M40" s="41"/>
    </row>
    <row r="41" spans="1:13">
      <c r="A41" s="3"/>
      <c r="B41" t="s">
        <v>1025</v>
      </c>
      <c r="C41" t="s">
        <v>1336</v>
      </c>
      <c r="D41" s="13">
        <v>2.5</v>
      </c>
      <c r="E41" s="13">
        <v>2.2000000000000002</v>
      </c>
      <c r="F41" s="13">
        <f>D41-E41</f>
        <v>0.29999999999999982</v>
      </c>
      <c r="G41" t="s">
        <v>246</v>
      </c>
      <c r="H41" t="s">
        <v>11</v>
      </c>
      <c r="I41" t="s">
        <v>12</v>
      </c>
      <c r="J41" t="s">
        <v>247</v>
      </c>
      <c r="K41" s="41">
        <v>0.08</v>
      </c>
      <c r="L41" s="41"/>
      <c r="M41" s="41"/>
    </row>
    <row r="42" spans="1:13">
      <c r="A42" s="3"/>
      <c r="B42" t="s">
        <v>1272</v>
      </c>
      <c r="C42" t="s">
        <v>2470</v>
      </c>
      <c r="D42" s="13">
        <v>5.2</v>
      </c>
      <c r="E42" s="13">
        <v>4.62</v>
      </c>
      <c r="F42" s="13">
        <f>D42-E42</f>
        <v>0.58000000000000007</v>
      </c>
      <c r="G42" t="s">
        <v>246</v>
      </c>
      <c r="K42" s="41"/>
      <c r="L42" s="41"/>
      <c r="M42" s="41"/>
    </row>
    <row r="43" spans="1:13">
      <c r="A43" s="3"/>
      <c r="B43" s="54" t="s">
        <v>1953</v>
      </c>
      <c r="C43" s="54" t="s">
        <v>1952</v>
      </c>
      <c r="D43" s="13">
        <v>0.6</v>
      </c>
      <c r="E43" s="13" t="s">
        <v>2583</v>
      </c>
      <c r="F43" s="13" t="e">
        <f>D43-E43</f>
        <v>#VALUE!</v>
      </c>
      <c r="G43" t="s">
        <v>246</v>
      </c>
      <c r="H43" t="s">
        <v>11</v>
      </c>
      <c r="I43" t="s">
        <v>12</v>
      </c>
      <c r="J43" t="s">
        <v>247</v>
      </c>
      <c r="K43" s="41">
        <v>0.05</v>
      </c>
      <c r="L43" s="41"/>
      <c r="M43" s="41"/>
    </row>
    <row r="44" spans="1:13">
      <c r="A44" s="3"/>
      <c r="B44" t="s">
        <v>1272</v>
      </c>
      <c r="C44" t="s">
        <v>1271</v>
      </c>
      <c r="D44" s="13">
        <v>5.2</v>
      </c>
      <c r="E44" s="13">
        <v>4.62</v>
      </c>
      <c r="F44" s="13">
        <f>D44-E44</f>
        <v>0.58000000000000007</v>
      </c>
      <c r="G44" t="s">
        <v>246</v>
      </c>
      <c r="H44" t="s">
        <v>11</v>
      </c>
      <c r="I44" t="s">
        <v>12</v>
      </c>
      <c r="J44" t="s">
        <v>928</v>
      </c>
      <c r="K44" s="41">
        <v>0.17</v>
      </c>
      <c r="L44" s="41"/>
      <c r="M44" s="41"/>
    </row>
    <row r="45" spans="1:13">
      <c r="A45" s="3"/>
      <c r="K45" s="41"/>
      <c r="L45" s="41"/>
      <c r="M45" s="41"/>
    </row>
    <row r="46" spans="1:13">
      <c r="A46" s="4" t="s">
        <v>1239</v>
      </c>
      <c r="B46" t="s">
        <v>563</v>
      </c>
      <c r="C46" t="s">
        <v>562</v>
      </c>
      <c r="D46" s="13">
        <v>28</v>
      </c>
      <c r="E46" s="13">
        <v>23.1</v>
      </c>
      <c r="F46" s="13">
        <f>D46-E46</f>
        <v>4.8999999999999986</v>
      </c>
      <c r="G46" t="s">
        <v>246</v>
      </c>
      <c r="H46" t="s">
        <v>11</v>
      </c>
      <c r="I46" t="s">
        <v>12</v>
      </c>
      <c r="J46" t="s">
        <v>247</v>
      </c>
      <c r="K46" s="41">
        <v>0.04</v>
      </c>
      <c r="L46" s="41"/>
      <c r="M46" s="41"/>
    </row>
    <row r="47" spans="1:13">
      <c r="A47" s="3"/>
      <c r="B47" t="s">
        <v>567</v>
      </c>
      <c r="C47" t="s">
        <v>566</v>
      </c>
      <c r="D47" s="13">
        <v>1.4</v>
      </c>
      <c r="E47" s="13">
        <v>1.1499999999999999</v>
      </c>
      <c r="F47" s="13">
        <f>D47-E47</f>
        <v>0.25</v>
      </c>
      <c r="G47" t="s">
        <v>246</v>
      </c>
      <c r="H47" t="s">
        <v>11</v>
      </c>
      <c r="I47" t="s">
        <v>12</v>
      </c>
      <c r="J47" t="s">
        <v>247</v>
      </c>
      <c r="K47" s="41">
        <v>0.04</v>
      </c>
      <c r="L47" s="41"/>
      <c r="M47" s="41"/>
    </row>
    <row r="48" spans="1:13">
      <c r="A48" s="3"/>
      <c r="B48" t="s">
        <v>571</v>
      </c>
      <c r="C48" t="s">
        <v>570</v>
      </c>
      <c r="D48" s="13">
        <v>7</v>
      </c>
      <c r="E48" s="13">
        <v>5.83</v>
      </c>
      <c r="F48" s="13">
        <f>D48-E48</f>
        <v>1.17</v>
      </c>
      <c r="G48" t="s">
        <v>246</v>
      </c>
      <c r="H48" t="s">
        <v>11</v>
      </c>
      <c r="I48" t="s">
        <v>12</v>
      </c>
      <c r="J48" t="s">
        <v>247</v>
      </c>
      <c r="K48" s="41">
        <v>0.21</v>
      </c>
      <c r="L48" s="41"/>
      <c r="M48" s="41"/>
    </row>
    <row r="49" spans="1:13">
      <c r="A49" s="3"/>
      <c r="K49" s="41"/>
      <c r="L49" s="41"/>
      <c r="M49" s="41"/>
    </row>
    <row r="50" spans="1:13">
      <c r="A50" s="3"/>
      <c r="B50" t="s">
        <v>251</v>
      </c>
      <c r="C50" t="s">
        <v>352</v>
      </c>
      <c r="D50" s="13">
        <v>0.6</v>
      </c>
      <c r="E50" s="13">
        <v>0.55000000000000004</v>
      </c>
      <c r="F50" s="13">
        <f t="shared" ref="F50:F55" si="2">D50-E50</f>
        <v>4.9999999999999933E-2</v>
      </c>
      <c r="G50" t="s">
        <v>246</v>
      </c>
      <c r="H50" t="s">
        <v>11</v>
      </c>
      <c r="I50" t="s">
        <v>12</v>
      </c>
      <c r="J50" t="s">
        <v>247</v>
      </c>
      <c r="K50" s="41">
        <v>0.02</v>
      </c>
      <c r="L50" s="41"/>
      <c r="M50" s="41"/>
    </row>
    <row r="51" spans="1:13">
      <c r="A51" s="3"/>
      <c r="B51" t="s">
        <v>252</v>
      </c>
      <c r="C51" t="s">
        <v>353</v>
      </c>
      <c r="D51" s="13">
        <v>0.3</v>
      </c>
      <c r="E51" s="13">
        <v>0.26</v>
      </c>
      <c r="F51" s="13">
        <f t="shared" si="2"/>
        <v>3.999999999999998E-2</v>
      </c>
      <c r="G51" t="s">
        <v>246</v>
      </c>
      <c r="H51" t="s">
        <v>11</v>
      </c>
      <c r="I51" t="s">
        <v>12</v>
      </c>
      <c r="J51" t="s">
        <v>250</v>
      </c>
      <c r="K51" s="41">
        <v>0.01</v>
      </c>
      <c r="L51" s="41"/>
      <c r="M51" s="41"/>
    </row>
    <row r="52" spans="1:13">
      <c r="A52" s="3"/>
      <c r="B52" t="s">
        <v>253</v>
      </c>
      <c r="C52" t="s">
        <v>354</v>
      </c>
      <c r="D52" s="13">
        <v>0.9</v>
      </c>
      <c r="E52" s="13">
        <v>0.79</v>
      </c>
      <c r="F52" s="13">
        <f t="shared" si="2"/>
        <v>0.10999999999999999</v>
      </c>
      <c r="G52" t="s">
        <v>246</v>
      </c>
      <c r="H52" t="s">
        <v>11</v>
      </c>
      <c r="I52" t="s">
        <v>12</v>
      </c>
      <c r="J52" t="s">
        <v>247</v>
      </c>
      <c r="K52" s="41">
        <v>0.03</v>
      </c>
      <c r="L52" s="41"/>
      <c r="M52" s="41"/>
    </row>
    <row r="53" spans="1:13">
      <c r="A53" s="3"/>
      <c r="B53" t="s">
        <v>254</v>
      </c>
      <c r="C53" t="s">
        <v>355</v>
      </c>
      <c r="D53" s="13">
        <v>0.45</v>
      </c>
      <c r="E53" s="13">
        <v>0.4</v>
      </c>
      <c r="F53" s="13">
        <f t="shared" si="2"/>
        <v>4.9999999999999989E-2</v>
      </c>
      <c r="G53" t="s">
        <v>246</v>
      </c>
      <c r="H53" t="s">
        <v>11</v>
      </c>
      <c r="I53" t="s">
        <v>12</v>
      </c>
      <c r="J53" t="s">
        <v>250</v>
      </c>
      <c r="K53" s="41">
        <v>0.01</v>
      </c>
      <c r="L53" s="41"/>
      <c r="M53" s="41"/>
    </row>
    <row r="54" spans="1:13">
      <c r="A54" s="3"/>
      <c r="B54" t="s">
        <v>255</v>
      </c>
      <c r="C54" s="51" t="s">
        <v>1337</v>
      </c>
      <c r="D54" s="13">
        <v>1.1000000000000001</v>
      </c>
      <c r="E54" s="13">
        <v>0.97</v>
      </c>
      <c r="F54" s="13">
        <f t="shared" si="2"/>
        <v>0.13000000000000012</v>
      </c>
      <c r="G54" t="s">
        <v>246</v>
      </c>
      <c r="H54" t="s">
        <v>11</v>
      </c>
      <c r="I54" t="s">
        <v>12</v>
      </c>
      <c r="J54" t="s">
        <v>250</v>
      </c>
      <c r="K54" s="41">
        <v>0.04</v>
      </c>
      <c r="L54" s="41"/>
      <c r="M54" s="41"/>
    </row>
    <row r="55" spans="1:13">
      <c r="A55" s="3"/>
      <c r="B55" t="s">
        <v>256</v>
      </c>
      <c r="C55" s="51" t="s">
        <v>1338</v>
      </c>
      <c r="D55" s="13">
        <v>1.1000000000000001</v>
      </c>
      <c r="E55" s="13">
        <v>0.97</v>
      </c>
      <c r="F55" s="13">
        <f t="shared" si="2"/>
        <v>0.13000000000000012</v>
      </c>
      <c r="G55" t="s">
        <v>246</v>
      </c>
      <c r="H55" t="s">
        <v>11</v>
      </c>
      <c r="I55" t="s">
        <v>12</v>
      </c>
      <c r="J55" t="s">
        <v>247</v>
      </c>
      <c r="K55" s="41">
        <v>0.04</v>
      </c>
      <c r="L55" s="41"/>
      <c r="M55" s="41"/>
    </row>
    <row r="56" spans="1:13">
      <c r="A56" s="3"/>
      <c r="B56" t="s">
        <v>448</v>
      </c>
      <c r="C56" t="s">
        <v>447</v>
      </c>
      <c r="D56" s="13">
        <v>0</v>
      </c>
      <c r="E56" s="13">
        <v>0</v>
      </c>
      <c r="F56" s="13">
        <v>0</v>
      </c>
      <c r="G56" t="s">
        <v>246</v>
      </c>
      <c r="H56" t="s">
        <v>11</v>
      </c>
      <c r="I56" t="s">
        <v>12</v>
      </c>
      <c r="J56" t="s">
        <v>250</v>
      </c>
      <c r="K56" s="41"/>
      <c r="L56" s="41"/>
      <c r="M56" s="41"/>
    </row>
    <row r="57" spans="1:13">
      <c r="A57" s="3"/>
      <c r="B57" t="s">
        <v>450</v>
      </c>
      <c r="C57" t="s">
        <v>449</v>
      </c>
      <c r="D57" s="13">
        <v>0</v>
      </c>
      <c r="E57" s="13">
        <v>0</v>
      </c>
      <c r="F57" s="13">
        <v>0</v>
      </c>
      <c r="G57" t="s">
        <v>246</v>
      </c>
      <c r="H57" t="s">
        <v>11</v>
      </c>
      <c r="I57" t="s">
        <v>12</v>
      </c>
      <c r="J57" t="s">
        <v>250</v>
      </c>
      <c r="K57" s="41"/>
      <c r="L57" s="41"/>
      <c r="M57" s="41"/>
    </row>
    <row r="58" spans="1:13">
      <c r="A58" s="3"/>
      <c r="K58" s="41"/>
      <c r="L58" s="41"/>
      <c r="M58" s="41"/>
    </row>
    <row r="59" spans="1:13">
      <c r="A59" s="3"/>
      <c r="B59" t="s">
        <v>295</v>
      </c>
      <c r="C59" t="s">
        <v>364</v>
      </c>
      <c r="D59" s="13">
        <v>0.7</v>
      </c>
      <c r="E59" s="13">
        <v>0.62</v>
      </c>
      <c r="F59" s="13">
        <f>D59-E59</f>
        <v>7.999999999999996E-2</v>
      </c>
      <c r="G59" t="s">
        <v>246</v>
      </c>
      <c r="H59" t="s">
        <v>11</v>
      </c>
      <c r="I59" t="s">
        <v>12</v>
      </c>
      <c r="J59" t="s">
        <v>247</v>
      </c>
      <c r="K59" s="41">
        <v>0.02</v>
      </c>
      <c r="L59" s="41"/>
      <c r="M59" s="41"/>
    </row>
    <row r="60" spans="1:13">
      <c r="A60" s="3"/>
      <c r="B60" t="s">
        <v>296</v>
      </c>
      <c r="C60" t="s">
        <v>365</v>
      </c>
      <c r="D60" s="13">
        <v>0.7</v>
      </c>
      <c r="E60" s="13">
        <v>0.62</v>
      </c>
      <c r="F60" s="13">
        <f>D60-E60</f>
        <v>7.999999999999996E-2</v>
      </c>
      <c r="G60" t="s">
        <v>246</v>
      </c>
      <c r="H60" t="s">
        <v>11</v>
      </c>
      <c r="I60" t="s">
        <v>12</v>
      </c>
      <c r="J60" t="s">
        <v>250</v>
      </c>
      <c r="K60" s="41">
        <v>0.02</v>
      </c>
      <c r="L60" s="41"/>
      <c r="M60" s="41"/>
    </row>
    <row r="61" spans="1:13">
      <c r="A61" s="3"/>
      <c r="B61" t="s">
        <v>1950</v>
      </c>
      <c r="C61" t="s">
        <v>1949</v>
      </c>
      <c r="D61" s="13">
        <v>0.8</v>
      </c>
      <c r="E61" s="13">
        <v>0.7</v>
      </c>
      <c r="F61" s="13">
        <f t="shared" ref="F61:F62" si="3">D61-E61</f>
        <v>0.10000000000000009</v>
      </c>
      <c r="G61" t="s">
        <v>246</v>
      </c>
      <c r="H61" t="s">
        <v>11</v>
      </c>
      <c r="I61" t="s">
        <v>12</v>
      </c>
      <c r="J61" t="s">
        <v>250</v>
      </c>
      <c r="K61" s="41">
        <v>0.02</v>
      </c>
      <c r="L61" s="41"/>
      <c r="M61" s="41"/>
    </row>
    <row r="62" spans="1:13">
      <c r="A62" s="3"/>
      <c r="B62" t="s">
        <v>1951</v>
      </c>
      <c r="C62" t="s">
        <v>1949</v>
      </c>
      <c r="D62" s="13">
        <v>0.8</v>
      </c>
      <c r="E62" s="13">
        <v>0.7</v>
      </c>
      <c r="F62" s="13">
        <f t="shared" si="3"/>
        <v>0.10000000000000009</v>
      </c>
      <c r="G62" t="s">
        <v>246</v>
      </c>
      <c r="H62" t="s">
        <v>11</v>
      </c>
      <c r="I62" t="s">
        <v>12</v>
      </c>
      <c r="J62" t="s">
        <v>247</v>
      </c>
      <c r="K62" s="41">
        <v>0.02</v>
      </c>
      <c r="L62" s="41"/>
      <c r="M62" s="41"/>
    </row>
    <row r="63" spans="1:13">
      <c r="A63" s="3"/>
      <c r="K63" s="41"/>
      <c r="L63" s="41"/>
      <c r="M63" s="41"/>
    </row>
    <row r="64" spans="1:13">
      <c r="A64" s="3"/>
      <c r="B64" t="s">
        <v>1046</v>
      </c>
      <c r="C64" t="s">
        <v>1059</v>
      </c>
      <c r="D64" s="13">
        <v>1.7</v>
      </c>
      <c r="E64" s="13">
        <v>1.23</v>
      </c>
      <c r="F64" s="13">
        <f>D64-E64</f>
        <v>0.47</v>
      </c>
      <c r="G64" t="s">
        <v>246</v>
      </c>
      <c r="H64" t="s">
        <v>11</v>
      </c>
      <c r="I64" t="s">
        <v>12</v>
      </c>
      <c r="J64" t="s">
        <v>247</v>
      </c>
      <c r="K64" s="41">
        <v>0.05</v>
      </c>
      <c r="L64" s="41"/>
      <c r="M64" s="41"/>
    </row>
    <row r="65" spans="1:13">
      <c r="A65" s="3"/>
      <c r="B65" t="s">
        <v>1047</v>
      </c>
      <c r="C65" t="s">
        <v>1060</v>
      </c>
      <c r="D65" s="13">
        <v>1.4</v>
      </c>
      <c r="E65" s="13">
        <v>0.92</v>
      </c>
      <c r="F65" s="13">
        <f t="shared" ref="F65:F69" si="4">D65-E65</f>
        <v>0.47999999999999987</v>
      </c>
      <c r="G65" t="s">
        <v>246</v>
      </c>
      <c r="H65" t="s">
        <v>11</v>
      </c>
      <c r="I65" t="s">
        <v>12</v>
      </c>
      <c r="J65" t="s">
        <v>250</v>
      </c>
      <c r="K65" s="41">
        <v>0.05</v>
      </c>
      <c r="L65" s="41"/>
      <c r="M65" s="41"/>
    </row>
    <row r="66" spans="1:13">
      <c r="A66" s="3"/>
      <c r="B66" t="s">
        <v>1048</v>
      </c>
      <c r="C66" t="s">
        <v>1061</v>
      </c>
      <c r="D66" s="13">
        <v>2</v>
      </c>
      <c r="E66" s="13">
        <v>1.76</v>
      </c>
      <c r="F66" s="13">
        <f t="shared" si="4"/>
        <v>0.24</v>
      </c>
      <c r="G66" t="s">
        <v>246</v>
      </c>
      <c r="H66" t="s">
        <v>11</v>
      </c>
      <c r="I66" t="s">
        <v>12</v>
      </c>
      <c r="J66" t="s">
        <v>247</v>
      </c>
      <c r="K66" s="41">
        <v>0.06</v>
      </c>
      <c r="L66" s="41"/>
      <c r="M66" s="41"/>
    </row>
    <row r="67" spans="1:13">
      <c r="A67" s="3"/>
      <c r="B67" t="s">
        <v>1049</v>
      </c>
      <c r="C67" t="s">
        <v>1062</v>
      </c>
      <c r="D67" s="13">
        <v>1.6</v>
      </c>
      <c r="E67" s="13">
        <v>1.41</v>
      </c>
      <c r="F67" s="13">
        <f t="shared" si="4"/>
        <v>0.19000000000000017</v>
      </c>
      <c r="G67" t="s">
        <v>246</v>
      </c>
      <c r="H67" t="s">
        <v>11</v>
      </c>
      <c r="I67" t="s">
        <v>12</v>
      </c>
      <c r="J67" t="s">
        <v>250</v>
      </c>
      <c r="K67" s="41">
        <v>0.05</v>
      </c>
      <c r="L67" s="41"/>
      <c r="M67" s="41"/>
    </row>
    <row r="68" spans="1:13">
      <c r="A68" s="3"/>
      <c r="B68" t="s">
        <v>1050</v>
      </c>
      <c r="C68" t="s">
        <v>1063</v>
      </c>
      <c r="D68" s="13">
        <v>1.7</v>
      </c>
      <c r="E68" s="13">
        <v>1.5</v>
      </c>
      <c r="F68" s="13">
        <f t="shared" si="4"/>
        <v>0.19999999999999996</v>
      </c>
      <c r="G68" t="s">
        <v>246</v>
      </c>
      <c r="H68" t="s">
        <v>11</v>
      </c>
      <c r="I68" t="s">
        <v>12</v>
      </c>
      <c r="J68" t="s">
        <v>247</v>
      </c>
      <c r="K68" s="41">
        <v>0.05</v>
      </c>
      <c r="L68" s="41"/>
      <c r="M68" s="41"/>
    </row>
    <row r="69" spans="1:13">
      <c r="A69" s="3"/>
      <c r="B69" t="s">
        <v>1051</v>
      </c>
      <c r="C69" t="s">
        <v>1064</v>
      </c>
      <c r="D69" s="13">
        <v>1.4</v>
      </c>
      <c r="E69" s="13">
        <v>1.23</v>
      </c>
      <c r="F69" s="13">
        <f t="shared" si="4"/>
        <v>0.16999999999999993</v>
      </c>
      <c r="G69" t="s">
        <v>246</v>
      </c>
      <c r="H69" t="s">
        <v>11</v>
      </c>
      <c r="I69" t="s">
        <v>12</v>
      </c>
      <c r="J69" t="s">
        <v>250</v>
      </c>
      <c r="K69" s="41">
        <v>0.04</v>
      </c>
      <c r="L69" s="41"/>
      <c r="M69" s="41"/>
    </row>
    <row r="70" spans="1:13">
      <c r="K70" s="41"/>
      <c r="L70" s="41"/>
      <c r="M70" s="41"/>
    </row>
    <row r="71" spans="1:13">
      <c r="A71" s="4" t="s">
        <v>1240</v>
      </c>
      <c r="C71" s="2" t="s">
        <v>81</v>
      </c>
      <c r="K71" s="41"/>
      <c r="L71" s="41"/>
      <c r="M71" s="41"/>
    </row>
    <row r="72" spans="1:13">
      <c r="A72" s="4"/>
      <c r="B72" t="s">
        <v>1835</v>
      </c>
      <c r="C72" t="s">
        <v>1834</v>
      </c>
      <c r="D72" s="13">
        <v>25.2</v>
      </c>
      <c r="E72" s="13">
        <v>22.02</v>
      </c>
      <c r="F72" s="13">
        <f>D72-E72</f>
        <v>3.1799999999999997</v>
      </c>
      <c r="G72" t="s">
        <v>246</v>
      </c>
      <c r="H72" t="s">
        <v>1836</v>
      </c>
      <c r="I72" t="s">
        <v>12</v>
      </c>
      <c r="J72" t="s">
        <v>250</v>
      </c>
      <c r="K72" s="41">
        <v>0.81</v>
      </c>
      <c r="L72" s="41"/>
      <c r="M72" s="41"/>
    </row>
    <row r="73" spans="1:13">
      <c r="A73" s="4"/>
      <c r="B73" t="s">
        <v>1947</v>
      </c>
      <c r="C73" t="s">
        <v>1945</v>
      </c>
      <c r="D73" s="13">
        <v>38</v>
      </c>
      <c r="E73" s="13">
        <v>33</v>
      </c>
      <c r="F73" s="13">
        <f t="shared" ref="F73:F74" si="5">D73-E73</f>
        <v>5</v>
      </c>
      <c r="G73" t="s">
        <v>246</v>
      </c>
      <c r="H73" t="s">
        <v>1836</v>
      </c>
      <c r="I73" t="s">
        <v>12</v>
      </c>
      <c r="J73" t="s">
        <v>247</v>
      </c>
      <c r="K73" s="41">
        <v>0.75</v>
      </c>
      <c r="L73" s="41"/>
      <c r="M73" s="41"/>
    </row>
    <row r="74" spans="1:13">
      <c r="A74" s="4"/>
      <c r="B74" t="s">
        <v>1948</v>
      </c>
      <c r="C74" t="s">
        <v>1946</v>
      </c>
      <c r="D74" s="13">
        <v>38</v>
      </c>
      <c r="E74" s="13">
        <v>33</v>
      </c>
      <c r="F74" s="13">
        <f t="shared" si="5"/>
        <v>5</v>
      </c>
      <c r="G74" t="s">
        <v>246</v>
      </c>
      <c r="H74" t="s">
        <v>1836</v>
      </c>
      <c r="I74" t="s">
        <v>12</v>
      </c>
      <c r="J74" t="s">
        <v>250</v>
      </c>
      <c r="K74" s="41">
        <v>0.75</v>
      </c>
      <c r="L74" s="41"/>
      <c r="M74" s="41"/>
    </row>
    <row r="75" spans="1:13">
      <c r="B75" t="s">
        <v>289</v>
      </c>
      <c r="C75" t="s">
        <v>360</v>
      </c>
      <c r="D75" s="13">
        <v>5.75</v>
      </c>
      <c r="E75" s="13">
        <v>5.0599999999999996</v>
      </c>
      <c r="F75" s="13">
        <f>D75-E75</f>
        <v>0.69000000000000039</v>
      </c>
      <c r="G75" t="s">
        <v>246</v>
      </c>
      <c r="H75" t="s">
        <v>11</v>
      </c>
      <c r="I75" t="s">
        <v>12</v>
      </c>
      <c r="J75" t="s">
        <v>247</v>
      </c>
      <c r="K75" s="41">
        <v>0.18</v>
      </c>
      <c r="L75" s="41"/>
      <c r="M75" s="41"/>
    </row>
    <row r="76" spans="1:13">
      <c r="B76" t="s">
        <v>290</v>
      </c>
      <c r="C76" t="s">
        <v>361</v>
      </c>
      <c r="D76" s="13">
        <v>4.25</v>
      </c>
      <c r="E76" s="13">
        <v>3.74</v>
      </c>
      <c r="F76" s="13">
        <f>D76-E76</f>
        <v>0.50999999999999979</v>
      </c>
      <c r="G76" t="s">
        <v>246</v>
      </c>
      <c r="H76" t="s">
        <v>11</v>
      </c>
      <c r="I76" t="s">
        <v>12</v>
      </c>
      <c r="J76" t="s">
        <v>250</v>
      </c>
      <c r="K76" s="41">
        <v>0.14000000000000001</v>
      </c>
      <c r="L76" s="41"/>
      <c r="M76" s="41"/>
    </row>
    <row r="77" spans="1:13">
      <c r="B77" t="s">
        <v>291</v>
      </c>
      <c r="C77" t="s">
        <v>362</v>
      </c>
      <c r="D77" s="13">
        <v>0</v>
      </c>
      <c r="E77" s="13">
        <v>0</v>
      </c>
      <c r="F77" s="13">
        <v>0</v>
      </c>
      <c r="G77" t="s">
        <v>246</v>
      </c>
      <c r="H77" t="s">
        <v>11</v>
      </c>
      <c r="I77" t="s">
        <v>12</v>
      </c>
      <c r="J77" t="s">
        <v>250</v>
      </c>
      <c r="K77" s="41"/>
      <c r="L77" s="41"/>
      <c r="M77" s="41"/>
    </row>
    <row r="78" spans="1:13">
      <c r="B78" t="s">
        <v>1095</v>
      </c>
      <c r="C78" t="s">
        <v>1094</v>
      </c>
      <c r="D78" s="13">
        <v>5.75</v>
      </c>
      <c r="E78" s="13">
        <v>5.0599999999999996</v>
      </c>
      <c r="F78" s="13">
        <f t="shared" ref="F78:F85" si="6">D78-E78</f>
        <v>0.69000000000000039</v>
      </c>
      <c r="G78" t="s">
        <v>246</v>
      </c>
      <c r="H78" t="s">
        <v>11</v>
      </c>
      <c r="I78" t="s">
        <v>12</v>
      </c>
      <c r="J78" t="s">
        <v>247</v>
      </c>
      <c r="K78" s="41">
        <v>0.37</v>
      </c>
      <c r="L78" s="41"/>
      <c r="M78" s="41"/>
    </row>
    <row r="79" spans="1:13">
      <c r="B79" t="s">
        <v>1097</v>
      </c>
      <c r="C79" t="s">
        <v>1096</v>
      </c>
      <c r="D79" s="13">
        <v>4.25</v>
      </c>
      <c r="E79" s="13">
        <v>3.74</v>
      </c>
      <c r="F79" s="13">
        <f t="shared" si="6"/>
        <v>0.50999999999999979</v>
      </c>
      <c r="G79" t="s">
        <v>246</v>
      </c>
      <c r="H79" t="s">
        <v>11</v>
      </c>
      <c r="I79" t="s">
        <v>12</v>
      </c>
      <c r="J79" t="s">
        <v>250</v>
      </c>
      <c r="K79" s="41">
        <v>0.27</v>
      </c>
      <c r="L79" s="41"/>
      <c r="M79" s="41"/>
    </row>
    <row r="80" spans="1:13">
      <c r="B80" t="s">
        <v>292</v>
      </c>
      <c r="C80" t="s">
        <v>807</v>
      </c>
      <c r="D80" s="13">
        <v>10.75</v>
      </c>
      <c r="E80" s="13">
        <v>9.4600000000000009</v>
      </c>
      <c r="F80" s="13">
        <f t="shared" si="6"/>
        <v>1.2899999999999991</v>
      </c>
      <c r="G80" t="s">
        <v>246</v>
      </c>
      <c r="H80" t="s">
        <v>11</v>
      </c>
      <c r="I80" t="s">
        <v>12</v>
      </c>
      <c r="J80" t="s">
        <v>247</v>
      </c>
      <c r="K80" s="41">
        <v>0.34</v>
      </c>
      <c r="L80" s="41"/>
      <c r="M80" s="41"/>
    </row>
    <row r="81" spans="1:91">
      <c r="B81" s="50" t="s">
        <v>1318</v>
      </c>
      <c r="C81" s="50" t="s">
        <v>1317</v>
      </c>
      <c r="D81" s="13">
        <v>0</v>
      </c>
      <c r="E81" s="13">
        <v>0</v>
      </c>
      <c r="F81" s="13">
        <v>0</v>
      </c>
      <c r="G81" s="50" t="s">
        <v>246</v>
      </c>
      <c r="H81" s="50" t="s">
        <v>11</v>
      </c>
      <c r="I81" s="50" t="s">
        <v>19</v>
      </c>
      <c r="J81" s="50" t="s">
        <v>247</v>
      </c>
      <c r="K81" s="41"/>
      <c r="L81" s="41"/>
      <c r="M81" s="41"/>
    </row>
    <row r="82" spans="1:91">
      <c r="B82" t="s">
        <v>293</v>
      </c>
      <c r="C82" t="s">
        <v>808</v>
      </c>
      <c r="D82" s="13">
        <v>8</v>
      </c>
      <c r="E82" s="13">
        <v>7.04</v>
      </c>
      <c r="F82" s="13">
        <f t="shared" si="6"/>
        <v>0.96</v>
      </c>
      <c r="G82" t="s">
        <v>246</v>
      </c>
      <c r="H82" t="s">
        <v>11</v>
      </c>
      <c r="I82" t="s">
        <v>12</v>
      </c>
      <c r="J82" t="s">
        <v>250</v>
      </c>
      <c r="K82" s="41">
        <v>2.5999999999999999E-2</v>
      </c>
      <c r="L82" s="41"/>
      <c r="M82" s="41"/>
    </row>
    <row r="83" spans="1:91">
      <c r="B83" s="50" t="s">
        <v>1320</v>
      </c>
      <c r="C83" s="50" t="s">
        <v>1319</v>
      </c>
      <c r="D83" s="13">
        <v>0</v>
      </c>
      <c r="E83" s="13">
        <v>0</v>
      </c>
      <c r="F83" s="13">
        <f t="shared" si="6"/>
        <v>0</v>
      </c>
      <c r="G83" s="50" t="s">
        <v>246</v>
      </c>
      <c r="H83" s="50" t="s">
        <v>11</v>
      </c>
      <c r="I83" s="50" t="s">
        <v>19</v>
      </c>
      <c r="J83" s="50" t="s">
        <v>250</v>
      </c>
      <c r="K83" s="41"/>
      <c r="L83" s="41"/>
      <c r="M83" s="41"/>
    </row>
    <row r="84" spans="1:91">
      <c r="B84" t="s">
        <v>506</v>
      </c>
      <c r="C84" t="s">
        <v>505</v>
      </c>
      <c r="D84" s="13">
        <v>11</v>
      </c>
      <c r="E84" s="13">
        <v>9.44</v>
      </c>
      <c r="F84" s="13">
        <f t="shared" si="6"/>
        <v>1.5600000000000005</v>
      </c>
      <c r="G84" t="s">
        <v>246</v>
      </c>
      <c r="H84" t="s">
        <v>11</v>
      </c>
      <c r="I84" t="s">
        <v>12</v>
      </c>
      <c r="J84" t="s">
        <v>247</v>
      </c>
      <c r="K84" s="41">
        <v>0.34</v>
      </c>
      <c r="L84" s="41"/>
      <c r="M84" s="41"/>
    </row>
    <row r="85" spans="1:91">
      <c r="B85" t="s">
        <v>508</v>
      </c>
      <c r="C85" t="s">
        <v>507</v>
      </c>
      <c r="D85" s="13">
        <v>8</v>
      </c>
      <c r="E85" s="13">
        <v>7.04</v>
      </c>
      <c r="F85" s="13">
        <f t="shared" si="6"/>
        <v>0.96</v>
      </c>
      <c r="G85" t="s">
        <v>246</v>
      </c>
      <c r="H85" t="s">
        <v>11</v>
      </c>
      <c r="I85" t="s">
        <v>12</v>
      </c>
      <c r="J85" t="s">
        <v>250</v>
      </c>
      <c r="K85" s="41">
        <v>0.26</v>
      </c>
      <c r="L85" s="41"/>
      <c r="M85" s="41"/>
    </row>
    <row r="86" spans="1:91">
      <c r="B86" t="s">
        <v>510</v>
      </c>
      <c r="C86" t="s">
        <v>509</v>
      </c>
      <c r="D86" s="13">
        <v>0</v>
      </c>
      <c r="E86" s="13">
        <v>0</v>
      </c>
      <c r="F86" s="13">
        <v>0</v>
      </c>
      <c r="G86" t="s">
        <v>246</v>
      </c>
      <c r="H86" t="s">
        <v>11</v>
      </c>
      <c r="I86" t="s">
        <v>12</v>
      </c>
      <c r="J86" t="s">
        <v>250</v>
      </c>
      <c r="K86" s="41"/>
      <c r="L86" s="41"/>
      <c r="M86" s="41"/>
    </row>
    <row r="87" spans="1:91">
      <c r="B87" t="s">
        <v>294</v>
      </c>
      <c r="C87" t="s">
        <v>363</v>
      </c>
      <c r="D87" s="13">
        <v>0</v>
      </c>
      <c r="E87" s="13">
        <v>0</v>
      </c>
      <c r="F87" s="13">
        <v>0</v>
      </c>
      <c r="G87" t="s">
        <v>246</v>
      </c>
      <c r="H87" t="s">
        <v>11</v>
      </c>
      <c r="I87" t="s">
        <v>12</v>
      </c>
      <c r="J87" t="s">
        <v>250</v>
      </c>
      <c r="K87" s="41"/>
      <c r="L87" s="41"/>
      <c r="M87" s="41"/>
    </row>
    <row r="88" spans="1:91">
      <c r="B88" t="s">
        <v>582</v>
      </c>
      <c r="C88" t="s">
        <v>802</v>
      </c>
      <c r="D88" s="13">
        <v>3.1</v>
      </c>
      <c r="E88" s="13">
        <v>2.75</v>
      </c>
      <c r="F88" s="13">
        <f>D88-E88</f>
        <v>0.35000000000000009</v>
      </c>
      <c r="G88" t="s">
        <v>246</v>
      </c>
      <c r="H88" t="s">
        <v>11</v>
      </c>
      <c r="I88" t="s">
        <v>19</v>
      </c>
      <c r="J88" t="s">
        <v>247</v>
      </c>
      <c r="K88" s="41">
        <v>0.11</v>
      </c>
      <c r="L88" s="41"/>
      <c r="M88" s="41"/>
    </row>
    <row r="89" spans="1:91">
      <c r="B89" t="s">
        <v>583</v>
      </c>
      <c r="C89" t="s">
        <v>803</v>
      </c>
      <c r="D89" s="13">
        <v>3.1</v>
      </c>
      <c r="E89" s="13">
        <v>2.75</v>
      </c>
      <c r="F89" s="13">
        <f>D89-E89</f>
        <v>0.35000000000000009</v>
      </c>
      <c r="G89" t="s">
        <v>246</v>
      </c>
      <c r="H89" t="s">
        <v>11</v>
      </c>
      <c r="I89" t="s">
        <v>19</v>
      </c>
      <c r="J89" t="s">
        <v>250</v>
      </c>
      <c r="K89" s="41">
        <v>0.09</v>
      </c>
      <c r="L89" s="41"/>
      <c r="M89" s="41"/>
    </row>
    <row r="90" spans="1:91">
      <c r="B90" t="s">
        <v>584</v>
      </c>
      <c r="C90" t="s">
        <v>805</v>
      </c>
      <c r="D90" s="13">
        <v>3.3</v>
      </c>
      <c r="E90" s="13">
        <v>2.9</v>
      </c>
      <c r="F90" s="13">
        <f>D90-E90</f>
        <v>0.39999999999999991</v>
      </c>
      <c r="G90" t="s">
        <v>246</v>
      </c>
      <c r="H90" t="s">
        <v>11</v>
      </c>
      <c r="I90" t="s">
        <v>19</v>
      </c>
      <c r="J90" t="s">
        <v>247</v>
      </c>
      <c r="K90" s="41">
        <v>0.11</v>
      </c>
      <c r="L90" s="41"/>
      <c r="M90" s="41"/>
    </row>
    <row r="91" spans="1:91">
      <c r="B91" t="s">
        <v>585</v>
      </c>
      <c r="C91" t="s">
        <v>806</v>
      </c>
      <c r="D91" s="13">
        <v>2.8</v>
      </c>
      <c r="E91" s="13">
        <v>2.42</v>
      </c>
      <c r="F91" s="13">
        <f>D91-E91</f>
        <v>0.37999999999999989</v>
      </c>
      <c r="G91" t="s">
        <v>246</v>
      </c>
      <c r="H91" t="s">
        <v>11</v>
      </c>
      <c r="I91" t="s">
        <v>19</v>
      </c>
      <c r="J91" t="s">
        <v>250</v>
      </c>
      <c r="K91" s="41">
        <v>0.09</v>
      </c>
      <c r="L91" s="41"/>
      <c r="M91" s="41"/>
    </row>
    <row r="92" spans="1:91">
      <c r="B92" t="s">
        <v>586</v>
      </c>
      <c r="C92" t="s">
        <v>804</v>
      </c>
      <c r="D92" s="13" t="s">
        <v>541</v>
      </c>
      <c r="E92" s="13" t="s">
        <v>541</v>
      </c>
      <c r="F92" s="13" t="s">
        <v>541</v>
      </c>
      <c r="G92" t="s">
        <v>246</v>
      </c>
      <c r="H92" t="s">
        <v>11</v>
      </c>
      <c r="I92" t="s">
        <v>19</v>
      </c>
      <c r="J92" t="s">
        <v>250</v>
      </c>
      <c r="K92" s="41"/>
      <c r="L92" s="41"/>
      <c r="M92" s="41"/>
    </row>
    <row r="93" spans="1:91" s="11" customFormat="1">
      <c r="A93"/>
      <c r="B93" t="s">
        <v>452</v>
      </c>
      <c r="C93" t="s">
        <v>451</v>
      </c>
      <c r="D93" s="13">
        <v>0</v>
      </c>
      <c r="E93" s="13">
        <v>0</v>
      </c>
      <c r="F93" s="13">
        <v>0</v>
      </c>
      <c r="G93" t="s">
        <v>246</v>
      </c>
      <c r="H93" t="s">
        <v>11</v>
      </c>
      <c r="I93" t="s">
        <v>12</v>
      </c>
      <c r="J93" t="s">
        <v>250</v>
      </c>
      <c r="K93" s="41"/>
      <c r="L93" s="41"/>
      <c r="M93" s="41"/>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row>
    <row r="94" spans="1:91" s="11" customFormat="1">
      <c r="A94"/>
      <c r="B94" t="s">
        <v>454</v>
      </c>
      <c r="C94" t="s">
        <v>453</v>
      </c>
      <c r="D94" s="13">
        <v>0</v>
      </c>
      <c r="E94" s="13">
        <v>0</v>
      </c>
      <c r="F94" s="13">
        <v>0</v>
      </c>
      <c r="G94" t="s">
        <v>246</v>
      </c>
      <c r="H94" t="s">
        <v>11</v>
      </c>
      <c r="I94" t="s">
        <v>12</v>
      </c>
      <c r="J94" t="s">
        <v>250</v>
      </c>
      <c r="K94" s="41"/>
      <c r="L94" s="41"/>
      <c r="M94" s="41"/>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row>
    <row r="95" spans="1:91" s="11" customFormat="1">
      <c r="A95"/>
      <c r="B95" t="s">
        <v>532</v>
      </c>
      <c r="C95" t="s">
        <v>531</v>
      </c>
      <c r="D95" s="13">
        <v>1.94</v>
      </c>
      <c r="E95" s="13">
        <v>1.71</v>
      </c>
      <c r="F95" s="13">
        <f>D95-E95</f>
        <v>0.22999999999999998</v>
      </c>
      <c r="G95" t="s">
        <v>246</v>
      </c>
      <c r="H95" t="s">
        <v>11</v>
      </c>
      <c r="I95" t="s">
        <v>12</v>
      </c>
      <c r="J95" t="s">
        <v>247</v>
      </c>
      <c r="K95" s="41">
        <v>0.06</v>
      </c>
      <c r="L95" s="41"/>
      <c r="M95" s="41"/>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row>
    <row r="96" spans="1:91" s="11" customFormat="1">
      <c r="A96"/>
      <c r="B96" t="s">
        <v>534</v>
      </c>
      <c r="C96" t="s">
        <v>533</v>
      </c>
      <c r="D96" s="13">
        <v>1.94</v>
      </c>
      <c r="E96" s="13">
        <v>1.71</v>
      </c>
      <c r="F96" s="13">
        <f>D96-E96</f>
        <v>0.22999999999999998</v>
      </c>
      <c r="G96" t="s">
        <v>246</v>
      </c>
      <c r="H96" t="s">
        <v>11</v>
      </c>
      <c r="I96" t="s">
        <v>12</v>
      </c>
      <c r="J96" t="s">
        <v>250</v>
      </c>
      <c r="K96" s="41">
        <v>0.06</v>
      </c>
      <c r="L96" s="41"/>
      <c r="M96" s="41"/>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row>
    <row r="97" spans="1:91" s="11" customFormat="1">
      <c r="A97"/>
      <c r="B97" t="s">
        <v>536</v>
      </c>
      <c r="C97" t="s">
        <v>535</v>
      </c>
      <c r="D97" s="13">
        <v>3.3</v>
      </c>
      <c r="E97" s="13">
        <v>2.86</v>
      </c>
      <c r="F97" s="13">
        <f>D97-E97</f>
        <v>0.43999999999999995</v>
      </c>
      <c r="G97" t="s">
        <v>246</v>
      </c>
      <c r="H97" t="s">
        <v>11</v>
      </c>
      <c r="I97" t="s">
        <v>12</v>
      </c>
      <c r="J97" t="s">
        <v>247</v>
      </c>
      <c r="K97" s="41">
        <v>0.1</v>
      </c>
      <c r="L97" s="41"/>
      <c r="M97" s="41"/>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row>
    <row r="98" spans="1:91" s="11" customFormat="1">
      <c r="A98"/>
      <c r="B98" t="s">
        <v>538</v>
      </c>
      <c r="C98" t="s">
        <v>537</v>
      </c>
      <c r="D98" s="13">
        <v>3.3</v>
      </c>
      <c r="E98" s="13">
        <v>2.86</v>
      </c>
      <c r="F98" s="13">
        <f>D98-E98</f>
        <v>0.43999999999999995</v>
      </c>
      <c r="G98" t="s">
        <v>246</v>
      </c>
      <c r="H98" t="s">
        <v>11</v>
      </c>
      <c r="I98" t="s">
        <v>12</v>
      </c>
      <c r="J98" t="s">
        <v>250</v>
      </c>
      <c r="K98" s="41">
        <v>0.1</v>
      </c>
      <c r="L98" s="41"/>
      <c r="M98" s="41"/>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row>
    <row r="99" spans="1:91" s="11" customFormat="1">
      <c r="A99"/>
      <c r="B99"/>
      <c r="C99"/>
      <c r="D99" s="13"/>
      <c r="E99" s="13"/>
      <c r="F99" s="13"/>
      <c r="G99"/>
      <c r="H99"/>
      <c r="I99"/>
      <c r="J99"/>
      <c r="K99" s="41"/>
      <c r="L99" s="41"/>
      <c r="M99" s="41"/>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row>
    <row r="100" spans="1:91" s="11" customFormat="1">
      <c r="A100"/>
      <c r="B100"/>
      <c r="C100" s="2" t="s">
        <v>45</v>
      </c>
      <c r="D100" s="13"/>
      <c r="E100" s="13"/>
      <c r="F100" s="13"/>
      <c r="G100"/>
      <c r="H100"/>
      <c r="I100"/>
      <c r="J100"/>
      <c r="K100" s="41"/>
      <c r="L100" s="41"/>
      <c r="M100" s="41"/>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row>
    <row r="101" spans="1:91">
      <c r="B101" t="s">
        <v>325</v>
      </c>
      <c r="C101" t="s">
        <v>387</v>
      </c>
      <c r="D101" s="13">
        <v>1998</v>
      </c>
      <c r="E101" s="13">
        <v>1758.2400000000002</v>
      </c>
      <c r="F101" s="13">
        <f t="shared" ref="F101:F112" si="7">D101-E101</f>
        <v>239.75999999999976</v>
      </c>
      <c r="G101" t="s">
        <v>246</v>
      </c>
      <c r="H101" t="s">
        <v>11</v>
      </c>
      <c r="I101" t="s">
        <v>12</v>
      </c>
      <c r="J101" t="s">
        <v>247</v>
      </c>
      <c r="K101" s="41">
        <v>63.94</v>
      </c>
      <c r="L101" s="41"/>
      <c r="M101" s="41"/>
    </row>
    <row r="102" spans="1:91">
      <c r="B102" t="s">
        <v>326</v>
      </c>
      <c r="C102" t="s">
        <v>388</v>
      </c>
      <c r="D102" s="13">
        <v>1998</v>
      </c>
      <c r="E102" s="13">
        <v>1758.2400000000002</v>
      </c>
      <c r="F102" s="13">
        <f t="shared" si="7"/>
        <v>239.75999999999976</v>
      </c>
      <c r="G102" t="s">
        <v>246</v>
      </c>
      <c r="H102" t="s">
        <v>11</v>
      </c>
      <c r="I102" t="s">
        <v>12</v>
      </c>
      <c r="J102" t="s">
        <v>250</v>
      </c>
      <c r="K102" s="41">
        <v>63.94</v>
      </c>
      <c r="L102" s="41"/>
      <c r="M102" s="41"/>
    </row>
    <row r="103" spans="1:91">
      <c r="B103" t="s">
        <v>327</v>
      </c>
      <c r="C103" t="s">
        <v>389</v>
      </c>
      <c r="D103" s="13">
        <v>3998</v>
      </c>
      <c r="E103" s="13">
        <v>3518.2400000000002</v>
      </c>
      <c r="F103" s="13">
        <f t="shared" si="7"/>
        <v>479.75999999999976</v>
      </c>
      <c r="G103" t="s">
        <v>246</v>
      </c>
      <c r="H103" t="s">
        <v>11</v>
      </c>
      <c r="I103" t="s">
        <v>12</v>
      </c>
      <c r="J103" t="s">
        <v>247</v>
      </c>
      <c r="K103" s="41">
        <v>127.94</v>
      </c>
      <c r="L103" s="41"/>
      <c r="M103" s="41"/>
    </row>
    <row r="104" spans="1:91">
      <c r="B104" t="s">
        <v>328</v>
      </c>
      <c r="C104" t="s">
        <v>390</v>
      </c>
      <c r="D104" s="13">
        <v>3998</v>
      </c>
      <c r="E104" s="13">
        <v>3518.2400000000002</v>
      </c>
      <c r="F104" s="13">
        <f t="shared" si="7"/>
        <v>479.75999999999976</v>
      </c>
      <c r="G104" t="s">
        <v>246</v>
      </c>
      <c r="H104" t="s">
        <v>11</v>
      </c>
      <c r="I104" t="s">
        <v>12</v>
      </c>
      <c r="J104" t="s">
        <v>250</v>
      </c>
      <c r="K104" s="41">
        <v>127.94</v>
      </c>
      <c r="L104" s="41"/>
      <c r="M104" s="41"/>
    </row>
    <row r="105" spans="1:91">
      <c r="B105" t="s">
        <v>329</v>
      </c>
      <c r="C105" t="s">
        <v>391</v>
      </c>
      <c r="D105" s="13">
        <v>7998</v>
      </c>
      <c r="E105" s="13">
        <v>7038.24</v>
      </c>
      <c r="F105" s="13">
        <f t="shared" si="7"/>
        <v>959.76000000000022</v>
      </c>
      <c r="G105" t="s">
        <v>246</v>
      </c>
      <c r="H105" t="s">
        <v>11</v>
      </c>
      <c r="I105" t="s">
        <v>12</v>
      </c>
      <c r="J105" t="s">
        <v>247</v>
      </c>
      <c r="K105" s="41">
        <v>255.94</v>
      </c>
      <c r="L105" s="41"/>
      <c r="M105" s="41"/>
    </row>
    <row r="106" spans="1:91">
      <c r="B106" t="s">
        <v>330</v>
      </c>
      <c r="C106" t="s">
        <v>392</v>
      </c>
      <c r="D106" s="13">
        <v>7998</v>
      </c>
      <c r="E106" s="13">
        <v>7038.24</v>
      </c>
      <c r="F106" s="13">
        <f t="shared" si="7"/>
        <v>959.76000000000022</v>
      </c>
      <c r="G106" t="s">
        <v>246</v>
      </c>
      <c r="H106" t="s">
        <v>11</v>
      </c>
      <c r="I106" t="s">
        <v>12</v>
      </c>
      <c r="J106" t="s">
        <v>250</v>
      </c>
      <c r="K106" s="41">
        <v>255.39400000000001</v>
      </c>
      <c r="L106" s="41"/>
      <c r="M106" s="41"/>
    </row>
    <row r="107" spans="1:91">
      <c r="B107" t="s">
        <v>331</v>
      </c>
      <c r="C107" t="s">
        <v>393</v>
      </c>
      <c r="D107" s="13">
        <v>2.25</v>
      </c>
      <c r="E107" s="13">
        <v>1.98</v>
      </c>
      <c r="F107" s="13">
        <f t="shared" si="7"/>
        <v>0.27</v>
      </c>
      <c r="G107" t="s">
        <v>246</v>
      </c>
      <c r="H107" t="s">
        <v>11</v>
      </c>
      <c r="I107" t="s">
        <v>12</v>
      </c>
      <c r="J107" t="s">
        <v>247</v>
      </c>
      <c r="K107" s="41">
        <v>7.0000000000000007E-2</v>
      </c>
      <c r="L107" s="41"/>
      <c r="M107" s="41"/>
    </row>
    <row r="108" spans="1:91">
      <c r="B108" t="s">
        <v>332</v>
      </c>
      <c r="C108" t="s">
        <v>394</v>
      </c>
      <c r="D108" s="13">
        <v>1.25</v>
      </c>
      <c r="E108" s="13">
        <v>1.1000000000000001</v>
      </c>
      <c r="F108" s="13">
        <f t="shared" si="7"/>
        <v>0.14999999999999991</v>
      </c>
      <c r="G108" t="s">
        <v>246</v>
      </c>
      <c r="H108" t="s">
        <v>11</v>
      </c>
      <c r="I108" t="s">
        <v>12</v>
      </c>
      <c r="J108" t="s">
        <v>250</v>
      </c>
      <c r="K108" s="41">
        <v>0.04</v>
      </c>
      <c r="L108" s="41"/>
      <c r="M108" s="41"/>
    </row>
    <row r="109" spans="1:91">
      <c r="B109" t="s">
        <v>1682</v>
      </c>
      <c r="C109" t="s">
        <v>1678</v>
      </c>
      <c r="D109" s="13">
        <v>2.25</v>
      </c>
      <c r="E109" s="13">
        <v>1.98</v>
      </c>
      <c r="F109" s="13">
        <f t="shared" si="7"/>
        <v>0.27</v>
      </c>
      <c r="G109" t="s">
        <v>246</v>
      </c>
      <c r="H109" t="s">
        <v>11</v>
      </c>
      <c r="I109" t="s">
        <v>19</v>
      </c>
      <c r="J109" t="s">
        <v>247</v>
      </c>
      <c r="K109" s="41">
        <v>7.2000000000000008E-2</v>
      </c>
      <c r="L109" s="41"/>
      <c r="M109" s="41"/>
    </row>
    <row r="110" spans="1:91">
      <c r="B110" t="s">
        <v>1683</v>
      </c>
      <c r="C110" t="s">
        <v>1679</v>
      </c>
      <c r="D110" s="13">
        <v>1.25</v>
      </c>
      <c r="E110" s="13">
        <v>1.1000000000000001</v>
      </c>
      <c r="F110" s="13">
        <f t="shared" si="7"/>
        <v>0.14999999999999991</v>
      </c>
      <c r="G110" t="s">
        <v>246</v>
      </c>
      <c r="H110" t="s">
        <v>11</v>
      </c>
      <c r="I110" t="s">
        <v>19</v>
      </c>
      <c r="J110" t="s">
        <v>250</v>
      </c>
      <c r="K110" s="41">
        <v>0.04</v>
      </c>
      <c r="L110" s="41"/>
      <c r="M110" s="41"/>
    </row>
    <row r="111" spans="1:91">
      <c r="B111" t="s">
        <v>1684</v>
      </c>
      <c r="C111" t="s">
        <v>1680</v>
      </c>
      <c r="D111" s="13">
        <v>4.5</v>
      </c>
      <c r="E111" s="13">
        <v>3.96</v>
      </c>
      <c r="F111" s="13">
        <f t="shared" si="7"/>
        <v>0.54</v>
      </c>
      <c r="G111" t="s">
        <v>246</v>
      </c>
      <c r="H111" t="s">
        <v>11</v>
      </c>
      <c r="I111" t="s">
        <v>12</v>
      </c>
      <c r="J111" t="s">
        <v>247</v>
      </c>
      <c r="K111" s="41">
        <v>0.14400000000000002</v>
      </c>
      <c r="L111" s="41"/>
      <c r="M111" s="41"/>
    </row>
    <row r="112" spans="1:91">
      <c r="B112" t="s">
        <v>1685</v>
      </c>
      <c r="C112" t="s">
        <v>1681</v>
      </c>
      <c r="D112" s="13">
        <v>2.5</v>
      </c>
      <c r="E112" s="13">
        <v>2.2000000000000002</v>
      </c>
      <c r="F112" s="13">
        <f t="shared" si="7"/>
        <v>0.29999999999999982</v>
      </c>
      <c r="G112" t="s">
        <v>246</v>
      </c>
      <c r="H112" t="s">
        <v>11</v>
      </c>
      <c r="I112" t="s">
        <v>12</v>
      </c>
      <c r="J112" t="s">
        <v>250</v>
      </c>
      <c r="K112" s="41">
        <v>0.08</v>
      </c>
      <c r="L112" s="41"/>
      <c r="M112" s="41"/>
    </row>
    <row r="113" spans="1:91" s="11" customFormat="1">
      <c r="A113"/>
      <c r="B113"/>
      <c r="C113"/>
      <c r="D113" s="13"/>
      <c r="E113" s="13"/>
      <c r="F113" s="13"/>
      <c r="G113"/>
      <c r="H113"/>
      <c r="I113"/>
      <c r="J113"/>
      <c r="K113" s="41"/>
      <c r="L113" s="41"/>
      <c r="M113" s="41"/>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row>
    <row r="114" spans="1:91" s="11" customFormat="1">
      <c r="A114"/>
      <c r="B114"/>
      <c r="C114" s="2" t="s">
        <v>58</v>
      </c>
      <c r="D114" s="13"/>
      <c r="E114" s="13"/>
      <c r="F114" s="13"/>
      <c r="G114"/>
      <c r="H114"/>
      <c r="I114"/>
      <c r="J114"/>
      <c r="K114" s="41"/>
      <c r="L114" s="41"/>
      <c r="M114" s="41"/>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row>
    <row r="115" spans="1:91">
      <c r="B115" t="s">
        <v>333</v>
      </c>
      <c r="C115" t="s">
        <v>395</v>
      </c>
      <c r="D115" s="13">
        <v>0</v>
      </c>
      <c r="E115" s="13">
        <v>0</v>
      </c>
      <c r="F115" s="13">
        <v>0</v>
      </c>
      <c r="G115" t="s">
        <v>246</v>
      </c>
      <c r="H115" t="s">
        <v>11</v>
      </c>
      <c r="I115" t="s">
        <v>12</v>
      </c>
      <c r="J115" t="s">
        <v>247</v>
      </c>
      <c r="K115" s="41"/>
      <c r="L115" s="41"/>
      <c r="M115" s="41"/>
    </row>
    <row r="116" spans="1:91">
      <c r="B116" t="s">
        <v>334</v>
      </c>
      <c r="C116" t="s">
        <v>396</v>
      </c>
      <c r="D116" s="13">
        <v>0</v>
      </c>
      <c r="E116" s="13">
        <v>0</v>
      </c>
      <c r="F116" s="13">
        <v>0</v>
      </c>
      <c r="G116" t="s">
        <v>246</v>
      </c>
      <c r="H116" t="s">
        <v>11</v>
      </c>
      <c r="I116" t="s">
        <v>12</v>
      </c>
      <c r="J116" t="s">
        <v>250</v>
      </c>
      <c r="K116" s="41"/>
      <c r="L116" s="41"/>
      <c r="M116" s="41"/>
    </row>
    <row r="117" spans="1:91">
      <c r="B117" t="s">
        <v>335</v>
      </c>
      <c r="C117" t="s">
        <v>850</v>
      </c>
      <c r="D117" s="13">
        <v>11</v>
      </c>
      <c r="E117" s="13">
        <v>9.6800000000000015</v>
      </c>
      <c r="F117" s="13">
        <f>D117-E117</f>
        <v>1.3199999999999985</v>
      </c>
      <c r="G117" t="s">
        <v>246</v>
      </c>
      <c r="H117" t="s">
        <v>11</v>
      </c>
      <c r="I117" t="s">
        <v>12</v>
      </c>
      <c r="J117" t="s">
        <v>247</v>
      </c>
      <c r="K117" s="41">
        <v>0.35</v>
      </c>
      <c r="L117" s="41"/>
      <c r="M117" s="41"/>
    </row>
    <row r="118" spans="1:91">
      <c r="B118" t="s">
        <v>336</v>
      </c>
      <c r="C118" t="s">
        <v>851</v>
      </c>
      <c r="D118" s="13">
        <v>8.5</v>
      </c>
      <c r="E118" s="13">
        <v>7.4799999999999995</v>
      </c>
      <c r="F118" s="13">
        <f>D118-E118</f>
        <v>1.0200000000000005</v>
      </c>
      <c r="G118" t="s">
        <v>246</v>
      </c>
      <c r="H118" t="s">
        <v>11</v>
      </c>
      <c r="I118" t="s">
        <v>12</v>
      </c>
      <c r="J118" t="s">
        <v>250</v>
      </c>
      <c r="K118" s="41">
        <v>0.27</v>
      </c>
      <c r="L118" s="41"/>
      <c r="M118" s="41"/>
    </row>
    <row r="119" spans="1:91">
      <c r="B119" t="s">
        <v>337</v>
      </c>
      <c r="C119" t="s">
        <v>852</v>
      </c>
      <c r="D119" s="13">
        <v>6</v>
      </c>
      <c r="E119" s="13">
        <v>5.2799999999999994</v>
      </c>
      <c r="F119" s="13">
        <f>D119-E119</f>
        <v>0.72000000000000064</v>
      </c>
      <c r="G119" t="s">
        <v>246</v>
      </c>
      <c r="H119" t="s">
        <v>11</v>
      </c>
      <c r="I119" t="s">
        <v>12</v>
      </c>
      <c r="J119" t="s">
        <v>247</v>
      </c>
      <c r="K119" s="41">
        <v>0.19</v>
      </c>
      <c r="L119" s="41"/>
      <c r="M119" s="41"/>
    </row>
    <row r="120" spans="1:91">
      <c r="B120" t="s">
        <v>338</v>
      </c>
      <c r="C120" t="s">
        <v>853</v>
      </c>
      <c r="D120" s="13">
        <v>4.5</v>
      </c>
      <c r="E120" s="13">
        <v>3.96</v>
      </c>
      <c r="F120" s="13">
        <f>D120-E120</f>
        <v>0.54</v>
      </c>
      <c r="G120" t="s">
        <v>246</v>
      </c>
      <c r="H120" t="s">
        <v>11</v>
      </c>
      <c r="I120" t="s">
        <v>12</v>
      </c>
      <c r="J120" t="s">
        <v>250</v>
      </c>
      <c r="K120" s="41">
        <v>0.14000000000000001</v>
      </c>
      <c r="L120" s="41"/>
      <c r="M120" s="41"/>
    </row>
    <row r="121" spans="1:91">
      <c r="K121" s="41"/>
      <c r="L121" s="41"/>
      <c r="M121" s="41"/>
    </row>
    <row r="122" spans="1:91" s="11" customFormat="1">
      <c r="A122"/>
      <c r="B122"/>
      <c r="C122" s="23" t="s">
        <v>63</v>
      </c>
      <c r="D122" s="13"/>
      <c r="E122" s="13"/>
      <c r="F122" s="13"/>
      <c r="G122"/>
      <c r="H122"/>
      <c r="I122"/>
      <c r="J122"/>
      <c r="K122" s="41"/>
      <c r="L122" s="41"/>
      <c r="M122" s="41"/>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row>
    <row r="123" spans="1:91" s="11" customFormat="1">
      <c r="A123"/>
      <c r="B123" s="50" t="s">
        <v>2426</v>
      </c>
      <c r="C123" s="50" t="s">
        <v>2425</v>
      </c>
      <c r="D123" s="13">
        <v>0.6</v>
      </c>
      <c r="E123" s="13">
        <v>0.52800000000000002</v>
      </c>
      <c r="F123" s="13">
        <f t="shared" ref="F123:F124" si="8">D123-E123</f>
        <v>7.1999999999999953E-2</v>
      </c>
      <c r="G123" s="50" t="s">
        <v>246</v>
      </c>
      <c r="H123" s="50" t="s">
        <v>11</v>
      </c>
      <c r="I123" s="50" t="s">
        <v>19</v>
      </c>
      <c r="J123" s="50" t="s">
        <v>247</v>
      </c>
      <c r="K123" s="41"/>
      <c r="L123" s="41"/>
      <c r="M123" s="41"/>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row>
    <row r="124" spans="1:91" s="11" customFormat="1">
      <c r="A124"/>
      <c r="B124" s="50" t="s">
        <v>2427</v>
      </c>
      <c r="C124" s="50" t="s">
        <v>2425</v>
      </c>
      <c r="D124" s="13">
        <v>0.45</v>
      </c>
      <c r="E124" s="13">
        <v>0.39599999999999996</v>
      </c>
      <c r="F124" s="13">
        <f t="shared" si="8"/>
        <v>5.4000000000000048E-2</v>
      </c>
      <c r="G124" s="50" t="s">
        <v>246</v>
      </c>
      <c r="H124" s="50" t="s">
        <v>11</v>
      </c>
      <c r="I124" s="50" t="s">
        <v>19</v>
      </c>
      <c r="J124" s="50" t="s">
        <v>250</v>
      </c>
      <c r="K124" s="41"/>
      <c r="L124" s="41"/>
      <c r="M124" s="41"/>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row>
    <row r="125" spans="1:91">
      <c r="B125" s="50"/>
      <c r="C125" s="50"/>
      <c r="G125" s="50"/>
      <c r="H125" s="50"/>
      <c r="I125" s="50"/>
      <c r="J125" s="50"/>
      <c r="K125" s="41"/>
      <c r="L125" s="41"/>
      <c r="M125" s="41"/>
    </row>
    <row r="126" spans="1:91">
      <c r="A126" s="4" t="s">
        <v>1241</v>
      </c>
      <c r="C126" s="2" t="s">
        <v>68</v>
      </c>
      <c r="K126" s="41"/>
      <c r="L126" s="41"/>
      <c r="M126" s="41"/>
    </row>
    <row r="127" spans="1:91">
      <c r="B127" t="s">
        <v>257</v>
      </c>
      <c r="C127" t="s">
        <v>356</v>
      </c>
      <c r="D127" s="13">
        <v>3</v>
      </c>
      <c r="E127" s="13">
        <v>2.6399999999999997</v>
      </c>
      <c r="F127" s="13">
        <f t="shared" ref="F127:F141" si="9">D127-E127</f>
        <v>0.36000000000000032</v>
      </c>
      <c r="G127" t="s">
        <v>246</v>
      </c>
      <c r="H127" t="s">
        <v>11</v>
      </c>
      <c r="I127" t="s">
        <v>12</v>
      </c>
      <c r="J127" t="s">
        <v>247</v>
      </c>
      <c r="K127" s="41">
        <v>0.1</v>
      </c>
      <c r="L127" s="41"/>
      <c r="M127" s="41"/>
    </row>
    <row r="128" spans="1:91">
      <c r="B128" t="s">
        <v>258</v>
      </c>
      <c r="C128" t="s">
        <v>357</v>
      </c>
      <c r="D128" s="13">
        <v>2.25</v>
      </c>
      <c r="E128" s="13">
        <v>1.98</v>
      </c>
      <c r="F128" s="13">
        <f t="shared" si="9"/>
        <v>0.27</v>
      </c>
      <c r="G128" t="s">
        <v>246</v>
      </c>
      <c r="H128" t="s">
        <v>11</v>
      </c>
      <c r="I128" t="s">
        <v>12</v>
      </c>
      <c r="J128" t="s">
        <v>250</v>
      </c>
      <c r="K128" s="41">
        <v>7.0000000000000007E-2</v>
      </c>
      <c r="L128" s="41"/>
      <c r="M128" s="41"/>
    </row>
    <row r="129" spans="1:13">
      <c r="B129" t="s">
        <v>261</v>
      </c>
      <c r="C129" t="s">
        <v>896</v>
      </c>
      <c r="D129" s="13">
        <v>24</v>
      </c>
      <c r="E129" s="13">
        <v>24</v>
      </c>
      <c r="F129" s="13">
        <f t="shared" si="9"/>
        <v>0</v>
      </c>
      <c r="G129" t="s">
        <v>246</v>
      </c>
      <c r="H129" t="s">
        <v>11</v>
      </c>
      <c r="I129" t="s">
        <v>19</v>
      </c>
      <c r="J129" t="s">
        <v>247</v>
      </c>
      <c r="K129" s="41">
        <v>0.96</v>
      </c>
      <c r="L129" s="41"/>
      <c r="M129" s="41"/>
    </row>
    <row r="130" spans="1:13">
      <c r="B130" t="s">
        <v>262</v>
      </c>
      <c r="C130" t="s">
        <v>897</v>
      </c>
      <c r="D130" s="13">
        <v>24</v>
      </c>
      <c r="E130" s="13">
        <v>24</v>
      </c>
      <c r="F130" s="13">
        <f t="shared" si="9"/>
        <v>0</v>
      </c>
      <c r="G130" t="s">
        <v>246</v>
      </c>
      <c r="H130" t="s">
        <v>11</v>
      </c>
      <c r="I130" t="s">
        <v>19</v>
      </c>
      <c r="J130" t="s">
        <v>250</v>
      </c>
      <c r="K130" s="41">
        <v>0.96</v>
      </c>
      <c r="L130" s="41"/>
      <c r="M130" s="41"/>
    </row>
    <row r="131" spans="1:13">
      <c r="B131" t="s">
        <v>263</v>
      </c>
      <c r="C131" t="s">
        <v>898</v>
      </c>
      <c r="D131" s="13">
        <v>6</v>
      </c>
      <c r="E131" s="13">
        <v>6</v>
      </c>
      <c r="F131" s="13">
        <f t="shared" si="9"/>
        <v>0</v>
      </c>
      <c r="G131" t="s">
        <v>246</v>
      </c>
      <c r="H131" t="s">
        <v>11</v>
      </c>
      <c r="I131" t="s">
        <v>19</v>
      </c>
      <c r="J131" t="s">
        <v>247</v>
      </c>
      <c r="K131" s="41">
        <v>0.24</v>
      </c>
      <c r="L131" s="41"/>
      <c r="M131" s="41"/>
    </row>
    <row r="132" spans="1:13">
      <c r="B132" t="s">
        <v>264</v>
      </c>
      <c r="C132" t="s">
        <v>899</v>
      </c>
      <c r="D132" s="13">
        <v>6</v>
      </c>
      <c r="E132" s="13">
        <v>6</v>
      </c>
      <c r="F132" s="13">
        <f t="shared" si="9"/>
        <v>0</v>
      </c>
      <c r="G132" t="s">
        <v>246</v>
      </c>
      <c r="H132" t="s">
        <v>11</v>
      </c>
      <c r="I132" t="s">
        <v>19</v>
      </c>
      <c r="J132" t="s">
        <v>250</v>
      </c>
      <c r="K132" s="41">
        <v>0.24</v>
      </c>
      <c r="L132" s="41"/>
      <c r="M132" s="41"/>
    </row>
    <row r="133" spans="1:13">
      <c r="A133" t="s">
        <v>527</v>
      </c>
      <c r="B133" t="s">
        <v>265</v>
      </c>
      <c r="C133" t="s">
        <v>900</v>
      </c>
      <c r="D133" s="13">
        <v>12</v>
      </c>
      <c r="E133" s="13">
        <v>12</v>
      </c>
      <c r="F133" s="13">
        <f t="shared" si="9"/>
        <v>0</v>
      </c>
      <c r="G133" t="s">
        <v>246</v>
      </c>
      <c r="H133" t="s">
        <v>11</v>
      </c>
      <c r="I133" t="s">
        <v>19</v>
      </c>
      <c r="J133" t="s">
        <v>247</v>
      </c>
      <c r="K133" s="41">
        <v>0.48</v>
      </c>
      <c r="L133" s="41"/>
      <c r="M133" s="41"/>
    </row>
    <row r="134" spans="1:13">
      <c r="B134" t="s">
        <v>266</v>
      </c>
      <c r="C134" t="s">
        <v>901</v>
      </c>
      <c r="D134" s="13">
        <v>12</v>
      </c>
      <c r="E134" s="13">
        <v>12</v>
      </c>
      <c r="F134" s="13">
        <f t="shared" si="9"/>
        <v>0</v>
      </c>
      <c r="G134" t="s">
        <v>246</v>
      </c>
      <c r="H134" t="s">
        <v>11</v>
      </c>
      <c r="I134" t="s">
        <v>19</v>
      </c>
      <c r="J134" t="s">
        <v>250</v>
      </c>
      <c r="K134" s="41">
        <v>0.48</v>
      </c>
      <c r="L134" s="41"/>
      <c r="M134" s="41"/>
    </row>
    <row r="135" spans="1:13">
      <c r="A135" s="4" t="s">
        <v>1242</v>
      </c>
      <c r="B135" t="s">
        <v>248</v>
      </c>
      <c r="C135" t="s">
        <v>894</v>
      </c>
      <c r="D135" s="13">
        <v>1.5</v>
      </c>
      <c r="E135" s="13">
        <v>1.5</v>
      </c>
      <c r="F135" s="13">
        <f t="shared" si="9"/>
        <v>0</v>
      </c>
      <c r="G135" t="s">
        <v>246</v>
      </c>
      <c r="H135" t="s">
        <v>11</v>
      </c>
      <c r="I135" t="s">
        <v>19</v>
      </c>
      <c r="J135" t="s">
        <v>247</v>
      </c>
      <c r="K135" s="41">
        <v>0.06</v>
      </c>
      <c r="L135" s="41"/>
      <c r="M135" s="41"/>
    </row>
    <row r="136" spans="1:13">
      <c r="B136" t="s">
        <v>249</v>
      </c>
      <c r="C136" t="s">
        <v>895</v>
      </c>
      <c r="D136" s="13">
        <v>1.1299999999999999</v>
      </c>
      <c r="E136" s="13">
        <v>1.1299999999999999</v>
      </c>
      <c r="F136" s="13">
        <f t="shared" si="9"/>
        <v>0</v>
      </c>
      <c r="G136" t="s">
        <v>246</v>
      </c>
      <c r="H136" t="s">
        <v>11</v>
      </c>
      <c r="I136" t="s">
        <v>19</v>
      </c>
      <c r="J136" t="s">
        <v>250</v>
      </c>
      <c r="K136" s="41">
        <v>0.05</v>
      </c>
      <c r="L136" s="41"/>
      <c r="M136" s="41"/>
    </row>
    <row r="137" spans="1:13">
      <c r="B137" t="s">
        <v>339</v>
      </c>
      <c r="C137" t="s">
        <v>397</v>
      </c>
      <c r="D137" s="13">
        <v>1.5</v>
      </c>
      <c r="E137" s="13">
        <v>1.3199999999999998</v>
      </c>
      <c r="F137" s="13">
        <f t="shared" si="9"/>
        <v>0.18000000000000016</v>
      </c>
      <c r="G137" t="s">
        <v>246</v>
      </c>
      <c r="H137" t="s">
        <v>11</v>
      </c>
      <c r="I137" t="s">
        <v>12</v>
      </c>
      <c r="J137" t="s">
        <v>247</v>
      </c>
      <c r="K137" s="41">
        <v>0.05</v>
      </c>
      <c r="L137" s="41"/>
      <c r="M137" s="41"/>
    </row>
    <row r="138" spans="1:13">
      <c r="B138" t="s">
        <v>340</v>
      </c>
      <c r="C138" t="s">
        <v>398</v>
      </c>
      <c r="D138" s="13">
        <v>0.5</v>
      </c>
      <c r="E138" s="13">
        <v>0.44</v>
      </c>
      <c r="F138" s="13">
        <f t="shared" si="9"/>
        <v>0.06</v>
      </c>
      <c r="G138" t="s">
        <v>246</v>
      </c>
      <c r="H138" t="s">
        <v>11</v>
      </c>
      <c r="I138" t="s">
        <v>12</v>
      </c>
      <c r="J138" t="s">
        <v>250</v>
      </c>
      <c r="K138" s="41">
        <v>0.02</v>
      </c>
      <c r="L138" s="41"/>
      <c r="M138" s="41"/>
    </row>
    <row r="139" spans="1:13">
      <c r="A139" s="4" t="s">
        <v>1243</v>
      </c>
      <c r="B139" t="s">
        <v>323</v>
      </c>
      <c r="C139" t="s">
        <v>913</v>
      </c>
      <c r="D139" s="13">
        <v>3</v>
      </c>
      <c r="E139" s="13">
        <v>2.6399999999999997</v>
      </c>
      <c r="F139" s="13">
        <f t="shared" si="9"/>
        <v>0.36000000000000032</v>
      </c>
      <c r="G139" t="s">
        <v>246</v>
      </c>
      <c r="H139" t="s">
        <v>11</v>
      </c>
      <c r="I139" t="s">
        <v>19</v>
      </c>
      <c r="J139" t="s">
        <v>247</v>
      </c>
      <c r="K139" s="41">
        <v>0.1</v>
      </c>
      <c r="L139" s="41"/>
      <c r="M139" s="41"/>
    </row>
    <row r="140" spans="1:13">
      <c r="B140" t="s">
        <v>619</v>
      </c>
      <c r="C140" t="s">
        <v>914</v>
      </c>
      <c r="D140" s="13">
        <v>0</v>
      </c>
      <c r="E140" s="13">
        <v>0</v>
      </c>
      <c r="F140" s="13">
        <f t="shared" si="9"/>
        <v>0</v>
      </c>
      <c r="G140" t="s">
        <v>246</v>
      </c>
      <c r="H140" t="s">
        <v>11</v>
      </c>
      <c r="I140" t="s">
        <v>19</v>
      </c>
      <c r="J140" t="s">
        <v>247</v>
      </c>
      <c r="K140" s="41">
        <v>0.19</v>
      </c>
      <c r="L140" s="41"/>
      <c r="M140" s="41"/>
    </row>
    <row r="141" spans="1:13">
      <c r="B141" t="s">
        <v>324</v>
      </c>
      <c r="C141" t="s">
        <v>912</v>
      </c>
      <c r="D141" s="13">
        <v>2.25</v>
      </c>
      <c r="E141" s="13">
        <v>1.98</v>
      </c>
      <c r="F141" s="13">
        <f t="shared" si="9"/>
        <v>0.27</v>
      </c>
      <c r="G141" t="s">
        <v>246</v>
      </c>
      <c r="H141" t="s">
        <v>11</v>
      </c>
      <c r="I141" t="s">
        <v>12</v>
      </c>
      <c r="J141" t="s">
        <v>250</v>
      </c>
      <c r="K141" s="41">
        <v>7.0000000000000007E-2</v>
      </c>
      <c r="L141" s="41"/>
      <c r="M141" s="41"/>
    </row>
    <row r="142" spans="1:13">
      <c r="B142" t="s">
        <v>621</v>
      </c>
      <c r="C142" t="s">
        <v>620</v>
      </c>
      <c r="D142" s="13" t="s">
        <v>541</v>
      </c>
      <c r="E142" s="13" t="s">
        <v>541</v>
      </c>
      <c r="F142" s="13" t="s">
        <v>541</v>
      </c>
      <c r="G142" t="s">
        <v>246</v>
      </c>
      <c r="H142" t="s">
        <v>11</v>
      </c>
      <c r="I142" t="s">
        <v>19</v>
      </c>
      <c r="J142" t="s">
        <v>250</v>
      </c>
      <c r="K142" s="41"/>
      <c r="L142" s="41"/>
      <c r="M142" s="41"/>
    </row>
    <row r="143" spans="1:13">
      <c r="B143" t="s">
        <v>1532</v>
      </c>
      <c r="C143" t="s">
        <v>1531</v>
      </c>
      <c r="D143" s="13">
        <v>0</v>
      </c>
      <c r="E143" s="13">
        <v>0</v>
      </c>
      <c r="F143" s="13">
        <v>0</v>
      </c>
      <c r="G143" t="s">
        <v>246</v>
      </c>
      <c r="H143" t="s">
        <v>11</v>
      </c>
      <c r="I143" t="s">
        <v>12</v>
      </c>
      <c r="J143" t="s">
        <v>247</v>
      </c>
      <c r="K143" s="41"/>
      <c r="L143" s="41"/>
      <c r="M143" s="41"/>
    </row>
    <row r="144" spans="1:13">
      <c r="K144" s="41"/>
      <c r="L144" s="41"/>
      <c r="M144" s="41"/>
    </row>
    <row r="145" spans="2:13">
      <c r="B145" s="51" t="s">
        <v>2020</v>
      </c>
      <c r="C145" s="51" t="s">
        <v>2018</v>
      </c>
      <c r="D145" s="13">
        <v>0</v>
      </c>
      <c r="E145" s="13">
        <v>0</v>
      </c>
      <c r="F145" s="13">
        <v>0</v>
      </c>
      <c r="G145" t="s">
        <v>246</v>
      </c>
      <c r="H145" t="s">
        <v>11</v>
      </c>
      <c r="I145" t="s">
        <v>19</v>
      </c>
      <c r="J145" t="s">
        <v>247</v>
      </c>
      <c r="K145" s="41"/>
      <c r="L145" s="41"/>
      <c r="M145" s="41"/>
    </row>
    <row r="146" spans="2:13">
      <c r="B146" s="51" t="s">
        <v>2021</v>
      </c>
      <c r="C146" s="51" t="s">
        <v>2019</v>
      </c>
      <c r="D146" s="13">
        <v>0</v>
      </c>
      <c r="E146" s="13">
        <v>0</v>
      </c>
      <c r="F146" s="13">
        <v>0</v>
      </c>
      <c r="G146" t="s">
        <v>246</v>
      </c>
      <c r="H146" t="s">
        <v>11</v>
      </c>
      <c r="I146" t="s">
        <v>19</v>
      </c>
      <c r="J146" t="s">
        <v>250</v>
      </c>
      <c r="K146" s="41"/>
      <c r="L146" s="41"/>
      <c r="M146" s="41"/>
    </row>
    <row r="147" spans="2:13">
      <c r="B147" s="51"/>
      <c r="C147" s="51"/>
      <c r="G147" s="51"/>
      <c r="H147" s="51"/>
      <c r="I147" s="51"/>
      <c r="J147" s="51"/>
      <c r="K147" s="41"/>
      <c r="L147" s="41"/>
      <c r="M147" s="41"/>
    </row>
    <row r="148" spans="2:13">
      <c r="B148" s="51" t="s">
        <v>2329</v>
      </c>
      <c r="C148" s="51" t="s">
        <v>2325</v>
      </c>
      <c r="D148" s="13">
        <v>16</v>
      </c>
      <c r="E148" s="13">
        <v>14.08</v>
      </c>
      <c r="F148" s="13">
        <f t="shared" ref="F148:F157" si="10">D148-E148</f>
        <v>1.92</v>
      </c>
      <c r="G148" t="s">
        <v>246</v>
      </c>
      <c r="H148" t="s">
        <v>11</v>
      </c>
      <c r="I148" t="s">
        <v>12</v>
      </c>
      <c r="J148" t="s">
        <v>247</v>
      </c>
      <c r="K148" s="41">
        <v>0.51</v>
      </c>
      <c r="L148" s="41"/>
      <c r="M148" s="41"/>
    </row>
    <row r="149" spans="2:13">
      <c r="B149" s="51" t="s">
        <v>2330</v>
      </c>
      <c r="C149" s="51" t="s">
        <v>2326</v>
      </c>
      <c r="D149" s="13">
        <v>0</v>
      </c>
      <c r="E149" s="13">
        <v>0</v>
      </c>
      <c r="F149" s="13">
        <f t="shared" si="10"/>
        <v>0</v>
      </c>
      <c r="G149" t="s">
        <v>246</v>
      </c>
      <c r="H149" t="s">
        <v>11</v>
      </c>
      <c r="I149" t="s">
        <v>27</v>
      </c>
      <c r="J149" t="s">
        <v>247</v>
      </c>
      <c r="K149" s="41">
        <v>0</v>
      </c>
      <c r="L149" s="41"/>
      <c r="M149" s="41"/>
    </row>
    <row r="150" spans="2:13">
      <c r="B150" s="51" t="s">
        <v>2468</v>
      </c>
      <c r="C150" s="51" t="s">
        <v>2466</v>
      </c>
      <c r="D150" s="13">
        <v>2</v>
      </c>
      <c r="E150" s="13">
        <v>1.76</v>
      </c>
      <c r="F150" s="13">
        <f t="shared" si="10"/>
        <v>0.24</v>
      </c>
      <c r="G150" t="s">
        <v>246</v>
      </c>
      <c r="H150" t="s">
        <v>11</v>
      </c>
      <c r="I150" t="s">
        <v>19</v>
      </c>
      <c r="J150" t="s">
        <v>247</v>
      </c>
      <c r="K150" s="41"/>
      <c r="L150" s="41"/>
      <c r="M150" s="41"/>
    </row>
    <row r="151" spans="2:13">
      <c r="B151" s="51" t="s">
        <v>2469</v>
      </c>
      <c r="C151" s="51" t="s">
        <v>2467</v>
      </c>
      <c r="D151" s="13">
        <v>1.5</v>
      </c>
      <c r="E151" s="13">
        <v>1.32</v>
      </c>
      <c r="F151" s="13">
        <f t="shared" si="10"/>
        <v>0.17999999999999994</v>
      </c>
      <c r="G151" t="s">
        <v>246</v>
      </c>
      <c r="H151" t="s">
        <v>11</v>
      </c>
      <c r="I151" t="s">
        <v>19</v>
      </c>
      <c r="J151" t="s">
        <v>250</v>
      </c>
      <c r="K151" s="41"/>
      <c r="L151" s="41"/>
      <c r="M151" s="41"/>
    </row>
    <row r="152" spans="2:13">
      <c r="B152" s="51" t="s">
        <v>2331</v>
      </c>
      <c r="C152" s="51" t="s">
        <v>2327</v>
      </c>
      <c r="D152" s="13">
        <v>16</v>
      </c>
      <c r="E152" s="13">
        <v>14.08</v>
      </c>
      <c r="F152" s="13">
        <f t="shared" si="10"/>
        <v>1.92</v>
      </c>
      <c r="G152" t="s">
        <v>246</v>
      </c>
      <c r="H152" t="s">
        <v>11</v>
      </c>
      <c r="I152" t="s">
        <v>12</v>
      </c>
      <c r="J152" t="s">
        <v>247</v>
      </c>
      <c r="K152" s="41">
        <v>0.51</v>
      </c>
      <c r="L152" s="41"/>
      <c r="M152" s="41"/>
    </row>
    <row r="153" spans="2:13">
      <c r="B153" s="51" t="s">
        <v>2332</v>
      </c>
      <c r="C153" s="51" t="s">
        <v>2328</v>
      </c>
      <c r="D153" s="13">
        <v>0</v>
      </c>
      <c r="E153" s="13">
        <v>0</v>
      </c>
      <c r="F153" s="13">
        <f t="shared" si="10"/>
        <v>0</v>
      </c>
      <c r="G153" t="s">
        <v>246</v>
      </c>
      <c r="H153" t="s">
        <v>11</v>
      </c>
      <c r="I153" t="s">
        <v>27</v>
      </c>
      <c r="J153" t="s">
        <v>247</v>
      </c>
      <c r="K153" s="41">
        <v>0</v>
      </c>
      <c r="L153" s="41"/>
      <c r="M153" s="41"/>
    </row>
    <row r="154" spans="2:13">
      <c r="B154" s="51" t="s">
        <v>2346</v>
      </c>
      <c r="C154" s="51" t="s">
        <v>2342</v>
      </c>
      <c r="D154" s="13">
        <v>15</v>
      </c>
      <c r="E154" s="13">
        <v>13.2</v>
      </c>
      <c r="F154" s="13">
        <f t="shared" si="10"/>
        <v>1.8000000000000007</v>
      </c>
      <c r="G154" t="s">
        <v>246</v>
      </c>
      <c r="H154" t="s">
        <v>11</v>
      </c>
      <c r="I154" t="s">
        <v>19</v>
      </c>
      <c r="J154" t="s">
        <v>247</v>
      </c>
      <c r="K154" s="41"/>
      <c r="L154" s="41"/>
      <c r="M154" s="41"/>
    </row>
    <row r="155" spans="2:13">
      <c r="B155" s="51" t="s">
        <v>2347</v>
      </c>
      <c r="C155" s="51" t="s">
        <v>2343</v>
      </c>
      <c r="D155" s="13">
        <v>0</v>
      </c>
      <c r="E155" s="13">
        <v>0</v>
      </c>
      <c r="F155" s="13">
        <f t="shared" si="10"/>
        <v>0</v>
      </c>
      <c r="G155" t="s">
        <v>246</v>
      </c>
      <c r="H155" t="s">
        <v>11</v>
      </c>
      <c r="I155" t="s">
        <v>27</v>
      </c>
      <c r="J155" t="s">
        <v>247</v>
      </c>
      <c r="K155" s="41"/>
      <c r="L155" s="41"/>
      <c r="M155" s="41"/>
    </row>
    <row r="156" spans="2:13">
      <c r="B156" s="51" t="s">
        <v>2348</v>
      </c>
      <c r="C156" s="51" t="s">
        <v>2344</v>
      </c>
      <c r="D156" s="13">
        <v>14.3</v>
      </c>
      <c r="E156" s="13">
        <v>12.54</v>
      </c>
      <c r="F156" s="13">
        <f t="shared" si="10"/>
        <v>1.7600000000000016</v>
      </c>
      <c r="G156" t="s">
        <v>246</v>
      </c>
      <c r="H156" t="s">
        <v>11</v>
      </c>
      <c r="I156" t="s">
        <v>19</v>
      </c>
      <c r="J156" t="s">
        <v>250</v>
      </c>
      <c r="K156" s="41"/>
      <c r="L156" s="41"/>
      <c r="M156" s="41"/>
    </row>
    <row r="157" spans="2:13">
      <c r="B157" s="51" t="s">
        <v>2349</v>
      </c>
      <c r="C157" s="51" t="s">
        <v>2345</v>
      </c>
      <c r="D157" s="13">
        <v>0</v>
      </c>
      <c r="E157" s="13">
        <v>0</v>
      </c>
      <c r="F157" s="13">
        <f t="shared" si="10"/>
        <v>0</v>
      </c>
      <c r="G157" t="s">
        <v>246</v>
      </c>
      <c r="H157" t="s">
        <v>11</v>
      </c>
      <c r="I157" t="s">
        <v>27</v>
      </c>
      <c r="J157" t="s">
        <v>250</v>
      </c>
      <c r="K157" s="41"/>
      <c r="L157" s="41"/>
      <c r="M157" s="41"/>
    </row>
    <row r="158" spans="2:13">
      <c r="K158" s="41"/>
      <c r="L158" s="41"/>
      <c r="M158" s="41"/>
    </row>
    <row r="159" spans="2:13">
      <c r="B159" t="s">
        <v>2388</v>
      </c>
      <c r="C159" t="s">
        <v>2387</v>
      </c>
      <c r="D159" s="13">
        <v>0</v>
      </c>
      <c r="E159" s="13">
        <v>0</v>
      </c>
      <c r="F159" s="13">
        <v>0</v>
      </c>
      <c r="G159" t="s">
        <v>246</v>
      </c>
      <c r="H159" t="s">
        <v>11</v>
      </c>
      <c r="I159" t="s">
        <v>19</v>
      </c>
      <c r="J159" t="s">
        <v>247</v>
      </c>
      <c r="K159" s="41"/>
      <c r="L159" s="41"/>
      <c r="M159" s="41"/>
    </row>
    <row r="160" spans="2:13">
      <c r="B160" t="s">
        <v>1274</v>
      </c>
      <c r="C160" t="s">
        <v>1273</v>
      </c>
      <c r="D160" s="13">
        <v>1.5</v>
      </c>
      <c r="E160" s="13">
        <v>1.5</v>
      </c>
      <c r="F160" s="13">
        <f>D160-E160</f>
        <v>0</v>
      </c>
      <c r="G160" t="s">
        <v>246</v>
      </c>
      <c r="H160" t="s">
        <v>11</v>
      </c>
      <c r="I160" t="s">
        <v>19</v>
      </c>
      <c r="J160" t="s">
        <v>247</v>
      </c>
      <c r="K160" s="41">
        <v>0.06</v>
      </c>
      <c r="L160" s="41"/>
      <c r="M160" s="41"/>
    </row>
    <row r="161" spans="1:91">
      <c r="B161" t="s">
        <v>1276</v>
      </c>
      <c r="C161" t="s">
        <v>1275</v>
      </c>
      <c r="D161" s="13">
        <v>1.1299999999999999</v>
      </c>
      <c r="E161" s="13">
        <v>1.1299999999999999</v>
      </c>
      <c r="F161" s="13">
        <f>D161-E161</f>
        <v>0</v>
      </c>
      <c r="G161" t="s">
        <v>246</v>
      </c>
      <c r="H161" t="s">
        <v>11</v>
      </c>
      <c r="I161" t="s">
        <v>19</v>
      </c>
      <c r="J161" t="s">
        <v>250</v>
      </c>
      <c r="K161" s="41">
        <v>0.05</v>
      </c>
      <c r="L161" s="41"/>
      <c r="M161" s="41"/>
    </row>
    <row r="162" spans="1:91">
      <c r="K162" s="41"/>
      <c r="L162" s="41"/>
      <c r="M162" s="41"/>
    </row>
    <row r="163" spans="1:91">
      <c r="C163" s="2" t="s">
        <v>71</v>
      </c>
      <c r="K163" s="41"/>
      <c r="L163" s="41"/>
      <c r="M163" s="41"/>
    </row>
    <row r="164" spans="1:91">
      <c r="A164" s="4" t="s">
        <v>1208</v>
      </c>
      <c r="B164" t="s">
        <v>341</v>
      </c>
      <c r="C164" t="s">
        <v>399</v>
      </c>
      <c r="D164" s="13">
        <v>1</v>
      </c>
      <c r="E164" s="13">
        <v>0.88</v>
      </c>
      <c r="F164" s="13">
        <f>D164-E164</f>
        <v>0.12</v>
      </c>
      <c r="G164" t="s">
        <v>246</v>
      </c>
      <c r="H164" t="s">
        <v>11</v>
      </c>
      <c r="I164" t="s">
        <v>12</v>
      </c>
      <c r="J164" t="s">
        <v>247</v>
      </c>
      <c r="K164" s="41">
        <v>0.03</v>
      </c>
      <c r="L164" s="41"/>
      <c r="M164" s="41"/>
    </row>
    <row r="165" spans="1:91">
      <c r="B165" t="s">
        <v>342</v>
      </c>
      <c r="C165" t="s">
        <v>400</v>
      </c>
      <c r="D165" s="13">
        <v>0.75</v>
      </c>
      <c r="E165" s="13">
        <v>0.65999999999999992</v>
      </c>
      <c r="F165" s="13">
        <f>D165-E165</f>
        <v>9.000000000000008E-2</v>
      </c>
      <c r="G165" t="s">
        <v>246</v>
      </c>
      <c r="H165" t="s">
        <v>11</v>
      </c>
      <c r="I165" t="s">
        <v>12</v>
      </c>
      <c r="J165" t="s">
        <v>250</v>
      </c>
      <c r="K165" s="41">
        <v>0.02</v>
      </c>
      <c r="L165" s="41"/>
      <c r="M165" s="41"/>
    </row>
    <row r="166" spans="1:91">
      <c r="B166" t="s">
        <v>343</v>
      </c>
      <c r="C166" t="s">
        <v>401</v>
      </c>
      <c r="D166" s="13">
        <v>2.2000000000000002</v>
      </c>
      <c r="E166" s="13">
        <v>1.94</v>
      </c>
      <c r="F166" s="13">
        <f>D166-E166</f>
        <v>0.26000000000000023</v>
      </c>
      <c r="G166" t="s">
        <v>246</v>
      </c>
      <c r="H166" t="s">
        <v>11</v>
      </c>
      <c r="I166" t="s">
        <v>12</v>
      </c>
      <c r="J166" t="s">
        <v>247</v>
      </c>
      <c r="K166" s="41">
        <v>7.0000000000000007E-2</v>
      </c>
      <c r="L166" s="41"/>
      <c r="M166" s="41"/>
    </row>
    <row r="167" spans="1:91">
      <c r="B167" t="s">
        <v>344</v>
      </c>
      <c r="C167" t="s">
        <v>402</v>
      </c>
      <c r="D167" s="13">
        <v>1.7</v>
      </c>
      <c r="E167" s="13">
        <v>1.5</v>
      </c>
      <c r="F167" s="13">
        <f>D167-E167</f>
        <v>0.19999999999999996</v>
      </c>
      <c r="G167" t="s">
        <v>246</v>
      </c>
      <c r="H167" t="s">
        <v>11</v>
      </c>
      <c r="I167" t="s">
        <v>12</v>
      </c>
      <c r="J167" t="s">
        <v>250</v>
      </c>
      <c r="K167" s="41">
        <v>0.05</v>
      </c>
      <c r="L167" s="41"/>
      <c r="M167" s="41"/>
    </row>
    <row r="168" spans="1:91">
      <c r="K168" s="41"/>
      <c r="L168" s="41"/>
      <c r="M168" s="41"/>
    </row>
    <row r="169" spans="1:91">
      <c r="C169" s="2" t="s">
        <v>74</v>
      </c>
      <c r="K169" s="41"/>
      <c r="L169" s="41"/>
      <c r="M169" s="41"/>
    </row>
    <row r="170" spans="1:91">
      <c r="A170" s="4" t="s">
        <v>1244</v>
      </c>
      <c r="B170" t="s">
        <v>345</v>
      </c>
      <c r="C170" t="s">
        <v>814</v>
      </c>
      <c r="D170" s="13">
        <v>2.2000000000000002</v>
      </c>
      <c r="E170" s="13">
        <v>1.94</v>
      </c>
      <c r="F170" s="13">
        <f>D170-E170</f>
        <v>0.26000000000000023</v>
      </c>
      <c r="G170" t="s">
        <v>246</v>
      </c>
      <c r="H170" t="s">
        <v>11</v>
      </c>
      <c r="I170" t="s">
        <v>12</v>
      </c>
      <c r="J170" t="s">
        <v>247</v>
      </c>
      <c r="K170" s="41">
        <v>7.0000000000000007E-2</v>
      </c>
      <c r="L170" s="41"/>
      <c r="M170" s="41"/>
    </row>
    <row r="171" spans="1:91">
      <c r="B171" t="s">
        <v>346</v>
      </c>
      <c r="C171" t="s">
        <v>815</v>
      </c>
      <c r="D171" s="13">
        <v>1.6</v>
      </c>
      <c r="E171" s="13">
        <v>1.41</v>
      </c>
      <c r="F171" s="13">
        <f>D171-E171</f>
        <v>0.19000000000000017</v>
      </c>
      <c r="G171" t="s">
        <v>246</v>
      </c>
      <c r="H171" t="s">
        <v>11</v>
      </c>
      <c r="I171" t="s">
        <v>12</v>
      </c>
      <c r="J171" t="s">
        <v>250</v>
      </c>
      <c r="K171" s="41">
        <v>0.05</v>
      </c>
      <c r="L171" s="41"/>
      <c r="M171" s="41"/>
    </row>
    <row r="172" spans="1:91">
      <c r="B172" t="s">
        <v>347</v>
      </c>
      <c r="C172" t="s">
        <v>816</v>
      </c>
      <c r="G172" t="s">
        <v>246</v>
      </c>
      <c r="H172" t="s">
        <v>11</v>
      </c>
      <c r="I172" t="s">
        <v>12</v>
      </c>
      <c r="J172" t="s">
        <v>250</v>
      </c>
      <c r="K172" s="41"/>
      <c r="L172" s="41"/>
      <c r="M172" s="41"/>
    </row>
    <row r="173" spans="1:91">
      <c r="B173" t="s">
        <v>348</v>
      </c>
      <c r="C173" t="s">
        <v>817</v>
      </c>
      <c r="D173" s="13">
        <v>6.3</v>
      </c>
      <c r="E173" s="13">
        <v>5.5</v>
      </c>
      <c r="F173" s="13">
        <f>D173-E173</f>
        <v>0.79999999999999982</v>
      </c>
      <c r="G173" t="s">
        <v>246</v>
      </c>
      <c r="H173" t="s">
        <v>11</v>
      </c>
      <c r="I173" t="s">
        <v>12</v>
      </c>
      <c r="J173" t="s">
        <v>247</v>
      </c>
      <c r="K173" s="41">
        <v>0.2</v>
      </c>
      <c r="L173" s="41"/>
      <c r="M173" s="41"/>
    </row>
    <row r="174" spans="1:91">
      <c r="B174" t="s">
        <v>349</v>
      </c>
      <c r="C174" t="s">
        <v>818</v>
      </c>
      <c r="D174" s="13">
        <v>5.7</v>
      </c>
      <c r="E174" s="13">
        <v>5.0599999999999996</v>
      </c>
      <c r="F174" s="13">
        <f>D174-E174</f>
        <v>0.64000000000000057</v>
      </c>
      <c r="G174" t="s">
        <v>246</v>
      </c>
      <c r="H174" t="s">
        <v>11</v>
      </c>
      <c r="I174" t="s">
        <v>12</v>
      </c>
      <c r="J174" t="s">
        <v>250</v>
      </c>
      <c r="K174" s="41">
        <v>0.36560000000000004</v>
      </c>
      <c r="L174" s="41"/>
      <c r="M174" s="41"/>
    </row>
    <row r="175" spans="1:91">
      <c r="B175" t="s">
        <v>350</v>
      </c>
      <c r="C175" t="s">
        <v>819</v>
      </c>
      <c r="G175" t="s">
        <v>246</v>
      </c>
      <c r="H175" t="s">
        <v>11</v>
      </c>
      <c r="I175" t="s">
        <v>12</v>
      </c>
      <c r="J175" t="s">
        <v>250</v>
      </c>
      <c r="K175" s="41"/>
      <c r="L175" s="41"/>
      <c r="M175" s="41"/>
    </row>
    <row r="176" spans="1:91" s="11" customFormat="1">
      <c r="A176"/>
      <c r="B176"/>
      <c r="C176"/>
      <c r="D176" s="13"/>
      <c r="E176" s="13"/>
      <c r="F176" s="13"/>
      <c r="G176"/>
      <c r="H176"/>
      <c r="I176"/>
      <c r="J176"/>
      <c r="K176" s="41"/>
      <c r="L176" s="41"/>
      <c r="M176" s="41"/>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row>
    <row r="177" spans="1:13">
      <c r="A177" s="4" t="s">
        <v>1245</v>
      </c>
      <c r="B177" t="s">
        <v>259</v>
      </c>
      <c r="C177" t="s">
        <v>601</v>
      </c>
      <c r="D177" s="13">
        <v>1.5</v>
      </c>
      <c r="E177" s="13">
        <v>1.3199999999999998</v>
      </c>
      <c r="F177" s="13">
        <f>D177-E177</f>
        <v>0.18000000000000016</v>
      </c>
      <c r="G177" t="s">
        <v>246</v>
      </c>
      <c r="H177" t="s">
        <v>11</v>
      </c>
      <c r="I177" t="s">
        <v>19</v>
      </c>
      <c r="J177" t="s">
        <v>247</v>
      </c>
      <c r="K177" s="41">
        <v>0.05</v>
      </c>
      <c r="L177" s="41"/>
      <c r="M177" s="41"/>
    </row>
    <row r="178" spans="1:13">
      <c r="B178" t="s">
        <v>260</v>
      </c>
      <c r="C178" t="s">
        <v>602</v>
      </c>
      <c r="D178" s="13">
        <v>1.1200000000000001</v>
      </c>
      <c r="E178" s="13">
        <v>0.99</v>
      </c>
      <c r="F178" s="13">
        <f>D178-E178</f>
        <v>0.13000000000000012</v>
      </c>
      <c r="G178" t="s">
        <v>246</v>
      </c>
      <c r="H178" t="s">
        <v>11</v>
      </c>
      <c r="I178" t="s">
        <v>19</v>
      </c>
      <c r="J178" t="s">
        <v>250</v>
      </c>
      <c r="K178" s="41">
        <v>0.04</v>
      </c>
      <c r="L178" s="41"/>
      <c r="M178" s="41"/>
    </row>
    <row r="179" spans="1:13">
      <c r="K179" s="41"/>
      <c r="L179" s="41"/>
      <c r="M179" s="41"/>
    </row>
    <row r="180" spans="1:13">
      <c r="C180" s="2" t="s">
        <v>92</v>
      </c>
      <c r="K180" s="41"/>
      <c r="L180" s="41"/>
      <c r="M180" s="41"/>
    </row>
    <row r="181" spans="1:13">
      <c r="C181" s="3"/>
      <c r="K181" s="41"/>
      <c r="L181" s="41"/>
      <c r="M181" s="41"/>
    </row>
    <row r="182" spans="1:13">
      <c r="A182" s="4" t="s">
        <v>1216</v>
      </c>
      <c r="C182" s="2" t="s">
        <v>525</v>
      </c>
      <c r="K182" s="41"/>
      <c r="L182" s="41"/>
      <c r="M182" s="41"/>
    </row>
    <row r="183" spans="1:13">
      <c r="A183" s="4" t="s">
        <v>122</v>
      </c>
      <c r="B183" t="s">
        <v>428</v>
      </c>
      <c r="C183" t="s">
        <v>553</v>
      </c>
      <c r="D183" s="13">
        <v>38.5</v>
      </c>
      <c r="E183" s="13">
        <v>29.7</v>
      </c>
      <c r="F183" s="13">
        <f>D183-E183</f>
        <v>8.8000000000000007</v>
      </c>
      <c r="G183" t="s">
        <v>246</v>
      </c>
      <c r="H183" t="s">
        <v>11</v>
      </c>
      <c r="I183" t="s">
        <v>12</v>
      </c>
      <c r="J183" t="s">
        <v>247</v>
      </c>
      <c r="K183" s="41">
        <v>1.2825</v>
      </c>
      <c r="L183" s="41">
        <v>1.35</v>
      </c>
      <c r="M183" s="41"/>
    </row>
    <row r="184" spans="1:13">
      <c r="B184" t="s">
        <v>430</v>
      </c>
      <c r="C184" t="s">
        <v>429</v>
      </c>
      <c r="D184" s="13">
        <v>28</v>
      </c>
      <c r="E184" s="13">
        <v>21.56</v>
      </c>
      <c r="F184" s="13">
        <f>D184-E184</f>
        <v>6.4400000000000013</v>
      </c>
      <c r="G184" t="s">
        <v>246</v>
      </c>
      <c r="H184" t="s">
        <v>11</v>
      </c>
      <c r="I184" t="s">
        <v>12</v>
      </c>
      <c r="J184" t="s">
        <v>250</v>
      </c>
      <c r="K184" s="41">
        <v>0.93100000000000005</v>
      </c>
      <c r="L184" s="41">
        <v>0.98</v>
      </c>
      <c r="M184" s="41"/>
    </row>
    <row r="185" spans="1:13">
      <c r="B185" t="s">
        <v>2504</v>
      </c>
      <c r="C185" t="s">
        <v>2502</v>
      </c>
      <c r="D185" s="13">
        <v>4</v>
      </c>
      <c r="E185" s="13">
        <v>3.3</v>
      </c>
      <c r="F185" s="13">
        <f t="shared" ref="F185:F186" si="11">D185-E185</f>
        <v>0.70000000000000018</v>
      </c>
      <c r="G185" t="s">
        <v>246</v>
      </c>
      <c r="H185" t="s">
        <v>11</v>
      </c>
      <c r="I185" t="s">
        <v>12</v>
      </c>
      <c r="J185" t="s">
        <v>247</v>
      </c>
      <c r="K185" s="41"/>
      <c r="L185" s="41"/>
      <c r="M185" s="41"/>
    </row>
    <row r="186" spans="1:13">
      <c r="A186" t="s">
        <v>527</v>
      </c>
      <c r="B186" t="s">
        <v>2505</v>
      </c>
      <c r="C186" t="s">
        <v>2503</v>
      </c>
      <c r="D186" s="13">
        <v>3</v>
      </c>
      <c r="E186" s="13">
        <v>2.5299999999999998</v>
      </c>
      <c r="F186" s="13">
        <f t="shared" si="11"/>
        <v>0.4700000000000002</v>
      </c>
      <c r="G186" t="s">
        <v>246</v>
      </c>
      <c r="H186" t="s">
        <v>11</v>
      </c>
      <c r="I186" t="s">
        <v>12</v>
      </c>
      <c r="J186" t="s">
        <v>250</v>
      </c>
      <c r="K186" s="41"/>
      <c r="L186" s="41"/>
      <c r="M186" s="41"/>
    </row>
    <row r="187" spans="1:13">
      <c r="A187" s="4" t="s">
        <v>1218</v>
      </c>
      <c r="B187" t="s">
        <v>903</v>
      </c>
      <c r="C187" t="s">
        <v>902</v>
      </c>
      <c r="D187" s="13">
        <v>0</v>
      </c>
      <c r="E187" s="13">
        <v>0</v>
      </c>
      <c r="F187" s="13">
        <v>0</v>
      </c>
      <c r="G187" t="s">
        <v>246</v>
      </c>
      <c r="H187" t="s">
        <v>11</v>
      </c>
      <c r="I187" t="s">
        <v>12</v>
      </c>
      <c r="J187" t="s">
        <v>247</v>
      </c>
      <c r="K187" s="41">
        <v>0</v>
      </c>
      <c r="L187" s="41"/>
      <c r="M187" s="41"/>
    </row>
    <row r="188" spans="1:13">
      <c r="B188" t="s">
        <v>905</v>
      </c>
      <c r="C188" t="s">
        <v>904</v>
      </c>
      <c r="D188" s="13">
        <v>0</v>
      </c>
      <c r="E188" s="13">
        <v>0</v>
      </c>
      <c r="F188" s="13">
        <v>0</v>
      </c>
      <c r="G188" t="s">
        <v>246</v>
      </c>
      <c r="H188" t="s">
        <v>11</v>
      </c>
      <c r="I188" t="s">
        <v>12</v>
      </c>
      <c r="J188" t="s">
        <v>250</v>
      </c>
      <c r="K188" s="41">
        <v>0</v>
      </c>
      <c r="L188" s="41"/>
      <c r="M188" s="41"/>
    </row>
    <row r="189" spans="1:13">
      <c r="A189" s="4" t="s">
        <v>122</v>
      </c>
      <c r="B189" t="s">
        <v>432</v>
      </c>
      <c r="C189" t="s">
        <v>431</v>
      </c>
      <c r="D189" s="13">
        <v>55</v>
      </c>
      <c r="E189" s="13">
        <v>42.35</v>
      </c>
      <c r="F189" s="13">
        <f t="shared" ref="F189:F202" si="12">D189-E189</f>
        <v>12.649999999999999</v>
      </c>
      <c r="G189" t="s">
        <v>246</v>
      </c>
      <c r="H189" t="s">
        <v>11</v>
      </c>
      <c r="I189" t="s">
        <v>12</v>
      </c>
      <c r="J189" t="s">
        <v>247</v>
      </c>
      <c r="K189" s="41">
        <v>1.8287500000000001</v>
      </c>
      <c r="L189" s="41">
        <v>1.93</v>
      </c>
      <c r="M189" s="41"/>
    </row>
    <row r="190" spans="1:13">
      <c r="B190" t="s">
        <v>434</v>
      </c>
      <c r="C190" t="s">
        <v>433</v>
      </c>
      <c r="D190" s="13">
        <v>40</v>
      </c>
      <c r="E190" s="13">
        <v>30.8</v>
      </c>
      <c r="F190" s="13">
        <f t="shared" si="12"/>
        <v>9.1999999999999993</v>
      </c>
      <c r="G190" t="s">
        <v>246</v>
      </c>
      <c r="H190" t="s">
        <v>11</v>
      </c>
      <c r="I190" t="s">
        <v>12</v>
      </c>
      <c r="J190" t="s">
        <v>250</v>
      </c>
      <c r="K190" s="41">
        <v>1.33</v>
      </c>
      <c r="L190" s="41">
        <v>1.4</v>
      </c>
      <c r="M190" s="41"/>
    </row>
    <row r="191" spans="1:13">
      <c r="A191" s="4" t="s">
        <v>122</v>
      </c>
      <c r="B191" t="s">
        <v>436</v>
      </c>
      <c r="C191" t="s">
        <v>435</v>
      </c>
      <c r="D191" s="13">
        <v>4.4000000000000004</v>
      </c>
      <c r="E191" s="13">
        <v>3.41</v>
      </c>
      <c r="F191" s="13">
        <f t="shared" si="12"/>
        <v>0.99000000000000021</v>
      </c>
      <c r="G191" t="s">
        <v>246</v>
      </c>
      <c r="H191" t="s">
        <v>11</v>
      </c>
      <c r="I191" t="s">
        <v>12</v>
      </c>
      <c r="J191" t="s">
        <v>247</v>
      </c>
      <c r="K191" s="41">
        <v>0.14725000000000002</v>
      </c>
      <c r="L191" s="41">
        <v>0.16</v>
      </c>
      <c r="M191" s="41"/>
    </row>
    <row r="192" spans="1:13">
      <c r="B192" t="s">
        <v>438</v>
      </c>
      <c r="C192" t="s">
        <v>437</v>
      </c>
      <c r="D192" s="13">
        <v>3.2</v>
      </c>
      <c r="E192" s="13">
        <v>2.42</v>
      </c>
      <c r="F192" s="13">
        <f t="shared" si="12"/>
        <v>0.78000000000000025</v>
      </c>
      <c r="G192" t="s">
        <v>246</v>
      </c>
      <c r="H192" t="s">
        <v>11</v>
      </c>
      <c r="I192" t="s">
        <v>12</v>
      </c>
      <c r="J192" t="s">
        <v>250</v>
      </c>
      <c r="K192" s="41">
        <v>0.10450000000000001</v>
      </c>
      <c r="L192" s="41">
        <v>0.11</v>
      </c>
      <c r="M192" s="41"/>
    </row>
    <row r="193" spans="1:13">
      <c r="A193" s="4" t="s">
        <v>1219</v>
      </c>
      <c r="B193" t="s">
        <v>1043</v>
      </c>
      <c r="C193" t="s">
        <v>1042</v>
      </c>
      <c r="D193" s="13">
        <v>5.5</v>
      </c>
      <c r="E193" s="13">
        <v>4.29</v>
      </c>
      <c r="F193" s="13">
        <f t="shared" si="12"/>
        <v>1.21</v>
      </c>
      <c r="G193" t="s">
        <v>246</v>
      </c>
      <c r="H193" t="s">
        <v>11</v>
      </c>
      <c r="I193" t="s">
        <v>19</v>
      </c>
      <c r="J193" t="s">
        <v>247</v>
      </c>
      <c r="K193" s="41">
        <v>0.73150000000000004</v>
      </c>
      <c r="L193" s="41">
        <v>0.77</v>
      </c>
      <c r="M193" s="41"/>
    </row>
    <row r="194" spans="1:13">
      <c r="B194" t="s">
        <v>1045</v>
      </c>
      <c r="C194" t="s">
        <v>1044</v>
      </c>
      <c r="D194" s="13">
        <v>4</v>
      </c>
      <c r="E194" s="13">
        <v>3.08</v>
      </c>
      <c r="F194" s="13">
        <f t="shared" si="12"/>
        <v>0.91999999999999993</v>
      </c>
      <c r="G194" t="s">
        <v>246</v>
      </c>
      <c r="H194" t="s">
        <v>11</v>
      </c>
      <c r="I194" t="s">
        <v>19</v>
      </c>
      <c r="J194" t="s">
        <v>250</v>
      </c>
      <c r="K194" s="41">
        <v>0.53199999999999992</v>
      </c>
      <c r="L194" s="41">
        <v>0.56000000000000005</v>
      </c>
      <c r="M194" s="41"/>
    </row>
    <row r="195" spans="1:13">
      <c r="B195" t="s">
        <v>1729</v>
      </c>
      <c r="C195" t="s">
        <v>1730</v>
      </c>
      <c r="D195" s="13">
        <v>275</v>
      </c>
      <c r="E195" s="13">
        <v>211.75</v>
      </c>
      <c r="F195" s="13">
        <f t="shared" si="12"/>
        <v>63.25</v>
      </c>
      <c r="G195" t="s">
        <v>246</v>
      </c>
      <c r="H195" t="s">
        <v>11</v>
      </c>
      <c r="I195" t="s">
        <v>19</v>
      </c>
      <c r="J195" t="s">
        <v>247</v>
      </c>
      <c r="K195" s="41">
        <v>7.7</v>
      </c>
      <c r="L195" s="41"/>
      <c r="M195" s="41"/>
    </row>
    <row r="196" spans="1:13">
      <c r="B196" t="s">
        <v>1731</v>
      </c>
      <c r="C196" t="s">
        <v>1732</v>
      </c>
      <c r="D196" s="13">
        <v>200</v>
      </c>
      <c r="E196" s="13">
        <v>154</v>
      </c>
      <c r="F196" s="13">
        <f t="shared" si="12"/>
        <v>46</v>
      </c>
      <c r="G196" t="s">
        <v>246</v>
      </c>
      <c r="H196" t="s">
        <v>11</v>
      </c>
      <c r="I196" t="s">
        <v>19</v>
      </c>
      <c r="J196" t="s">
        <v>250</v>
      </c>
      <c r="K196" s="41">
        <v>5.6</v>
      </c>
      <c r="L196" s="41"/>
      <c r="M196" s="41"/>
    </row>
    <row r="197" spans="1:13">
      <c r="B197" t="s">
        <v>1733</v>
      </c>
      <c r="C197" t="s">
        <v>1734</v>
      </c>
      <c r="D197" s="13">
        <v>2.8</v>
      </c>
      <c r="E197" s="13">
        <v>2.1229999999999998</v>
      </c>
      <c r="F197" s="13">
        <f t="shared" si="12"/>
        <v>0.67700000000000005</v>
      </c>
      <c r="G197" t="s">
        <v>246</v>
      </c>
      <c r="H197" t="s">
        <v>11</v>
      </c>
      <c r="I197" t="s">
        <v>19</v>
      </c>
      <c r="J197" t="s">
        <v>247</v>
      </c>
      <c r="K197" s="41">
        <v>0.08</v>
      </c>
      <c r="L197" s="41"/>
      <c r="M197" s="41"/>
    </row>
    <row r="198" spans="1:13">
      <c r="B198" t="s">
        <v>1735</v>
      </c>
      <c r="C198" t="s">
        <v>1736</v>
      </c>
      <c r="D198" s="13">
        <v>2</v>
      </c>
      <c r="E198" s="13">
        <v>1.5399999999999998</v>
      </c>
      <c r="F198" s="13">
        <f t="shared" si="12"/>
        <v>0.46000000000000019</v>
      </c>
      <c r="G198" t="s">
        <v>246</v>
      </c>
      <c r="H198" t="s">
        <v>11</v>
      </c>
      <c r="I198" t="s">
        <v>19</v>
      </c>
      <c r="J198" t="s">
        <v>250</v>
      </c>
      <c r="K198" s="41">
        <v>0.06</v>
      </c>
      <c r="L198" s="41"/>
      <c r="M198" s="41"/>
    </row>
    <row r="199" spans="1:13">
      <c r="B199" t="s">
        <v>2042</v>
      </c>
      <c r="C199" t="s">
        <v>2038</v>
      </c>
      <c r="D199" s="13">
        <v>22</v>
      </c>
      <c r="E199" s="13">
        <v>16.940000000000001</v>
      </c>
      <c r="F199" s="13">
        <f t="shared" si="12"/>
        <v>5.0599999999999987</v>
      </c>
      <c r="G199" t="s">
        <v>246</v>
      </c>
      <c r="H199" t="s">
        <v>11</v>
      </c>
      <c r="I199" t="s">
        <v>12</v>
      </c>
      <c r="J199" t="s">
        <v>247</v>
      </c>
      <c r="K199" s="41"/>
      <c r="L199" s="41"/>
      <c r="M199" s="41"/>
    </row>
    <row r="200" spans="1:13">
      <c r="B200" t="s">
        <v>2043</v>
      </c>
      <c r="C200" t="s">
        <v>2039</v>
      </c>
      <c r="D200" s="13">
        <v>22</v>
      </c>
      <c r="E200" s="13">
        <v>16.940000000000001</v>
      </c>
      <c r="F200" s="13">
        <f t="shared" si="12"/>
        <v>5.0599999999999987</v>
      </c>
      <c r="G200" t="s">
        <v>246</v>
      </c>
      <c r="H200" t="s">
        <v>11</v>
      </c>
      <c r="I200" t="s">
        <v>12</v>
      </c>
      <c r="J200" t="s">
        <v>247</v>
      </c>
      <c r="K200" s="41"/>
      <c r="L200" s="41"/>
      <c r="M200" s="41"/>
    </row>
    <row r="201" spans="1:13">
      <c r="B201" t="s">
        <v>2044</v>
      </c>
      <c r="C201" t="s">
        <v>2040</v>
      </c>
      <c r="D201" s="13">
        <v>16</v>
      </c>
      <c r="E201" s="13">
        <v>12.32</v>
      </c>
      <c r="F201" s="13">
        <f t="shared" si="12"/>
        <v>3.6799999999999997</v>
      </c>
      <c r="G201" t="s">
        <v>246</v>
      </c>
      <c r="H201" t="s">
        <v>11</v>
      </c>
      <c r="I201" t="s">
        <v>12</v>
      </c>
      <c r="J201" t="s">
        <v>250</v>
      </c>
      <c r="K201" s="41"/>
      <c r="L201" s="41"/>
      <c r="M201" s="41"/>
    </row>
    <row r="202" spans="1:13">
      <c r="B202" t="s">
        <v>2045</v>
      </c>
      <c r="C202" t="s">
        <v>2041</v>
      </c>
      <c r="D202" s="13">
        <v>16</v>
      </c>
      <c r="E202" s="13">
        <v>12.32</v>
      </c>
      <c r="F202" s="13">
        <f t="shared" si="12"/>
        <v>3.6799999999999997</v>
      </c>
      <c r="G202" t="s">
        <v>246</v>
      </c>
      <c r="H202" t="s">
        <v>11</v>
      </c>
      <c r="I202" t="s">
        <v>12</v>
      </c>
      <c r="J202" t="s">
        <v>250</v>
      </c>
      <c r="K202" s="41"/>
      <c r="L202" s="41"/>
      <c r="M202" s="41"/>
    </row>
    <row r="203" spans="1:13">
      <c r="K203" s="41"/>
      <c r="L203" s="41"/>
      <c r="M203" s="41"/>
    </row>
    <row r="204" spans="1:13">
      <c r="K204" s="41"/>
      <c r="L204" s="41"/>
      <c r="M204" s="41"/>
    </row>
    <row r="205" spans="1:13">
      <c r="B205" t="s">
        <v>1296</v>
      </c>
      <c r="C205" t="s">
        <v>1295</v>
      </c>
      <c r="D205" s="13">
        <v>165</v>
      </c>
      <c r="E205" s="13">
        <v>127.05</v>
      </c>
      <c r="F205" s="13">
        <f>D205-E205</f>
        <v>37.950000000000003</v>
      </c>
      <c r="G205" s="50" t="s">
        <v>246</v>
      </c>
      <c r="H205" s="50" t="s">
        <v>11</v>
      </c>
      <c r="I205" s="50" t="s">
        <v>19</v>
      </c>
      <c r="J205" s="50" t="s">
        <v>247</v>
      </c>
      <c r="K205" s="41">
        <v>9.14</v>
      </c>
      <c r="L205" s="41">
        <v>9.6300000000000008</v>
      </c>
      <c r="M205" s="41"/>
    </row>
    <row r="206" spans="1:13">
      <c r="K206" s="41"/>
      <c r="L206" s="41"/>
      <c r="M206" s="41"/>
    </row>
    <row r="207" spans="1:13">
      <c r="A207" s="27" t="s">
        <v>752</v>
      </c>
      <c r="C207" s="2" t="s">
        <v>99</v>
      </c>
      <c r="K207" s="41"/>
      <c r="L207" s="41"/>
      <c r="M207" s="41"/>
    </row>
    <row r="208" spans="1:13">
      <c r="A208" s="4" t="s">
        <v>1220</v>
      </c>
      <c r="B208" t="s">
        <v>682</v>
      </c>
      <c r="C208" t="s">
        <v>681</v>
      </c>
      <c r="D208" s="13">
        <v>99</v>
      </c>
      <c r="E208" s="13">
        <v>76.22999999999999</v>
      </c>
      <c r="F208" s="13">
        <f t="shared" ref="F208:F211" si="13">D208-E208</f>
        <v>22.77000000000001</v>
      </c>
      <c r="G208" t="s">
        <v>246</v>
      </c>
      <c r="H208" t="s">
        <v>11</v>
      </c>
      <c r="I208" t="s">
        <v>12</v>
      </c>
      <c r="J208" t="s">
        <v>247</v>
      </c>
      <c r="K208" s="41">
        <v>3.29</v>
      </c>
      <c r="L208" s="41"/>
      <c r="M208" s="41"/>
    </row>
    <row r="209" spans="1:13">
      <c r="A209" s="4" t="s">
        <v>1221</v>
      </c>
      <c r="B209" t="s">
        <v>684</v>
      </c>
      <c r="C209" t="s">
        <v>683</v>
      </c>
      <c r="D209" s="13">
        <v>72</v>
      </c>
      <c r="E209" s="13">
        <v>55.44</v>
      </c>
      <c r="F209" s="13">
        <f t="shared" si="13"/>
        <v>16.560000000000002</v>
      </c>
      <c r="G209" t="s">
        <v>246</v>
      </c>
      <c r="H209" t="s">
        <v>11</v>
      </c>
      <c r="I209" t="s">
        <v>12</v>
      </c>
      <c r="J209" t="s">
        <v>250</v>
      </c>
      <c r="K209" s="41">
        <v>2.39</v>
      </c>
      <c r="L209" s="41"/>
      <c r="M209" s="41"/>
    </row>
    <row r="210" spans="1:13">
      <c r="B210" t="s">
        <v>686</v>
      </c>
      <c r="C210" t="s">
        <v>685</v>
      </c>
      <c r="D210" s="13">
        <v>16.5</v>
      </c>
      <c r="E210" s="13">
        <v>12.76</v>
      </c>
      <c r="F210" s="13">
        <f t="shared" si="13"/>
        <v>3.74</v>
      </c>
      <c r="G210" t="s">
        <v>246</v>
      </c>
      <c r="H210" t="s">
        <v>11</v>
      </c>
      <c r="I210" t="s">
        <v>12</v>
      </c>
      <c r="J210" t="s">
        <v>247</v>
      </c>
      <c r="K210" s="41">
        <v>0.55099999999999993</v>
      </c>
      <c r="L210" s="41"/>
      <c r="M210" s="41"/>
    </row>
    <row r="211" spans="1:13">
      <c r="B211" t="s">
        <v>688</v>
      </c>
      <c r="C211" t="s">
        <v>687</v>
      </c>
      <c r="D211" s="13">
        <v>12</v>
      </c>
      <c r="E211" s="13">
        <v>9.24</v>
      </c>
      <c r="F211" s="13">
        <f t="shared" si="13"/>
        <v>2.76</v>
      </c>
      <c r="G211" t="s">
        <v>246</v>
      </c>
      <c r="H211" t="s">
        <v>11</v>
      </c>
      <c r="I211" t="s">
        <v>12</v>
      </c>
      <c r="J211" t="s">
        <v>250</v>
      </c>
      <c r="K211" s="41">
        <v>0.39900000000000002</v>
      </c>
      <c r="L211" s="41"/>
      <c r="M211" s="41"/>
    </row>
    <row r="212" spans="1:13">
      <c r="K212" s="41"/>
      <c r="L212" s="41"/>
      <c r="M212" s="41"/>
    </row>
    <row r="213" spans="1:13">
      <c r="A213" s="4" t="s">
        <v>753</v>
      </c>
      <c r="B213" t="s">
        <v>702</v>
      </c>
      <c r="C213" t="s">
        <v>701</v>
      </c>
      <c r="D213" s="13">
        <v>16.5</v>
      </c>
      <c r="E213" s="13">
        <v>12.76</v>
      </c>
      <c r="F213" s="13">
        <f t="shared" ref="F213:F215" si="14">D213-E213</f>
        <v>3.74</v>
      </c>
      <c r="G213" t="s">
        <v>246</v>
      </c>
      <c r="H213" t="s">
        <v>11</v>
      </c>
      <c r="I213" t="s">
        <v>12</v>
      </c>
      <c r="J213" t="s">
        <v>247</v>
      </c>
      <c r="K213" s="41">
        <v>0.55099999999999993</v>
      </c>
      <c r="L213" s="41"/>
      <c r="M213" s="41"/>
    </row>
    <row r="214" spans="1:13">
      <c r="B214" t="s">
        <v>704</v>
      </c>
      <c r="C214" t="s">
        <v>703</v>
      </c>
      <c r="D214" s="13">
        <v>12</v>
      </c>
      <c r="E214" s="13">
        <v>9.24</v>
      </c>
      <c r="F214" s="13">
        <f t="shared" si="14"/>
        <v>2.76</v>
      </c>
      <c r="G214" t="s">
        <v>246</v>
      </c>
      <c r="H214" t="s">
        <v>11</v>
      </c>
      <c r="I214" t="s">
        <v>12</v>
      </c>
      <c r="J214" t="s">
        <v>250</v>
      </c>
      <c r="K214" s="41">
        <v>0.39900000000000002</v>
      </c>
      <c r="L214" s="41"/>
      <c r="M214" s="41"/>
    </row>
    <row r="215" spans="1:13">
      <c r="B215" t="s">
        <v>706</v>
      </c>
      <c r="C215" t="s">
        <v>705</v>
      </c>
      <c r="D215" s="13">
        <v>99</v>
      </c>
      <c r="E215" s="13">
        <v>76.22999999999999</v>
      </c>
      <c r="F215" s="13">
        <f t="shared" si="14"/>
        <v>22.77000000000001</v>
      </c>
      <c r="G215" t="s">
        <v>246</v>
      </c>
      <c r="H215" t="s">
        <v>11</v>
      </c>
      <c r="I215" t="s">
        <v>12</v>
      </c>
      <c r="J215" t="s">
        <v>247</v>
      </c>
      <c r="K215" s="41">
        <v>3.29175</v>
      </c>
      <c r="L215" s="41"/>
      <c r="M215" s="41"/>
    </row>
    <row r="216" spans="1:13">
      <c r="K216" s="41"/>
      <c r="L216" s="41"/>
      <c r="M216" s="41"/>
    </row>
    <row r="217" spans="1:13">
      <c r="B217" t="s">
        <v>1926</v>
      </c>
      <c r="C217" t="s">
        <v>1925</v>
      </c>
      <c r="D217" s="13">
        <v>7.5</v>
      </c>
      <c r="E217" s="13">
        <v>5.83</v>
      </c>
      <c r="F217" s="13">
        <f t="shared" ref="F217" si="15">D217-E217</f>
        <v>1.67</v>
      </c>
      <c r="G217" t="s">
        <v>246</v>
      </c>
      <c r="H217" t="s">
        <v>11</v>
      </c>
      <c r="I217" t="s">
        <v>19</v>
      </c>
      <c r="J217" t="s">
        <v>250</v>
      </c>
      <c r="K217" s="41">
        <v>0.13</v>
      </c>
      <c r="L217" s="41"/>
      <c r="M217" s="41"/>
    </row>
    <row r="218" spans="1:13">
      <c r="K218" s="41"/>
      <c r="L218" s="41"/>
      <c r="M218" s="41"/>
    </row>
    <row r="219" spans="1:13">
      <c r="C219" s="2" t="s">
        <v>1534</v>
      </c>
      <c r="K219" s="41"/>
      <c r="L219" s="41"/>
      <c r="M219" s="41"/>
    </row>
    <row r="220" spans="1:13">
      <c r="B220" t="s">
        <v>1606</v>
      </c>
      <c r="C220" t="s">
        <v>1533</v>
      </c>
      <c r="D220" s="13">
        <v>2200</v>
      </c>
      <c r="E220" s="13">
        <v>1694</v>
      </c>
      <c r="F220" s="13">
        <f>D220-E220</f>
        <v>506</v>
      </c>
      <c r="G220" t="s">
        <v>246</v>
      </c>
      <c r="H220" t="s">
        <v>11</v>
      </c>
      <c r="I220" t="s">
        <v>12</v>
      </c>
      <c r="J220" t="s">
        <v>247</v>
      </c>
      <c r="K220" s="41">
        <v>61.6</v>
      </c>
      <c r="L220" s="41"/>
      <c r="M220" s="41"/>
    </row>
    <row r="221" spans="1:13">
      <c r="B221" t="s">
        <v>1607</v>
      </c>
      <c r="C221" t="s">
        <v>1535</v>
      </c>
      <c r="D221" s="13">
        <v>1600</v>
      </c>
      <c r="E221" s="13">
        <v>1232</v>
      </c>
      <c r="F221" s="13">
        <f t="shared" ref="F221:F284" si="16">D221-E221</f>
        <v>368</v>
      </c>
      <c r="G221" t="s">
        <v>246</v>
      </c>
      <c r="H221" t="s">
        <v>11</v>
      </c>
      <c r="I221" t="s">
        <v>12</v>
      </c>
      <c r="J221" t="s">
        <v>250</v>
      </c>
      <c r="K221" s="41">
        <v>44.800000000000004</v>
      </c>
      <c r="L221" s="41"/>
      <c r="M221" s="41"/>
    </row>
    <row r="222" spans="1:13">
      <c r="B222" t="s">
        <v>1608</v>
      </c>
      <c r="C222" t="s">
        <v>1536</v>
      </c>
      <c r="D222" s="13">
        <v>275</v>
      </c>
      <c r="E222" s="13">
        <v>211.75</v>
      </c>
      <c r="F222" s="13">
        <f t="shared" si="16"/>
        <v>63.25</v>
      </c>
      <c r="G222" t="s">
        <v>246</v>
      </c>
      <c r="H222" t="s">
        <v>11</v>
      </c>
      <c r="I222" t="s">
        <v>19</v>
      </c>
      <c r="J222" t="s">
        <v>247</v>
      </c>
      <c r="K222" s="41">
        <v>7.7</v>
      </c>
      <c r="L222" s="41"/>
      <c r="M222" s="41"/>
    </row>
    <row r="223" spans="1:13">
      <c r="B223" t="s">
        <v>1609</v>
      </c>
      <c r="C223" t="s">
        <v>1537</v>
      </c>
      <c r="D223" s="13">
        <v>200</v>
      </c>
      <c r="E223" s="13">
        <v>154</v>
      </c>
      <c r="F223" s="13">
        <f t="shared" si="16"/>
        <v>46</v>
      </c>
      <c r="G223" t="s">
        <v>246</v>
      </c>
      <c r="H223" t="s">
        <v>11</v>
      </c>
      <c r="I223" t="s">
        <v>19</v>
      </c>
      <c r="J223" t="s">
        <v>250</v>
      </c>
      <c r="K223" s="41">
        <v>5.6000000000000005</v>
      </c>
      <c r="L223" s="41"/>
      <c r="M223" s="41"/>
    </row>
    <row r="224" spans="1:13">
      <c r="B224" t="s">
        <v>1610</v>
      </c>
      <c r="C224" t="s">
        <v>1538</v>
      </c>
      <c r="D224" s="13">
        <v>2200</v>
      </c>
      <c r="E224" s="13">
        <v>1694</v>
      </c>
      <c r="F224" s="13">
        <f t="shared" si="16"/>
        <v>506</v>
      </c>
      <c r="G224" t="s">
        <v>246</v>
      </c>
      <c r="H224" t="s">
        <v>11</v>
      </c>
      <c r="I224" t="s">
        <v>12</v>
      </c>
      <c r="J224" t="s">
        <v>247</v>
      </c>
      <c r="K224" s="41">
        <v>61.6</v>
      </c>
      <c r="L224" s="41"/>
      <c r="M224" s="41"/>
    </row>
    <row r="225" spans="2:13">
      <c r="B225" t="s">
        <v>1611</v>
      </c>
      <c r="C225" t="s">
        <v>1539</v>
      </c>
      <c r="D225" s="13">
        <v>1600</v>
      </c>
      <c r="E225" s="13">
        <v>1232</v>
      </c>
      <c r="F225" s="13">
        <f t="shared" si="16"/>
        <v>368</v>
      </c>
      <c r="G225" t="s">
        <v>246</v>
      </c>
      <c r="H225" t="s">
        <v>11</v>
      </c>
      <c r="I225" t="s">
        <v>12</v>
      </c>
      <c r="J225" t="s">
        <v>250</v>
      </c>
      <c r="K225" s="41">
        <v>44.800000000000004</v>
      </c>
      <c r="L225" s="41"/>
      <c r="M225" s="41"/>
    </row>
    <row r="226" spans="2:13">
      <c r="B226" t="s">
        <v>1612</v>
      </c>
      <c r="C226" t="s">
        <v>1540</v>
      </c>
      <c r="D226" s="13">
        <v>275</v>
      </c>
      <c r="E226" s="13">
        <v>211.75</v>
      </c>
      <c r="F226" s="13">
        <f t="shared" si="16"/>
        <v>63.25</v>
      </c>
      <c r="G226" t="s">
        <v>246</v>
      </c>
      <c r="H226" t="s">
        <v>11</v>
      </c>
      <c r="I226" t="s">
        <v>19</v>
      </c>
      <c r="J226" t="s">
        <v>247</v>
      </c>
      <c r="K226" s="41">
        <v>7.7</v>
      </c>
      <c r="L226" s="41"/>
      <c r="M226" s="41"/>
    </row>
    <row r="227" spans="2:13">
      <c r="B227" t="s">
        <v>1613</v>
      </c>
      <c r="C227" t="s">
        <v>1541</v>
      </c>
      <c r="D227" s="13">
        <v>200</v>
      </c>
      <c r="E227" s="13">
        <v>154</v>
      </c>
      <c r="F227" s="13">
        <f t="shared" si="16"/>
        <v>46</v>
      </c>
      <c r="G227" t="s">
        <v>246</v>
      </c>
      <c r="H227" t="s">
        <v>11</v>
      </c>
      <c r="I227" t="s">
        <v>19</v>
      </c>
      <c r="J227" t="s">
        <v>250</v>
      </c>
      <c r="K227" s="41">
        <v>5.6000000000000005</v>
      </c>
      <c r="L227" s="41"/>
      <c r="M227" s="41"/>
    </row>
    <row r="228" spans="2:13">
      <c r="B228" t="s">
        <v>1614</v>
      </c>
      <c r="C228" t="s">
        <v>1542</v>
      </c>
      <c r="D228" s="13">
        <v>2200</v>
      </c>
      <c r="E228" s="13">
        <v>1694</v>
      </c>
      <c r="F228" s="13">
        <f t="shared" si="16"/>
        <v>506</v>
      </c>
      <c r="G228" t="s">
        <v>246</v>
      </c>
      <c r="H228" t="s">
        <v>11</v>
      </c>
      <c r="I228" t="s">
        <v>12</v>
      </c>
      <c r="J228" t="s">
        <v>247</v>
      </c>
      <c r="K228" s="41">
        <v>61.6</v>
      </c>
      <c r="L228" s="41"/>
      <c r="M228" s="41"/>
    </row>
    <row r="229" spans="2:13">
      <c r="B229" t="s">
        <v>1615</v>
      </c>
      <c r="C229" t="s">
        <v>1543</v>
      </c>
      <c r="D229" s="13">
        <v>1600</v>
      </c>
      <c r="E229" s="13">
        <v>1232</v>
      </c>
      <c r="F229" s="13">
        <f t="shared" si="16"/>
        <v>368</v>
      </c>
      <c r="G229" t="s">
        <v>246</v>
      </c>
      <c r="H229" t="s">
        <v>11</v>
      </c>
      <c r="I229" t="s">
        <v>12</v>
      </c>
      <c r="J229" t="s">
        <v>250</v>
      </c>
      <c r="K229" s="41">
        <v>44.800000000000004</v>
      </c>
      <c r="L229" s="41"/>
      <c r="M229" s="41"/>
    </row>
    <row r="230" spans="2:13">
      <c r="B230" t="s">
        <v>1616</v>
      </c>
      <c r="C230" t="s">
        <v>1544</v>
      </c>
      <c r="D230" s="13">
        <v>275</v>
      </c>
      <c r="E230" s="13">
        <v>211.75</v>
      </c>
      <c r="F230" s="13">
        <f t="shared" si="16"/>
        <v>63.25</v>
      </c>
      <c r="G230" t="s">
        <v>246</v>
      </c>
      <c r="H230" t="s">
        <v>11</v>
      </c>
      <c r="I230" t="s">
        <v>19</v>
      </c>
      <c r="J230" t="s">
        <v>247</v>
      </c>
      <c r="K230" s="41">
        <v>7.7</v>
      </c>
      <c r="L230" s="41"/>
      <c r="M230" s="41"/>
    </row>
    <row r="231" spans="2:13">
      <c r="B231" t="s">
        <v>1617</v>
      </c>
      <c r="C231" t="s">
        <v>1545</v>
      </c>
      <c r="D231" s="13">
        <v>200</v>
      </c>
      <c r="E231" s="13">
        <v>154</v>
      </c>
      <c r="F231" s="13">
        <f t="shared" si="16"/>
        <v>46</v>
      </c>
      <c r="G231" t="s">
        <v>246</v>
      </c>
      <c r="H231" t="s">
        <v>11</v>
      </c>
      <c r="I231" t="s">
        <v>19</v>
      </c>
      <c r="J231" t="s">
        <v>250</v>
      </c>
      <c r="K231" s="41">
        <v>5.6000000000000005</v>
      </c>
      <c r="L231" s="41"/>
      <c r="M231" s="41"/>
    </row>
    <row r="232" spans="2:13">
      <c r="B232" t="s">
        <v>1618</v>
      </c>
      <c r="C232" t="s">
        <v>1546</v>
      </c>
      <c r="D232" s="13">
        <v>2200</v>
      </c>
      <c r="E232" s="13">
        <v>1694</v>
      </c>
      <c r="F232" s="13">
        <f t="shared" si="16"/>
        <v>506</v>
      </c>
      <c r="G232" t="s">
        <v>246</v>
      </c>
      <c r="H232" t="s">
        <v>11</v>
      </c>
      <c r="I232" t="s">
        <v>12</v>
      </c>
      <c r="J232" t="s">
        <v>247</v>
      </c>
      <c r="K232" s="41">
        <v>61.6</v>
      </c>
      <c r="L232" s="41"/>
      <c r="M232" s="41"/>
    </row>
    <row r="233" spans="2:13">
      <c r="B233" t="s">
        <v>1619</v>
      </c>
      <c r="C233" t="s">
        <v>1547</v>
      </c>
      <c r="D233" s="13">
        <v>1600</v>
      </c>
      <c r="E233" s="13">
        <v>1232</v>
      </c>
      <c r="F233" s="13">
        <f t="shared" si="16"/>
        <v>368</v>
      </c>
      <c r="G233" t="s">
        <v>246</v>
      </c>
      <c r="H233" t="s">
        <v>11</v>
      </c>
      <c r="I233" t="s">
        <v>12</v>
      </c>
      <c r="J233" t="s">
        <v>250</v>
      </c>
      <c r="K233" s="41">
        <v>44.800000000000004</v>
      </c>
      <c r="L233" s="41"/>
      <c r="M233" s="41"/>
    </row>
    <row r="234" spans="2:13">
      <c r="B234" t="s">
        <v>1620</v>
      </c>
      <c r="C234" t="s">
        <v>1548</v>
      </c>
      <c r="D234" s="13">
        <v>275</v>
      </c>
      <c r="E234" s="13">
        <v>211.75</v>
      </c>
      <c r="F234" s="13">
        <f t="shared" si="16"/>
        <v>63.25</v>
      </c>
      <c r="G234" t="s">
        <v>246</v>
      </c>
      <c r="H234" t="s">
        <v>11</v>
      </c>
      <c r="I234" t="s">
        <v>19</v>
      </c>
      <c r="J234" t="s">
        <v>247</v>
      </c>
      <c r="K234" s="41">
        <v>7.7</v>
      </c>
      <c r="L234" s="41"/>
      <c r="M234" s="41"/>
    </row>
    <row r="235" spans="2:13">
      <c r="B235" t="s">
        <v>1621</v>
      </c>
      <c r="C235" t="s">
        <v>1549</v>
      </c>
      <c r="D235" s="13">
        <v>200</v>
      </c>
      <c r="E235" s="13">
        <v>154</v>
      </c>
      <c r="F235" s="13">
        <f t="shared" si="16"/>
        <v>46</v>
      </c>
      <c r="G235" t="s">
        <v>246</v>
      </c>
      <c r="H235" t="s">
        <v>11</v>
      </c>
      <c r="I235" t="s">
        <v>19</v>
      </c>
      <c r="J235" t="s">
        <v>250</v>
      </c>
      <c r="K235" s="41">
        <v>5.6000000000000005</v>
      </c>
      <c r="L235" s="41"/>
      <c r="M235" s="41"/>
    </row>
    <row r="236" spans="2:13">
      <c r="B236" t="s">
        <v>1622</v>
      </c>
      <c r="C236" t="s">
        <v>1550</v>
      </c>
      <c r="D236" s="13">
        <v>2200</v>
      </c>
      <c r="E236" s="13">
        <v>1694</v>
      </c>
      <c r="F236" s="13">
        <f t="shared" si="16"/>
        <v>506</v>
      </c>
      <c r="G236" t="s">
        <v>246</v>
      </c>
      <c r="H236" t="s">
        <v>11</v>
      </c>
      <c r="I236" t="s">
        <v>12</v>
      </c>
      <c r="J236" t="s">
        <v>247</v>
      </c>
      <c r="K236" s="41">
        <v>61.6</v>
      </c>
      <c r="L236" s="41"/>
      <c r="M236" s="41"/>
    </row>
    <row r="237" spans="2:13">
      <c r="B237" t="s">
        <v>1623</v>
      </c>
      <c r="C237" t="s">
        <v>1551</v>
      </c>
      <c r="D237" s="13">
        <v>1600</v>
      </c>
      <c r="E237" s="13">
        <v>1232</v>
      </c>
      <c r="F237" s="13">
        <f t="shared" si="16"/>
        <v>368</v>
      </c>
      <c r="G237" t="s">
        <v>246</v>
      </c>
      <c r="H237" t="s">
        <v>11</v>
      </c>
      <c r="I237" t="s">
        <v>12</v>
      </c>
      <c r="J237" t="s">
        <v>250</v>
      </c>
      <c r="K237" s="41">
        <v>44.800000000000004</v>
      </c>
      <c r="L237" s="41"/>
      <c r="M237" s="41"/>
    </row>
    <row r="238" spans="2:13">
      <c r="B238" t="s">
        <v>1624</v>
      </c>
      <c r="C238" t="s">
        <v>1552</v>
      </c>
      <c r="D238" s="13">
        <v>275</v>
      </c>
      <c r="E238" s="13">
        <v>211.75</v>
      </c>
      <c r="F238" s="13">
        <f t="shared" si="16"/>
        <v>63.25</v>
      </c>
      <c r="G238" t="s">
        <v>246</v>
      </c>
      <c r="H238" t="s">
        <v>11</v>
      </c>
      <c r="I238" t="s">
        <v>19</v>
      </c>
      <c r="J238" t="s">
        <v>247</v>
      </c>
      <c r="K238" s="41">
        <v>7.7</v>
      </c>
      <c r="L238" s="41"/>
      <c r="M238" s="41"/>
    </row>
    <row r="239" spans="2:13">
      <c r="B239" t="s">
        <v>1625</v>
      </c>
      <c r="C239" t="s">
        <v>1553</v>
      </c>
      <c r="D239" s="13">
        <v>200</v>
      </c>
      <c r="E239" s="13">
        <v>154</v>
      </c>
      <c r="F239" s="13">
        <f t="shared" si="16"/>
        <v>46</v>
      </c>
      <c r="G239" t="s">
        <v>246</v>
      </c>
      <c r="H239" t="s">
        <v>11</v>
      </c>
      <c r="I239" t="s">
        <v>19</v>
      </c>
      <c r="J239" t="s">
        <v>250</v>
      </c>
      <c r="K239" s="41">
        <v>5.6000000000000005</v>
      </c>
      <c r="L239" s="41"/>
      <c r="M239" s="41"/>
    </row>
    <row r="240" spans="2:13">
      <c r="B240" t="s">
        <v>1626</v>
      </c>
      <c r="C240" t="s">
        <v>1554</v>
      </c>
      <c r="D240" s="13">
        <v>2200</v>
      </c>
      <c r="E240" s="13">
        <v>1694</v>
      </c>
      <c r="F240" s="13">
        <f t="shared" si="16"/>
        <v>506</v>
      </c>
      <c r="G240" t="s">
        <v>246</v>
      </c>
      <c r="H240" t="s">
        <v>11</v>
      </c>
      <c r="I240" t="s">
        <v>12</v>
      </c>
      <c r="J240" t="s">
        <v>247</v>
      </c>
      <c r="K240" s="41">
        <v>61.6</v>
      </c>
      <c r="L240" s="41"/>
      <c r="M240" s="41"/>
    </row>
    <row r="241" spans="2:13">
      <c r="B241" t="s">
        <v>1627</v>
      </c>
      <c r="C241" t="s">
        <v>1555</v>
      </c>
      <c r="D241" s="13">
        <v>1600</v>
      </c>
      <c r="E241" s="13">
        <v>1232</v>
      </c>
      <c r="F241" s="13">
        <f t="shared" si="16"/>
        <v>368</v>
      </c>
      <c r="G241" t="s">
        <v>246</v>
      </c>
      <c r="H241" t="s">
        <v>11</v>
      </c>
      <c r="I241" t="s">
        <v>12</v>
      </c>
      <c r="J241" t="s">
        <v>250</v>
      </c>
      <c r="K241" s="41">
        <v>44.800000000000004</v>
      </c>
      <c r="L241" s="41"/>
      <c r="M241" s="41"/>
    </row>
    <row r="242" spans="2:13">
      <c r="B242" t="s">
        <v>1628</v>
      </c>
      <c r="C242" t="s">
        <v>1556</v>
      </c>
      <c r="D242" s="13">
        <v>275</v>
      </c>
      <c r="E242" s="13">
        <v>211.75</v>
      </c>
      <c r="F242" s="13">
        <f t="shared" si="16"/>
        <v>63.25</v>
      </c>
      <c r="G242" t="s">
        <v>246</v>
      </c>
      <c r="H242" t="s">
        <v>11</v>
      </c>
      <c r="I242" t="s">
        <v>19</v>
      </c>
      <c r="J242" t="s">
        <v>247</v>
      </c>
      <c r="K242" s="41">
        <v>7.7</v>
      </c>
      <c r="L242" s="41"/>
      <c r="M242" s="41"/>
    </row>
    <row r="243" spans="2:13">
      <c r="B243" t="s">
        <v>1629</v>
      </c>
      <c r="C243" t="s">
        <v>1557</v>
      </c>
      <c r="D243" s="13">
        <v>200</v>
      </c>
      <c r="E243" s="13">
        <v>154</v>
      </c>
      <c r="F243" s="13">
        <f t="shared" si="16"/>
        <v>46</v>
      </c>
      <c r="G243" t="s">
        <v>246</v>
      </c>
      <c r="H243" t="s">
        <v>11</v>
      </c>
      <c r="I243" t="s">
        <v>19</v>
      </c>
      <c r="J243" t="s">
        <v>250</v>
      </c>
      <c r="K243" s="41">
        <v>5.6000000000000005</v>
      </c>
      <c r="L243" s="41"/>
      <c r="M243" s="41"/>
    </row>
    <row r="244" spans="2:13">
      <c r="B244" t="s">
        <v>1630</v>
      </c>
      <c r="C244" t="s">
        <v>1558</v>
      </c>
      <c r="D244" s="13">
        <v>7975</v>
      </c>
      <c r="E244" s="13">
        <v>6140.75</v>
      </c>
      <c r="F244" s="13">
        <f t="shared" si="16"/>
        <v>1834.25</v>
      </c>
      <c r="G244" t="s">
        <v>246</v>
      </c>
      <c r="H244" t="s">
        <v>11</v>
      </c>
      <c r="I244" t="s">
        <v>12</v>
      </c>
      <c r="J244" t="s">
        <v>247</v>
      </c>
      <c r="K244" s="41">
        <v>223.3</v>
      </c>
      <c r="L244" s="41"/>
      <c r="M244" s="41"/>
    </row>
    <row r="245" spans="2:13">
      <c r="B245" t="s">
        <v>1631</v>
      </c>
      <c r="C245" t="s">
        <v>1559</v>
      </c>
      <c r="D245" s="13">
        <v>5800</v>
      </c>
      <c r="E245" s="13">
        <v>4466</v>
      </c>
      <c r="F245" s="13">
        <f t="shared" si="16"/>
        <v>1334</v>
      </c>
      <c r="G245" t="s">
        <v>246</v>
      </c>
      <c r="H245" t="s">
        <v>11</v>
      </c>
      <c r="I245" t="s">
        <v>12</v>
      </c>
      <c r="J245" t="s">
        <v>250</v>
      </c>
      <c r="K245" s="41">
        <v>162.4</v>
      </c>
      <c r="L245" s="41"/>
      <c r="M245" s="41"/>
    </row>
    <row r="246" spans="2:13">
      <c r="B246" t="s">
        <v>1632</v>
      </c>
      <c r="C246" t="s">
        <v>1560</v>
      </c>
      <c r="D246" s="13">
        <v>275</v>
      </c>
      <c r="E246" s="13">
        <v>211.75</v>
      </c>
      <c r="F246" s="13">
        <f t="shared" si="16"/>
        <v>63.25</v>
      </c>
      <c r="G246" t="s">
        <v>246</v>
      </c>
      <c r="H246" t="s">
        <v>11</v>
      </c>
      <c r="I246" t="s">
        <v>19</v>
      </c>
      <c r="J246" t="s">
        <v>247</v>
      </c>
      <c r="K246" s="41">
        <v>7.7</v>
      </c>
      <c r="L246" s="41"/>
      <c r="M246" s="41"/>
    </row>
    <row r="247" spans="2:13">
      <c r="B247" t="s">
        <v>1633</v>
      </c>
      <c r="C247" t="s">
        <v>1561</v>
      </c>
      <c r="D247" s="13">
        <v>200</v>
      </c>
      <c r="E247" s="13">
        <v>154</v>
      </c>
      <c r="F247" s="13">
        <f t="shared" si="16"/>
        <v>46</v>
      </c>
      <c r="G247" t="s">
        <v>246</v>
      </c>
      <c r="H247" t="s">
        <v>11</v>
      </c>
      <c r="I247" t="s">
        <v>19</v>
      </c>
      <c r="J247" t="s">
        <v>250</v>
      </c>
      <c r="K247" s="41">
        <v>5.6000000000000005</v>
      </c>
      <c r="L247" s="41"/>
      <c r="M247" s="41"/>
    </row>
    <row r="248" spans="2:13">
      <c r="B248" t="s">
        <v>1634</v>
      </c>
      <c r="C248" t="s">
        <v>1562</v>
      </c>
      <c r="D248" s="13">
        <v>7975</v>
      </c>
      <c r="E248" s="13">
        <v>6140.75</v>
      </c>
      <c r="F248" s="13">
        <f t="shared" si="16"/>
        <v>1834.25</v>
      </c>
      <c r="G248" t="s">
        <v>246</v>
      </c>
      <c r="H248" t="s">
        <v>11</v>
      </c>
      <c r="I248" t="s">
        <v>12</v>
      </c>
      <c r="J248" t="s">
        <v>247</v>
      </c>
      <c r="K248" s="41">
        <v>223.3</v>
      </c>
      <c r="L248" s="41"/>
      <c r="M248" s="41"/>
    </row>
    <row r="249" spans="2:13">
      <c r="B249" t="s">
        <v>1635</v>
      </c>
      <c r="C249" t="s">
        <v>1563</v>
      </c>
      <c r="D249" s="13">
        <v>5800</v>
      </c>
      <c r="E249" s="13">
        <v>4466</v>
      </c>
      <c r="F249" s="13">
        <f t="shared" si="16"/>
        <v>1334</v>
      </c>
      <c r="G249" t="s">
        <v>246</v>
      </c>
      <c r="H249" t="s">
        <v>11</v>
      </c>
      <c r="I249" t="s">
        <v>12</v>
      </c>
      <c r="J249" t="s">
        <v>250</v>
      </c>
      <c r="K249" s="41">
        <v>162.4</v>
      </c>
      <c r="L249" s="41"/>
      <c r="M249" s="41"/>
    </row>
    <row r="250" spans="2:13">
      <c r="B250" t="s">
        <v>1636</v>
      </c>
      <c r="C250" t="s">
        <v>1564</v>
      </c>
      <c r="D250" s="13">
        <v>275</v>
      </c>
      <c r="E250" s="13">
        <v>211.75</v>
      </c>
      <c r="F250" s="13">
        <f t="shared" si="16"/>
        <v>63.25</v>
      </c>
      <c r="G250" t="s">
        <v>246</v>
      </c>
      <c r="H250" t="s">
        <v>11</v>
      </c>
      <c r="I250" t="s">
        <v>19</v>
      </c>
      <c r="J250" t="s">
        <v>247</v>
      </c>
      <c r="K250" s="41">
        <v>7.7</v>
      </c>
      <c r="L250" s="41"/>
      <c r="M250" s="41"/>
    </row>
    <row r="251" spans="2:13">
      <c r="B251" t="s">
        <v>1637</v>
      </c>
      <c r="C251" t="s">
        <v>1565</v>
      </c>
      <c r="D251" s="13">
        <v>200</v>
      </c>
      <c r="E251" s="13">
        <v>154</v>
      </c>
      <c r="F251" s="13">
        <f t="shared" si="16"/>
        <v>46</v>
      </c>
      <c r="G251" t="s">
        <v>246</v>
      </c>
      <c r="H251" t="s">
        <v>11</v>
      </c>
      <c r="I251" t="s">
        <v>19</v>
      </c>
      <c r="J251" t="s">
        <v>250</v>
      </c>
      <c r="K251" s="41">
        <v>5.6000000000000005</v>
      </c>
      <c r="L251" s="41"/>
      <c r="M251" s="41"/>
    </row>
    <row r="252" spans="2:13">
      <c r="B252" t="s">
        <v>1638</v>
      </c>
      <c r="C252" t="s">
        <v>1566</v>
      </c>
      <c r="D252" s="13">
        <v>7975</v>
      </c>
      <c r="E252" s="13">
        <v>6140.75</v>
      </c>
      <c r="F252" s="13">
        <f t="shared" si="16"/>
        <v>1834.25</v>
      </c>
      <c r="G252" t="s">
        <v>246</v>
      </c>
      <c r="H252" t="s">
        <v>11</v>
      </c>
      <c r="I252" t="s">
        <v>12</v>
      </c>
      <c r="J252" t="s">
        <v>247</v>
      </c>
      <c r="K252" s="41">
        <v>223.3</v>
      </c>
      <c r="L252" s="41"/>
      <c r="M252" s="41"/>
    </row>
    <row r="253" spans="2:13">
      <c r="B253" t="s">
        <v>1639</v>
      </c>
      <c r="C253" t="s">
        <v>1567</v>
      </c>
      <c r="D253" s="13">
        <v>5800</v>
      </c>
      <c r="E253" s="13">
        <v>4466</v>
      </c>
      <c r="F253" s="13">
        <f t="shared" si="16"/>
        <v>1334</v>
      </c>
      <c r="G253" t="s">
        <v>246</v>
      </c>
      <c r="H253" t="s">
        <v>11</v>
      </c>
      <c r="I253" t="s">
        <v>12</v>
      </c>
      <c r="J253" t="s">
        <v>250</v>
      </c>
      <c r="K253" s="41">
        <v>162.4</v>
      </c>
      <c r="L253" s="41"/>
      <c r="M253" s="41"/>
    </row>
    <row r="254" spans="2:13">
      <c r="B254" t="s">
        <v>1640</v>
      </c>
      <c r="C254" t="s">
        <v>1568</v>
      </c>
      <c r="D254" s="13">
        <v>275</v>
      </c>
      <c r="E254" s="13">
        <v>211.75</v>
      </c>
      <c r="F254" s="13">
        <f t="shared" si="16"/>
        <v>63.25</v>
      </c>
      <c r="G254" t="s">
        <v>246</v>
      </c>
      <c r="H254" t="s">
        <v>11</v>
      </c>
      <c r="I254" t="s">
        <v>19</v>
      </c>
      <c r="J254" t="s">
        <v>247</v>
      </c>
      <c r="K254" s="41">
        <v>7.7</v>
      </c>
      <c r="L254" s="41"/>
      <c r="M254" s="41"/>
    </row>
    <row r="255" spans="2:13">
      <c r="B255" t="s">
        <v>1641</v>
      </c>
      <c r="C255" t="s">
        <v>1569</v>
      </c>
      <c r="D255" s="13">
        <v>200</v>
      </c>
      <c r="E255" s="13">
        <v>154</v>
      </c>
      <c r="F255" s="13">
        <f t="shared" si="16"/>
        <v>46</v>
      </c>
      <c r="G255" t="s">
        <v>246</v>
      </c>
      <c r="H255" t="s">
        <v>11</v>
      </c>
      <c r="I255" t="s">
        <v>19</v>
      </c>
      <c r="J255" t="s">
        <v>250</v>
      </c>
      <c r="K255" s="41">
        <v>5.6000000000000005</v>
      </c>
      <c r="L255" s="41"/>
      <c r="M255" s="41"/>
    </row>
    <row r="256" spans="2:13">
      <c r="B256" t="s">
        <v>1642</v>
      </c>
      <c r="C256" t="s">
        <v>1570</v>
      </c>
      <c r="D256" s="13">
        <v>7975</v>
      </c>
      <c r="E256" s="13">
        <v>6140.75</v>
      </c>
      <c r="F256" s="13">
        <f t="shared" si="16"/>
        <v>1834.25</v>
      </c>
      <c r="G256" t="s">
        <v>246</v>
      </c>
      <c r="H256" t="s">
        <v>11</v>
      </c>
      <c r="I256" t="s">
        <v>12</v>
      </c>
      <c r="J256" t="s">
        <v>247</v>
      </c>
      <c r="K256" s="41">
        <v>223.3</v>
      </c>
      <c r="L256" s="41"/>
      <c r="M256" s="41"/>
    </row>
    <row r="257" spans="2:13">
      <c r="B257" t="s">
        <v>1643</v>
      </c>
      <c r="C257" t="s">
        <v>1571</v>
      </c>
      <c r="D257" s="13">
        <v>5800</v>
      </c>
      <c r="E257" s="13">
        <v>4466</v>
      </c>
      <c r="F257" s="13">
        <f t="shared" si="16"/>
        <v>1334</v>
      </c>
      <c r="G257" t="s">
        <v>246</v>
      </c>
      <c r="H257" t="s">
        <v>11</v>
      </c>
      <c r="I257" t="s">
        <v>12</v>
      </c>
      <c r="J257" t="s">
        <v>250</v>
      </c>
      <c r="K257" s="41">
        <v>162.4</v>
      </c>
      <c r="L257" s="41"/>
      <c r="M257" s="41"/>
    </row>
    <row r="258" spans="2:13">
      <c r="B258" t="s">
        <v>1644</v>
      </c>
      <c r="C258" t="s">
        <v>1572</v>
      </c>
      <c r="D258" s="13">
        <v>275</v>
      </c>
      <c r="E258" s="13">
        <v>211.75</v>
      </c>
      <c r="F258" s="13">
        <f t="shared" si="16"/>
        <v>63.25</v>
      </c>
      <c r="G258" t="s">
        <v>246</v>
      </c>
      <c r="H258" t="s">
        <v>11</v>
      </c>
      <c r="I258" t="s">
        <v>19</v>
      </c>
      <c r="J258" t="s">
        <v>247</v>
      </c>
      <c r="K258" s="41">
        <v>7.7</v>
      </c>
      <c r="L258" s="41"/>
      <c r="M258" s="41"/>
    </row>
    <row r="259" spans="2:13">
      <c r="B259" t="s">
        <v>1645</v>
      </c>
      <c r="C259" t="s">
        <v>1573</v>
      </c>
      <c r="D259" s="13">
        <v>200</v>
      </c>
      <c r="E259" s="13">
        <v>154</v>
      </c>
      <c r="F259" s="13">
        <f t="shared" si="16"/>
        <v>46</v>
      </c>
      <c r="G259" t="s">
        <v>246</v>
      </c>
      <c r="H259" t="s">
        <v>11</v>
      </c>
      <c r="I259" t="s">
        <v>19</v>
      </c>
      <c r="J259" t="s">
        <v>250</v>
      </c>
      <c r="K259" s="41">
        <v>5.6000000000000005</v>
      </c>
      <c r="L259" s="41"/>
      <c r="M259" s="41"/>
    </row>
    <row r="260" spans="2:13">
      <c r="B260" t="s">
        <v>1646</v>
      </c>
      <c r="C260" t="s">
        <v>1574</v>
      </c>
      <c r="D260" s="13">
        <v>7975</v>
      </c>
      <c r="E260" s="13">
        <v>6140.75</v>
      </c>
      <c r="F260" s="13">
        <f t="shared" si="16"/>
        <v>1834.25</v>
      </c>
      <c r="G260" t="s">
        <v>246</v>
      </c>
      <c r="H260" t="s">
        <v>11</v>
      </c>
      <c r="I260" t="s">
        <v>12</v>
      </c>
      <c r="J260" t="s">
        <v>247</v>
      </c>
      <c r="K260" s="41">
        <v>223.3</v>
      </c>
      <c r="L260" s="41"/>
      <c r="M260" s="41"/>
    </row>
    <row r="261" spans="2:13">
      <c r="B261" t="s">
        <v>1647</v>
      </c>
      <c r="C261" t="s">
        <v>1575</v>
      </c>
      <c r="D261" s="13">
        <v>5800</v>
      </c>
      <c r="E261" s="13">
        <v>4466</v>
      </c>
      <c r="F261" s="13">
        <f t="shared" si="16"/>
        <v>1334</v>
      </c>
      <c r="G261" t="s">
        <v>246</v>
      </c>
      <c r="H261" t="s">
        <v>11</v>
      </c>
      <c r="I261" t="s">
        <v>12</v>
      </c>
      <c r="J261" t="s">
        <v>250</v>
      </c>
      <c r="K261" s="41">
        <v>162.4</v>
      </c>
      <c r="L261" s="41"/>
      <c r="M261" s="41"/>
    </row>
    <row r="262" spans="2:13">
      <c r="B262" t="s">
        <v>1648</v>
      </c>
      <c r="C262" t="s">
        <v>1576</v>
      </c>
      <c r="D262" s="13">
        <v>275</v>
      </c>
      <c r="E262" s="13">
        <v>211.75</v>
      </c>
      <c r="F262" s="13">
        <f t="shared" si="16"/>
        <v>63.25</v>
      </c>
      <c r="G262" t="s">
        <v>246</v>
      </c>
      <c r="H262" t="s">
        <v>11</v>
      </c>
      <c r="I262" t="s">
        <v>19</v>
      </c>
      <c r="J262" t="s">
        <v>247</v>
      </c>
      <c r="K262" s="41">
        <v>7.7</v>
      </c>
      <c r="L262" s="41"/>
      <c r="M262" s="41"/>
    </row>
    <row r="263" spans="2:13">
      <c r="B263" t="s">
        <v>1649</v>
      </c>
      <c r="C263" t="s">
        <v>1577</v>
      </c>
      <c r="D263" s="13">
        <v>200</v>
      </c>
      <c r="E263" s="13">
        <v>154</v>
      </c>
      <c r="F263" s="13">
        <f t="shared" si="16"/>
        <v>46</v>
      </c>
      <c r="G263" t="s">
        <v>246</v>
      </c>
      <c r="H263" t="s">
        <v>11</v>
      </c>
      <c r="I263" t="s">
        <v>19</v>
      </c>
      <c r="J263" t="s">
        <v>250</v>
      </c>
      <c r="K263" s="41">
        <v>5.6000000000000005</v>
      </c>
      <c r="L263" s="41"/>
      <c r="M263" s="41"/>
    </row>
    <row r="264" spans="2:13">
      <c r="B264" t="s">
        <v>1650</v>
      </c>
      <c r="C264" t="s">
        <v>1578</v>
      </c>
      <c r="D264" s="13">
        <v>7975</v>
      </c>
      <c r="E264" s="13">
        <v>6140.75</v>
      </c>
      <c r="F264" s="13">
        <f t="shared" si="16"/>
        <v>1834.25</v>
      </c>
      <c r="G264" t="s">
        <v>246</v>
      </c>
      <c r="H264" t="s">
        <v>11</v>
      </c>
      <c r="I264" t="s">
        <v>12</v>
      </c>
      <c r="J264" t="s">
        <v>247</v>
      </c>
      <c r="K264" s="41">
        <v>223.3</v>
      </c>
      <c r="L264" s="41"/>
      <c r="M264" s="41"/>
    </row>
    <row r="265" spans="2:13">
      <c r="B265" t="s">
        <v>1651</v>
      </c>
      <c r="C265" t="s">
        <v>1579</v>
      </c>
      <c r="D265" s="13">
        <v>5800</v>
      </c>
      <c r="E265" s="13">
        <v>4466</v>
      </c>
      <c r="F265" s="13">
        <f t="shared" si="16"/>
        <v>1334</v>
      </c>
      <c r="G265" t="s">
        <v>246</v>
      </c>
      <c r="H265" t="s">
        <v>11</v>
      </c>
      <c r="I265" t="s">
        <v>12</v>
      </c>
      <c r="J265" t="s">
        <v>250</v>
      </c>
      <c r="K265" s="41">
        <v>162.4</v>
      </c>
      <c r="L265" s="41"/>
      <c r="M265" s="41"/>
    </row>
    <row r="266" spans="2:13">
      <c r="B266" t="s">
        <v>1652</v>
      </c>
      <c r="C266" t="s">
        <v>1580</v>
      </c>
      <c r="D266" s="13">
        <v>275</v>
      </c>
      <c r="E266" s="13">
        <v>211.75</v>
      </c>
      <c r="F266" s="13">
        <f t="shared" si="16"/>
        <v>63.25</v>
      </c>
      <c r="G266" t="s">
        <v>246</v>
      </c>
      <c r="H266" t="s">
        <v>11</v>
      </c>
      <c r="I266" t="s">
        <v>19</v>
      </c>
      <c r="J266" t="s">
        <v>247</v>
      </c>
      <c r="K266" s="41">
        <v>7.7</v>
      </c>
      <c r="L266" s="41"/>
      <c r="M266" s="41"/>
    </row>
    <row r="267" spans="2:13">
      <c r="B267" t="s">
        <v>1653</v>
      </c>
      <c r="C267" t="s">
        <v>1581</v>
      </c>
      <c r="D267" s="13">
        <v>200</v>
      </c>
      <c r="E267" s="13">
        <v>154</v>
      </c>
      <c r="F267" s="13">
        <f t="shared" si="16"/>
        <v>46</v>
      </c>
      <c r="G267" t="s">
        <v>246</v>
      </c>
      <c r="H267" t="s">
        <v>11</v>
      </c>
      <c r="I267" t="s">
        <v>19</v>
      </c>
      <c r="J267" t="s">
        <v>250</v>
      </c>
      <c r="K267" s="41">
        <v>5.6000000000000005</v>
      </c>
      <c r="L267" s="41"/>
      <c r="M267" s="41"/>
    </row>
    <row r="268" spans="2:13">
      <c r="B268" t="s">
        <v>1654</v>
      </c>
      <c r="C268" t="s">
        <v>1582</v>
      </c>
      <c r="D268" s="13">
        <v>17050</v>
      </c>
      <c r="E268" s="13">
        <v>13128.5</v>
      </c>
      <c r="F268" s="13">
        <f t="shared" si="16"/>
        <v>3921.5</v>
      </c>
      <c r="G268" t="s">
        <v>246</v>
      </c>
      <c r="H268" t="s">
        <v>11</v>
      </c>
      <c r="I268" t="s">
        <v>12</v>
      </c>
      <c r="J268" t="s">
        <v>247</v>
      </c>
      <c r="K268" s="41">
        <v>477.40000000000003</v>
      </c>
      <c r="L268" s="41"/>
      <c r="M268" s="41"/>
    </row>
    <row r="269" spans="2:13">
      <c r="B269" t="s">
        <v>1655</v>
      </c>
      <c r="C269" t="s">
        <v>1583</v>
      </c>
      <c r="D269" s="13">
        <v>12400</v>
      </c>
      <c r="E269" s="13">
        <v>9548</v>
      </c>
      <c r="F269" s="13">
        <f t="shared" si="16"/>
        <v>2852</v>
      </c>
      <c r="G269" t="s">
        <v>246</v>
      </c>
      <c r="H269" t="s">
        <v>11</v>
      </c>
      <c r="I269" t="s">
        <v>12</v>
      </c>
      <c r="J269" t="s">
        <v>250</v>
      </c>
      <c r="K269" s="41">
        <v>347.2</v>
      </c>
      <c r="L269" s="41"/>
      <c r="M269" s="41"/>
    </row>
    <row r="270" spans="2:13">
      <c r="B270" t="s">
        <v>1656</v>
      </c>
      <c r="C270" t="s">
        <v>1584</v>
      </c>
      <c r="D270" s="13">
        <v>275</v>
      </c>
      <c r="E270" s="13">
        <v>211.75</v>
      </c>
      <c r="F270" s="13">
        <f t="shared" si="16"/>
        <v>63.25</v>
      </c>
      <c r="G270" t="s">
        <v>246</v>
      </c>
      <c r="H270" t="s">
        <v>11</v>
      </c>
      <c r="I270" t="s">
        <v>19</v>
      </c>
      <c r="J270" t="s">
        <v>247</v>
      </c>
      <c r="K270" s="41">
        <v>7.7</v>
      </c>
      <c r="L270" s="41"/>
      <c r="M270" s="41"/>
    </row>
    <row r="271" spans="2:13">
      <c r="B271" t="s">
        <v>1657</v>
      </c>
      <c r="C271" t="s">
        <v>1585</v>
      </c>
      <c r="D271" s="13">
        <v>200</v>
      </c>
      <c r="E271" s="13">
        <v>154</v>
      </c>
      <c r="F271" s="13">
        <f t="shared" si="16"/>
        <v>46</v>
      </c>
      <c r="G271" t="s">
        <v>246</v>
      </c>
      <c r="H271" t="s">
        <v>11</v>
      </c>
      <c r="I271" t="s">
        <v>19</v>
      </c>
      <c r="J271" t="s">
        <v>250</v>
      </c>
      <c r="K271" s="41">
        <v>5.6000000000000005</v>
      </c>
      <c r="L271" s="41"/>
      <c r="M271" s="41"/>
    </row>
    <row r="272" spans="2:13">
      <c r="B272" t="s">
        <v>1658</v>
      </c>
      <c r="C272" t="s">
        <v>1586</v>
      </c>
      <c r="D272" s="13">
        <v>17050</v>
      </c>
      <c r="E272" s="13">
        <v>13128.5</v>
      </c>
      <c r="F272" s="13">
        <f t="shared" si="16"/>
        <v>3921.5</v>
      </c>
      <c r="G272" t="s">
        <v>246</v>
      </c>
      <c r="H272" t="s">
        <v>11</v>
      </c>
      <c r="I272" t="s">
        <v>12</v>
      </c>
      <c r="J272" t="s">
        <v>247</v>
      </c>
      <c r="K272" s="41">
        <v>477.40000000000003</v>
      </c>
      <c r="L272" s="41"/>
      <c r="M272" s="41"/>
    </row>
    <row r="273" spans="2:13">
      <c r="B273" t="s">
        <v>1659</v>
      </c>
      <c r="C273" t="s">
        <v>1587</v>
      </c>
      <c r="D273" s="13">
        <v>12400</v>
      </c>
      <c r="E273" s="13">
        <v>9548</v>
      </c>
      <c r="F273" s="13">
        <f t="shared" si="16"/>
        <v>2852</v>
      </c>
      <c r="G273" t="s">
        <v>246</v>
      </c>
      <c r="H273" t="s">
        <v>11</v>
      </c>
      <c r="I273" t="s">
        <v>12</v>
      </c>
      <c r="J273" t="s">
        <v>250</v>
      </c>
      <c r="K273" s="41">
        <v>347.2</v>
      </c>
      <c r="L273" s="41"/>
      <c r="M273" s="41"/>
    </row>
    <row r="274" spans="2:13">
      <c r="B274" t="s">
        <v>1660</v>
      </c>
      <c r="C274" t="s">
        <v>1588</v>
      </c>
      <c r="D274" s="13">
        <v>275</v>
      </c>
      <c r="E274" s="13">
        <v>211.75</v>
      </c>
      <c r="F274" s="13">
        <f t="shared" si="16"/>
        <v>63.25</v>
      </c>
      <c r="G274" t="s">
        <v>246</v>
      </c>
      <c r="H274" t="s">
        <v>11</v>
      </c>
      <c r="I274" t="s">
        <v>19</v>
      </c>
      <c r="J274" t="s">
        <v>247</v>
      </c>
      <c r="K274" s="41">
        <v>7.7</v>
      </c>
      <c r="L274" s="41"/>
      <c r="M274" s="41"/>
    </row>
    <row r="275" spans="2:13">
      <c r="B275" t="s">
        <v>1661</v>
      </c>
      <c r="C275" t="s">
        <v>1589</v>
      </c>
      <c r="D275" s="13">
        <v>200</v>
      </c>
      <c r="E275" s="13">
        <v>154</v>
      </c>
      <c r="F275" s="13">
        <f t="shared" si="16"/>
        <v>46</v>
      </c>
      <c r="G275" t="s">
        <v>246</v>
      </c>
      <c r="H275" t="s">
        <v>11</v>
      </c>
      <c r="I275" t="s">
        <v>19</v>
      </c>
      <c r="J275" t="s">
        <v>250</v>
      </c>
      <c r="K275" s="41">
        <v>5.6000000000000005</v>
      </c>
      <c r="L275" s="41"/>
      <c r="M275" s="41"/>
    </row>
    <row r="276" spans="2:13">
      <c r="B276" t="s">
        <v>1662</v>
      </c>
      <c r="C276" t="s">
        <v>1590</v>
      </c>
      <c r="D276" s="13">
        <v>17050</v>
      </c>
      <c r="E276" s="13">
        <v>13128.5</v>
      </c>
      <c r="F276" s="13">
        <f t="shared" si="16"/>
        <v>3921.5</v>
      </c>
      <c r="G276" t="s">
        <v>246</v>
      </c>
      <c r="H276" t="s">
        <v>11</v>
      </c>
      <c r="I276" t="s">
        <v>12</v>
      </c>
      <c r="J276" t="s">
        <v>247</v>
      </c>
      <c r="K276" s="41">
        <v>477.40000000000003</v>
      </c>
      <c r="L276" s="41"/>
      <c r="M276" s="41"/>
    </row>
    <row r="277" spans="2:13">
      <c r="B277" t="s">
        <v>1663</v>
      </c>
      <c r="C277" t="s">
        <v>1591</v>
      </c>
      <c r="D277" s="13">
        <v>12400</v>
      </c>
      <c r="E277" s="13">
        <v>9548</v>
      </c>
      <c r="F277" s="13">
        <f t="shared" si="16"/>
        <v>2852</v>
      </c>
      <c r="G277" t="s">
        <v>246</v>
      </c>
      <c r="H277" t="s">
        <v>11</v>
      </c>
      <c r="I277" t="s">
        <v>12</v>
      </c>
      <c r="J277" t="s">
        <v>250</v>
      </c>
      <c r="K277" s="41">
        <v>347.2</v>
      </c>
      <c r="L277" s="41"/>
      <c r="M277" s="41"/>
    </row>
    <row r="278" spans="2:13">
      <c r="B278" t="s">
        <v>1664</v>
      </c>
      <c r="C278" t="s">
        <v>1592</v>
      </c>
      <c r="D278" s="13">
        <v>275</v>
      </c>
      <c r="E278" s="13">
        <v>211.75</v>
      </c>
      <c r="F278" s="13">
        <f t="shared" si="16"/>
        <v>63.25</v>
      </c>
      <c r="G278" t="s">
        <v>246</v>
      </c>
      <c r="H278" t="s">
        <v>11</v>
      </c>
      <c r="I278" t="s">
        <v>19</v>
      </c>
      <c r="J278" t="s">
        <v>247</v>
      </c>
      <c r="K278" s="41">
        <v>7.7</v>
      </c>
      <c r="L278" s="41"/>
      <c r="M278" s="41"/>
    </row>
    <row r="279" spans="2:13">
      <c r="B279" t="s">
        <v>1665</v>
      </c>
      <c r="C279" t="s">
        <v>1593</v>
      </c>
      <c r="D279" s="13">
        <v>200</v>
      </c>
      <c r="E279" s="13">
        <v>154</v>
      </c>
      <c r="F279" s="13">
        <f t="shared" si="16"/>
        <v>46</v>
      </c>
      <c r="G279" t="s">
        <v>246</v>
      </c>
      <c r="H279" t="s">
        <v>11</v>
      </c>
      <c r="I279" t="s">
        <v>19</v>
      </c>
      <c r="J279" t="s">
        <v>250</v>
      </c>
      <c r="K279" s="41">
        <v>5.6000000000000005</v>
      </c>
      <c r="L279" s="41"/>
      <c r="M279" s="41"/>
    </row>
    <row r="280" spans="2:13">
      <c r="B280" t="s">
        <v>1666</v>
      </c>
      <c r="C280" t="s">
        <v>1594</v>
      </c>
      <c r="D280" s="13">
        <v>17050</v>
      </c>
      <c r="E280" s="13">
        <v>13128.5</v>
      </c>
      <c r="F280" s="13">
        <f t="shared" si="16"/>
        <v>3921.5</v>
      </c>
      <c r="G280" t="s">
        <v>246</v>
      </c>
      <c r="H280" t="s">
        <v>11</v>
      </c>
      <c r="I280" t="s">
        <v>12</v>
      </c>
      <c r="J280" t="s">
        <v>247</v>
      </c>
      <c r="K280" s="41">
        <v>477.40000000000003</v>
      </c>
      <c r="L280" s="41"/>
      <c r="M280" s="41"/>
    </row>
    <row r="281" spans="2:13">
      <c r="B281" t="s">
        <v>1667</v>
      </c>
      <c r="C281" t="s">
        <v>1595</v>
      </c>
      <c r="D281" s="13">
        <v>12400</v>
      </c>
      <c r="E281" s="13">
        <v>9548</v>
      </c>
      <c r="F281" s="13">
        <f t="shared" si="16"/>
        <v>2852</v>
      </c>
      <c r="G281" t="s">
        <v>246</v>
      </c>
      <c r="H281" t="s">
        <v>11</v>
      </c>
      <c r="I281" t="s">
        <v>12</v>
      </c>
      <c r="J281" t="s">
        <v>250</v>
      </c>
      <c r="K281" s="41">
        <v>347.2</v>
      </c>
      <c r="L281" s="41"/>
      <c r="M281" s="41"/>
    </row>
    <row r="282" spans="2:13">
      <c r="B282" t="s">
        <v>1668</v>
      </c>
      <c r="C282" t="s">
        <v>1596</v>
      </c>
      <c r="D282" s="13">
        <v>275</v>
      </c>
      <c r="E282" s="13">
        <v>211.75</v>
      </c>
      <c r="F282" s="13">
        <f t="shared" si="16"/>
        <v>63.25</v>
      </c>
      <c r="G282" t="s">
        <v>246</v>
      </c>
      <c r="H282" t="s">
        <v>11</v>
      </c>
      <c r="I282" t="s">
        <v>19</v>
      </c>
      <c r="J282" t="s">
        <v>247</v>
      </c>
      <c r="K282" s="41">
        <v>7.7</v>
      </c>
      <c r="L282" s="41"/>
      <c r="M282" s="41"/>
    </row>
    <row r="283" spans="2:13">
      <c r="B283" t="s">
        <v>1669</v>
      </c>
      <c r="C283" t="s">
        <v>1597</v>
      </c>
      <c r="D283" s="13">
        <v>200</v>
      </c>
      <c r="E283" s="13">
        <v>154</v>
      </c>
      <c r="F283" s="13">
        <f t="shared" si="16"/>
        <v>46</v>
      </c>
      <c r="G283" t="s">
        <v>246</v>
      </c>
      <c r="H283" t="s">
        <v>11</v>
      </c>
      <c r="I283" t="s">
        <v>19</v>
      </c>
      <c r="J283" t="s">
        <v>250</v>
      </c>
      <c r="K283" s="41">
        <v>5.6000000000000005</v>
      </c>
      <c r="L283" s="41"/>
      <c r="M283" s="41"/>
    </row>
    <row r="284" spans="2:13">
      <c r="B284" t="s">
        <v>1670</v>
      </c>
      <c r="C284" t="s">
        <v>1598</v>
      </c>
      <c r="D284" s="13">
        <v>17050</v>
      </c>
      <c r="E284" s="13">
        <v>13128.5</v>
      </c>
      <c r="F284" s="13">
        <f t="shared" si="16"/>
        <v>3921.5</v>
      </c>
      <c r="G284" t="s">
        <v>246</v>
      </c>
      <c r="H284" t="s">
        <v>11</v>
      </c>
      <c r="I284" t="s">
        <v>12</v>
      </c>
      <c r="J284" t="s">
        <v>247</v>
      </c>
      <c r="K284" s="41">
        <v>477.40000000000003</v>
      </c>
      <c r="L284" s="41"/>
      <c r="M284" s="41"/>
    </row>
    <row r="285" spans="2:13">
      <c r="B285" t="s">
        <v>1671</v>
      </c>
      <c r="C285" t="s">
        <v>1599</v>
      </c>
      <c r="D285" s="13">
        <v>12400</v>
      </c>
      <c r="E285" s="13">
        <v>9548</v>
      </c>
      <c r="F285" s="13">
        <f t="shared" ref="F285:F291" si="17">D285-E285</f>
        <v>2852</v>
      </c>
      <c r="G285" t="s">
        <v>246</v>
      </c>
      <c r="H285" t="s">
        <v>11</v>
      </c>
      <c r="I285" t="s">
        <v>12</v>
      </c>
      <c r="J285" t="s">
        <v>250</v>
      </c>
      <c r="K285" s="41">
        <v>347.2</v>
      </c>
      <c r="L285" s="41"/>
      <c r="M285" s="41"/>
    </row>
    <row r="286" spans="2:13">
      <c r="B286" t="s">
        <v>1672</v>
      </c>
      <c r="C286" t="s">
        <v>1600</v>
      </c>
      <c r="D286" s="13">
        <v>275</v>
      </c>
      <c r="E286" s="13">
        <v>211.75</v>
      </c>
      <c r="F286" s="13">
        <f t="shared" si="17"/>
        <v>63.25</v>
      </c>
      <c r="G286" t="s">
        <v>246</v>
      </c>
      <c r="H286" t="s">
        <v>11</v>
      </c>
      <c r="I286" t="s">
        <v>19</v>
      </c>
      <c r="J286" t="s">
        <v>247</v>
      </c>
      <c r="K286" s="41">
        <v>7.7</v>
      </c>
      <c r="L286" s="41"/>
      <c r="M286" s="41"/>
    </row>
    <row r="287" spans="2:13">
      <c r="B287" t="s">
        <v>1673</v>
      </c>
      <c r="C287" t="s">
        <v>1601</v>
      </c>
      <c r="D287" s="13">
        <v>200</v>
      </c>
      <c r="E287" s="13">
        <v>154</v>
      </c>
      <c r="F287" s="13">
        <f t="shared" si="17"/>
        <v>46</v>
      </c>
      <c r="G287" t="s">
        <v>246</v>
      </c>
      <c r="H287" t="s">
        <v>11</v>
      </c>
      <c r="I287" t="s">
        <v>19</v>
      </c>
      <c r="J287" t="s">
        <v>250</v>
      </c>
      <c r="K287" s="41">
        <v>5.6000000000000005</v>
      </c>
      <c r="L287" s="41"/>
      <c r="M287" s="41"/>
    </row>
    <row r="288" spans="2:13">
      <c r="B288" t="s">
        <v>1674</v>
      </c>
      <c r="C288" t="s">
        <v>1602</v>
      </c>
      <c r="D288" s="13">
        <v>17050</v>
      </c>
      <c r="E288" s="13">
        <v>13128.5</v>
      </c>
      <c r="F288" s="13">
        <f t="shared" si="17"/>
        <v>3921.5</v>
      </c>
      <c r="G288" t="s">
        <v>246</v>
      </c>
      <c r="H288" t="s">
        <v>11</v>
      </c>
      <c r="I288" t="s">
        <v>12</v>
      </c>
      <c r="J288" t="s">
        <v>247</v>
      </c>
      <c r="K288" s="41">
        <v>477.40000000000003</v>
      </c>
      <c r="L288" s="41"/>
      <c r="M288" s="41"/>
    </row>
    <row r="289" spans="2:13">
      <c r="B289" t="s">
        <v>1675</v>
      </c>
      <c r="C289" t="s">
        <v>1603</v>
      </c>
      <c r="D289" s="13">
        <v>12400</v>
      </c>
      <c r="E289" s="13">
        <v>9548</v>
      </c>
      <c r="F289" s="13">
        <f t="shared" si="17"/>
        <v>2852</v>
      </c>
      <c r="G289" t="s">
        <v>246</v>
      </c>
      <c r="H289" t="s">
        <v>11</v>
      </c>
      <c r="I289" t="s">
        <v>12</v>
      </c>
      <c r="J289" t="s">
        <v>250</v>
      </c>
      <c r="K289" s="41">
        <v>347.2</v>
      </c>
      <c r="L289" s="41"/>
      <c r="M289" s="41"/>
    </row>
    <row r="290" spans="2:13">
      <c r="B290" t="s">
        <v>1676</v>
      </c>
      <c r="C290" t="s">
        <v>1604</v>
      </c>
      <c r="D290" s="13">
        <v>275</v>
      </c>
      <c r="E290" s="13">
        <v>211.75</v>
      </c>
      <c r="F290" s="13">
        <f t="shared" si="17"/>
        <v>63.25</v>
      </c>
      <c r="G290" t="s">
        <v>246</v>
      </c>
      <c r="H290" t="s">
        <v>11</v>
      </c>
      <c r="I290" t="s">
        <v>19</v>
      </c>
      <c r="J290" t="s">
        <v>247</v>
      </c>
      <c r="K290" s="41">
        <v>7.7</v>
      </c>
      <c r="L290" s="41"/>
      <c r="M290" s="41"/>
    </row>
    <row r="291" spans="2:13">
      <c r="B291" t="s">
        <v>1677</v>
      </c>
      <c r="C291" t="s">
        <v>1605</v>
      </c>
      <c r="D291" s="13">
        <v>200</v>
      </c>
      <c r="E291" s="13">
        <v>154</v>
      </c>
      <c r="F291" s="13">
        <f t="shared" si="17"/>
        <v>46</v>
      </c>
      <c r="G291" t="s">
        <v>246</v>
      </c>
      <c r="H291" t="s">
        <v>11</v>
      </c>
      <c r="I291" t="s">
        <v>19</v>
      </c>
      <c r="J291" t="s">
        <v>250</v>
      </c>
      <c r="K291" s="41">
        <v>5.6000000000000005</v>
      </c>
      <c r="L291" s="41"/>
      <c r="M291" s="41"/>
    </row>
    <row r="292" spans="2:13">
      <c r="K292" s="41"/>
      <c r="L292" s="41"/>
      <c r="M292" s="41"/>
    </row>
    <row r="293" spans="2:13">
      <c r="B293" t="s">
        <v>721</v>
      </c>
      <c r="C293" t="s">
        <v>1021</v>
      </c>
      <c r="D293" s="13">
        <v>70</v>
      </c>
      <c r="E293" s="13">
        <v>53.9</v>
      </c>
      <c r="F293" s="13">
        <f>D293-E293</f>
        <v>16.100000000000001</v>
      </c>
      <c r="G293" t="s">
        <v>246</v>
      </c>
      <c r="H293" t="s">
        <v>11</v>
      </c>
      <c r="I293" t="s">
        <v>19</v>
      </c>
      <c r="J293" t="s">
        <v>247</v>
      </c>
      <c r="K293" s="41">
        <v>2.33</v>
      </c>
      <c r="L293" s="41"/>
      <c r="M293" s="41"/>
    </row>
    <row r="294" spans="2:13">
      <c r="K294" s="41"/>
      <c r="L294" s="41"/>
      <c r="M294" s="41"/>
    </row>
    <row r="295" spans="2:13">
      <c r="B295" t="s">
        <v>277</v>
      </c>
      <c r="C295" t="s">
        <v>625</v>
      </c>
      <c r="D295" s="13">
        <v>742.5</v>
      </c>
      <c r="E295" s="13">
        <v>571.78</v>
      </c>
      <c r="F295" s="13">
        <f t="shared" ref="F295:F300" si="18">D295-E295</f>
        <v>170.72000000000003</v>
      </c>
      <c r="G295" t="s">
        <v>246</v>
      </c>
      <c r="H295" t="s">
        <v>11</v>
      </c>
      <c r="I295" t="s">
        <v>19</v>
      </c>
      <c r="J295" t="s">
        <v>250</v>
      </c>
      <c r="K295" s="41">
        <v>24.690499999999997</v>
      </c>
      <c r="L295" s="41"/>
      <c r="M295" s="41"/>
    </row>
    <row r="296" spans="2:13">
      <c r="B296" t="s">
        <v>278</v>
      </c>
      <c r="C296" t="s">
        <v>626</v>
      </c>
      <c r="D296" s="13">
        <v>2227.5</v>
      </c>
      <c r="E296" s="13">
        <v>1715.23</v>
      </c>
      <c r="F296" s="13">
        <f t="shared" si="18"/>
        <v>512.27</v>
      </c>
      <c r="G296" t="s">
        <v>246</v>
      </c>
      <c r="H296" t="s">
        <v>11</v>
      </c>
      <c r="I296" t="s">
        <v>19</v>
      </c>
      <c r="J296" t="s">
        <v>250</v>
      </c>
      <c r="K296" s="41">
        <v>74.066749999999999</v>
      </c>
      <c r="L296" s="41"/>
      <c r="M296" s="41"/>
    </row>
    <row r="297" spans="2:13">
      <c r="B297" t="s">
        <v>279</v>
      </c>
      <c r="C297" t="s">
        <v>800</v>
      </c>
      <c r="D297" s="13">
        <v>4345</v>
      </c>
      <c r="E297" s="13">
        <v>3345.65</v>
      </c>
      <c r="F297" s="13">
        <f t="shared" si="18"/>
        <v>999.34999999999991</v>
      </c>
      <c r="G297" t="s">
        <v>246</v>
      </c>
      <c r="H297" t="s">
        <v>11</v>
      </c>
      <c r="I297" t="s">
        <v>19</v>
      </c>
      <c r="J297" t="s">
        <v>250</v>
      </c>
      <c r="K297" s="41">
        <v>144.47125</v>
      </c>
      <c r="L297" s="41"/>
      <c r="M297" s="41"/>
    </row>
    <row r="298" spans="2:13">
      <c r="B298" t="s">
        <v>280</v>
      </c>
      <c r="C298" t="s">
        <v>801</v>
      </c>
      <c r="D298" s="13">
        <v>6600</v>
      </c>
      <c r="E298" s="13">
        <v>5082</v>
      </c>
      <c r="F298" s="13">
        <f t="shared" si="18"/>
        <v>1518</v>
      </c>
      <c r="G298" t="s">
        <v>246</v>
      </c>
      <c r="H298" t="s">
        <v>11</v>
      </c>
      <c r="I298" t="s">
        <v>19</v>
      </c>
      <c r="J298" t="s">
        <v>250</v>
      </c>
      <c r="K298" s="41">
        <v>219.45</v>
      </c>
      <c r="L298" s="41"/>
      <c r="M298" s="41"/>
    </row>
    <row r="299" spans="2:13">
      <c r="B299" t="s">
        <v>281</v>
      </c>
      <c r="C299" t="s">
        <v>624</v>
      </c>
      <c r="D299" s="13">
        <v>41.3</v>
      </c>
      <c r="E299" s="13">
        <v>31.79</v>
      </c>
      <c r="F299" s="13">
        <f t="shared" si="18"/>
        <v>9.509999999999998</v>
      </c>
      <c r="G299" t="s">
        <v>246</v>
      </c>
      <c r="H299" t="s">
        <v>11</v>
      </c>
      <c r="I299" t="s">
        <v>12</v>
      </c>
      <c r="J299" t="s">
        <v>247</v>
      </c>
      <c r="K299" s="41">
        <v>21.555500000000002</v>
      </c>
      <c r="L299" s="41"/>
      <c r="M299" s="41"/>
    </row>
    <row r="300" spans="2:13">
      <c r="B300" t="s">
        <v>282</v>
      </c>
      <c r="C300" t="s">
        <v>799</v>
      </c>
      <c r="D300" s="13">
        <v>30</v>
      </c>
      <c r="E300" s="13">
        <v>23.1</v>
      </c>
      <c r="F300" s="13">
        <f t="shared" si="18"/>
        <v>6.8999999999999986</v>
      </c>
      <c r="G300" t="s">
        <v>246</v>
      </c>
      <c r="H300" t="s">
        <v>11</v>
      </c>
      <c r="I300" t="s">
        <v>12</v>
      </c>
      <c r="J300" t="s">
        <v>250</v>
      </c>
      <c r="K300" s="41">
        <v>1.26</v>
      </c>
      <c r="L300" s="41"/>
      <c r="M300" s="41"/>
    </row>
    <row r="301" spans="2:13">
      <c r="K301" s="41"/>
      <c r="L301" s="41"/>
      <c r="M301" s="41"/>
    </row>
    <row r="302" spans="2:13">
      <c r="B302" t="s">
        <v>484</v>
      </c>
      <c r="C302" t="s">
        <v>775</v>
      </c>
      <c r="D302" s="13">
        <v>350</v>
      </c>
      <c r="E302" s="13">
        <v>269.5</v>
      </c>
      <c r="F302" s="13">
        <f>D302-E302</f>
        <v>80.5</v>
      </c>
      <c r="G302" t="s">
        <v>246</v>
      </c>
      <c r="H302" t="s">
        <v>11</v>
      </c>
      <c r="I302" t="s">
        <v>12</v>
      </c>
      <c r="J302" t="s">
        <v>247</v>
      </c>
      <c r="K302" s="41">
        <v>11.64</v>
      </c>
      <c r="L302" s="41"/>
      <c r="M302" s="41"/>
    </row>
    <row r="303" spans="2:13">
      <c r="B303" t="s">
        <v>267</v>
      </c>
      <c r="C303" t="s">
        <v>623</v>
      </c>
      <c r="D303" s="13">
        <v>27.5</v>
      </c>
      <c r="E303" s="13">
        <v>21.23</v>
      </c>
      <c r="F303" s="13">
        <f>D303-E303</f>
        <v>6.27</v>
      </c>
      <c r="G303" t="s">
        <v>246</v>
      </c>
      <c r="H303" t="s">
        <v>11</v>
      </c>
      <c r="I303" t="s">
        <v>12</v>
      </c>
      <c r="J303" t="s">
        <v>247</v>
      </c>
      <c r="K303" s="41">
        <v>0.92</v>
      </c>
      <c r="L303" s="41"/>
      <c r="M303" s="41"/>
    </row>
    <row r="304" spans="2:13">
      <c r="B304" t="s">
        <v>268</v>
      </c>
      <c r="C304" t="s">
        <v>798</v>
      </c>
      <c r="D304" s="13">
        <v>20</v>
      </c>
      <c r="E304" s="13">
        <v>15.4</v>
      </c>
      <c r="F304" s="13">
        <f>D304-E304</f>
        <v>4.5999999999999996</v>
      </c>
      <c r="G304" t="s">
        <v>246</v>
      </c>
      <c r="H304" t="s">
        <v>11</v>
      </c>
      <c r="I304" t="s">
        <v>12</v>
      </c>
      <c r="J304" t="s">
        <v>250</v>
      </c>
      <c r="K304" s="41">
        <v>0.67</v>
      </c>
      <c r="L304" s="41"/>
      <c r="M304" s="41"/>
    </row>
    <row r="305" spans="1:13">
      <c r="A305" s="4" t="s">
        <v>1224</v>
      </c>
      <c r="B305" t="s">
        <v>490</v>
      </c>
      <c r="C305" t="s">
        <v>489</v>
      </c>
      <c r="D305" s="13">
        <v>4.4000000000000004</v>
      </c>
      <c r="E305" s="13">
        <v>3.63</v>
      </c>
      <c r="F305" s="13">
        <f>D305-E305</f>
        <v>0.77000000000000046</v>
      </c>
      <c r="G305" t="s">
        <v>246</v>
      </c>
      <c r="H305" t="s">
        <v>11</v>
      </c>
      <c r="I305" t="s">
        <v>12</v>
      </c>
      <c r="J305" t="s">
        <v>247</v>
      </c>
      <c r="K305" s="41">
        <v>0.16</v>
      </c>
      <c r="L305" s="41"/>
      <c r="M305" s="41"/>
    </row>
    <row r="306" spans="1:13">
      <c r="B306" t="s">
        <v>492</v>
      </c>
      <c r="C306" t="s">
        <v>491</v>
      </c>
      <c r="D306" s="13">
        <v>3.2</v>
      </c>
      <c r="E306" s="13">
        <v>2.64</v>
      </c>
      <c r="F306" s="13">
        <f>D306-E306</f>
        <v>0.56000000000000005</v>
      </c>
      <c r="G306" t="s">
        <v>246</v>
      </c>
      <c r="H306" t="s">
        <v>11</v>
      </c>
      <c r="I306" t="s">
        <v>12</v>
      </c>
      <c r="J306" t="s">
        <v>250</v>
      </c>
      <c r="K306" s="41">
        <v>0.11</v>
      </c>
      <c r="L306" s="41"/>
      <c r="M306" s="41"/>
    </row>
    <row r="307" spans="1:13">
      <c r="K307" s="41"/>
      <c r="L307" s="41"/>
      <c r="M307" s="41"/>
    </row>
    <row r="308" spans="1:13">
      <c r="K308" s="41"/>
      <c r="L308" s="41"/>
      <c r="M308" s="41"/>
    </row>
    <row r="309" spans="1:13">
      <c r="A309" s="4" t="s">
        <v>1232</v>
      </c>
      <c r="C309" s="23" t="s">
        <v>651</v>
      </c>
      <c r="K309" s="41"/>
      <c r="L309" s="41"/>
      <c r="M309" s="41"/>
    </row>
    <row r="310" spans="1:13">
      <c r="B310" t="s">
        <v>1119</v>
      </c>
      <c r="C310" t="s">
        <v>1118</v>
      </c>
      <c r="D310" s="13">
        <v>82.5</v>
      </c>
      <c r="E310" s="13">
        <v>63.58</v>
      </c>
      <c r="F310" s="13">
        <f t="shared" ref="F310:F322" si="19">D310-E310</f>
        <v>18.920000000000002</v>
      </c>
      <c r="G310" t="s">
        <v>246</v>
      </c>
      <c r="H310" t="s">
        <v>11</v>
      </c>
      <c r="I310" t="s">
        <v>19</v>
      </c>
      <c r="J310" t="s">
        <v>247</v>
      </c>
      <c r="K310" s="41">
        <v>2.75</v>
      </c>
      <c r="L310" s="41"/>
      <c r="M310" s="41"/>
    </row>
    <row r="311" spans="1:13">
      <c r="B311" t="s">
        <v>1154</v>
      </c>
      <c r="C311" t="s">
        <v>1153</v>
      </c>
      <c r="D311" s="13">
        <v>55</v>
      </c>
      <c r="E311" s="13">
        <v>42.35</v>
      </c>
      <c r="F311" s="13">
        <f>D311-E311</f>
        <v>12.649999999999999</v>
      </c>
      <c r="G311" t="s">
        <v>246</v>
      </c>
      <c r="H311" t="s">
        <v>11</v>
      </c>
      <c r="I311" t="s">
        <v>19</v>
      </c>
      <c r="J311" t="s">
        <v>247</v>
      </c>
      <c r="K311" s="41">
        <v>1.83</v>
      </c>
      <c r="L311" s="41"/>
      <c r="M311" s="41"/>
    </row>
    <row r="312" spans="1:13">
      <c r="B312" t="s">
        <v>1156</v>
      </c>
      <c r="C312" t="s">
        <v>1155</v>
      </c>
      <c r="D312" s="13">
        <v>55</v>
      </c>
      <c r="E312" s="13">
        <v>42.35</v>
      </c>
      <c r="F312" s="13">
        <f t="shared" ref="F312:F313" si="20">D312-E312</f>
        <v>12.649999999999999</v>
      </c>
      <c r="G312" t="s">
        <v>246</v>
      </c>
      <c r="H312" t="s">
        <v>11</v>
      </c>
      <c r="I312" t="s">
        <v>19</v>
      </c>
      <c r="J312" t="s">
        <v>247</v>
      </c>
      <c r="K312" s="41">
        <v>1.83</v>
      </c>
      <c r="L312" s="41"/>
      <c r="M312" s="41"/>
    </row>
    <row r="313" spans="1:13">
      <c r="B313" t="s">
        <v>1158</v>
      </c>
      <c r="C313" t="s">
        <v>1157</v>
      </c>
      <c r="D313" s="13">
        <v>55</v>
      </c>
      <c r="E313" s="13">
        <v>42.35</v>
      </c>
      <c r="F313" s="13">
        <f t="shared" si="20"/>
        <v>12.649999999999999</v>
      </c>
      <c r="G313" t="s">
        <v>246</v>
      </c>
      <c r="H313" t="s">
        <v>11</v>
      </c>
      <c r="I313" t="s">
        <v>19</v>
      </c>
      <c r="J313" t="s">
        <v>247</v>
      </c>
      <c r="K313" s="41">
        <v>1.83</v>
      </c>
      <c r="L313" s="41"/>
      <c r="M313" s="41"/>
    </row>
    <row r="314" spans="1:13">
      <c r="B314" t="s">
        <v>245</v>
      </c>
      <c r="C314" t="s">
        <v>351</v>
      </c>
      <c r="D314" s="13">
        <v>20</v>
      </c>
      <c r="E314" s="13">
        <v>17.600000000000001</v>
      </c>
      <c r="F314" s="13">
        <f t="shared" si="19"/>
        <v>2.3999999999999986</v>
      </c>
      <c r="G314" t="s">
        <v>246</v>
      </c>
      <c r="H314" t="s">
        <v>11</v>
      </c>
      <c r="I314" t="s">
        <v>19</v>
      </c>
      <c r="J314" t="s">
        <v>247</v>
      </c>
      <c r="K314" s="41">
        <v>0.76</v>
      </c>
      <c r="L314" s="41"/>
      <c r="M314" s="41"/>
    </row>
    <row r="315" spans="1:13">
      <c r="B315" t="s">
        <v>1121</v>
      </c>
      <c r="C315" t="s">
        <v>1120</v>
      </c>
      <c r="D315" s="13">
        <v>82.5</v>
      </c>
      <c r="E315" s="13">
        <v>63.58</v>
      </c>
      <c r="F315" s="13">
        <f t="shared" si="19"/>
        <v>18.920000000000002</v>
      </c>
      <c r="G315" t="s">
        <v>246</v>
      </c>
      <c r="H315" t="s">
        <v>11</v>
      </c>
      <c r="I315" t="s">
        <v>19</v>
      </c>
      <c r="J315" t="s">
        <v>247</v>
      </c>
      <c r="K315" s="41">
        <v>2.75</v>
      </c>
      <c r="L315" s="41"/>
      <c r="M315" s="41"/>
    </row>
    <row r="316" spans="1:13">
      <c r="B316" t="s">
        <v>1123</v>
      </c>
      <c r="C316" t="s">
        <v>1122</v>
      </c>
      <c r="D316" s="13">
        <v>550</v>
      </c>
      <c r="E316" s="13">
        <v>423.5</v>
      </c>
      <c r="F316" s="13">
        <f t="shared" si="19"/>
        <v>126.5</v>
      </c>
      <c r="G316" t="s">
        <v>246</v>
      </c>
      <c r="H316" t="s">
        <v>11</v>
      </c>
      <c r="I316" t="s">
        <v>12</v>
      </c>
      <c r="J316" t="s">
        <v>247</v>
      </c>
      <c r="K316" s="41">
        <v>18.29</v>
      </c>
      <c r="L316" s="41"/>
      <c r="M316" s="41"/>
    </row>
    <row r="317" spans="1:13">
      <c r="B317" t="s">
        <v>1125</v>
      </c>
      <c r="C317" t="s">
        <v>1124</v>
      </c>
      <c r="D317" s="13">
        <v>82.5</v>
      </c>
      <c r="E317" s="13">
        <v>63.58</v>
      </c>
      <c r="F317" s="13">
        <f t="shared" si="19"/>
        <v>18.920000000000002</v>
      </c>
      <c r="G317" t="s">
        <v>246</v>
      </c>
      <c r="H317" t="s">
        <v>11</v>
      </c>
      <c r="I317" t="s">
        <v>19</v>
      </c>
      <c r="J317" t="s">
        <v>247</v>
      </c>
      <c r="K317" s="41">
        <v>2.75</v>
      </c>
      <c r="L317" s="41"/>
      <c r="M317" s="41"/>
    </row>
    <row r="318" spans="1:13">
      <c r="B318" t="s">
        <v>1127</v>
      </c>
      <c r="C318" t="s">
        <v>1126</v>
      </c>
      <c r="D318" s="13">
        <v>550</v>
      </c>
      <c r="E318" s="13">
        <v>423.5</v>
      </c>
      <c r="F318" s="13">
        <f t="shared" si="19"/>
        <v>126.5</v>
      </c>
      <c r="G318" t="s">
        <v>246</v>
      </c>
      <c r="H318" t="s">
        <v>11</v>
      </c>
      <c r="I318" t="s">
        <v>12</v>
      </c>
      <c r="J318" t="s">
        <v>247</v>
      </c>
      <c r="K318" s="41">
        <v>18.29</v>
      </c>
      <c r="L318" s="41"/>
      <c r="M318" s="41"/>
    </row>
    <row r="319" spans="1:13">
      <c r="B319" t="s">
        <v>1961</v>
      </c>
      <c r="C319" t="s">
        <v>2112</v>
      </c>
      <c r="D319" s="13">
        <v>5</v>
      </c>
      <c r="E319" s="13">
        <v>4.4000000000000004</v>
      </c>
      <c r="F319" s="13">
        <f t="shared" si="19"/>
        <v>0.59999999999999964</v>
      </c>
      <c r="G319" t="s">
        <v>246</v>
      </c>
      <c r="H319" t="s">
        <v>11</v>
      </c>
      <c r="I319" t="s">
        <v>19</v>
      </c>
      <c r="J319" t="s">
        <v>247</v>
      </c>
      <c r="K319" s="41">
        <v>0.1</v>
      </c>
      <c r="L319" s="41"/>
      <c r="M319" s="41"/>
    </row>
    <row r="320" spans="1:13">
      <c r="B320" t="s">
        <v>1962</v>
      </c>
      <c r="C320" t="s">
        <v>1958</v>
      </c>
      <c r="D320" s="13">
        <v>16.7</v>
      </c>
      <c r="E320" s="13">
        <v>14.63</v>
      </c>
      <c r="F320" s="13">
        <f t="shared" si="19"/>
        <v>2.0699999999999985</v>
      </c>
      <c r="G320" t="s">
        <v>246</v>
      </c>
      <c r="H320" t="s">
        <v>11</v>
      </c>
      <c r="I320" t="s">
        <v>19</v>
      </c>
      <c r="J320" t="s">
        <v>247</v>
      </c>
      <c r="K320" s="41">
        <v>0.33</v>
      </c>
      <c r="L320" s="41"/>
      <c r="M320" s="41"/>
    </row>
    <row r="321" spans="1:13">
      <c r="B321" t="s">
        <v>1963</v>
      </c>
      <c r="C321" t="s">
        <v>1959</v>
      </c>
      <c r="D321" s="13">
        <v>166.7</v>
      </c>
      <c r="E321" s="13">
        <v>146.63</v>
      </c>
      <c r="F321" s="13">
        <f t="shared" si="19"/>
        <v>20.069999999999993</v>
      </c>
      <c r="G321" t="s">
        <v>246</v>
      </c>
      <c r="H321" t="s">
        <v>11</v>
      </c>
      <c r="I321" t="s">
        <v>19</v>
      </c>
      <c r="J321" t="s">
        <v>247</v>
      </c>
      <c r="K321" s="41">
        <v>3.33</v>
      </c>
      <c r="L321" s="41"/>
      <c r="M321" s="41"/>
    </row>
    <row r="322" spans="1:13">
      <c r="A322" t="s">
        <v>527</v>
      </c>
      <c r="B322" t="s">
        <v>1964</v>
      </c>
      <c r="C322" t="s">
        <v>1960</v>
      </c>
      <c r="D322" s="13">
        <v>1666.7</v>
      </c>
      <c r="E322" s="13">
        <v>1466.63</v>
      </c>
      <c r="F322" s="13">
        <f t="shared" si="19"/>
        <v>200.06999999999994</v>
      </c>
      <c r="G322" t="s">
        <v>246</v>
      </c>
      <c r="H322" t="s">
        <v>11</v>
      </c>
      <c r="I322" t="s">
        <v>19</v>
      </c>
      <c r="J322" t="s">
        <v>247</v>
      </c>
      <c r="K322" s="41">
        <v>33.33</v>
      </c>
      <c r="L322" s="41"/>
      <c r="M322" s="41"/>
    </row>
    <row r="323" spans="1:13">
      <c r="K323" s="41"/>
      <c r="L323" s="41"/>
      <c r="M323" s="41"/>
    </row>
    <row r="324" spans="1:13">
      <c r="A324" s="4" t="s">
        <v>756</v>
      </c>
      <c r="C324" s="23" t="s">
        <v>652</v>
      </c>
      <c r="K324" s="41"/>
      <c r="L324" s="41"/>
      <c r="M324" s="41"/>
    </row>
    <row r="325" spans="1:13">
      <c r="B325" t="s">
        <v>708</v>
      </c>
      <c r="C325" t="s">
        <v>707</v>
      </c>
      <c r="D325" s="13">
        <v>35.799999999999997</v>
      </c>
      <c r="E325" s="13">
        <v>31.46</v>
      </c>
      <c r="F325" s="13">
        <f>D325-E325</f>
        <v>4.3399999999999963</v>
      </c>
      <c r="G325" t="s">
        <v>246</v>
      </c>
      <c r="H325" t="s">
        <v>11</v>
      </c>
      <c r="I325" t="s">
        <v>12</v>
      </c>
      <c r="J325" t="s">
        <v>247</v>
      </c>
      <c r="K325" s="41">
        <v>1.3585</v>
      </c>
      <c r="L325" s="41"/>
      <c r="M325" s="41"/>
    </row>
    <row r="326" spans="1:13">
      <c r="B326" t="s">
        <v>793</v>
      </c>
      <c r="C326" t="s">
        <v>792</v>
      </c>
      <c r="D326" s="13">
        <v>0</v>
      </c>
      <c r="E326" s="13">
        <v>0</v>
      </c>
      <c r="F326" s="13">
        <v>0</v>
      </c>
      <c r="G326" t="s">
        <v>246</v>
      </c>
      <c r="H326" t="s">
        <v>11</v>
      </c>
      <c r="I326" t="s">
        <v>27</v>
      </c>
      <c r="J326" t="s">
        <v>247</v>
      </c>
      <c r="K326" s="41">
        <v>0</v>
      </c>
      <c r="L326" s="41"/>
      <c r="M326" s="41"/>
    </row>
    <row r="327" spans="1:13">
      <c r="B327" t="s">
        <v>710</v>
      </c>
      <c r="C327" t="s">
        <v>709</v>
      </c>
      <c r="D327" s="13">
        <v>26</v>
      </c>
      <c r="E327" s="13">
        <v>22.880000000000003</v>
      </c>
      <c r="F327" s="13">
        <f>D327-E327</f>
        <v>3.1199999999999974</v>
      </c>
      <c r="G327" t="s">
        <v>246</v>
      </c>
      <c r="H327" t="s">
        <v>11</v>
      </c>
      <c r="I327" t="s">
        <v>12</v>
      </c>
      <c r="J327" t="s">
        <v>250</v>
      </c>
      <c r="K327" s="41">
        <v>0.9880000000000001</v>
      </c>
      <c r="L327" s="41"/>
      <c r="M327" s="41"/>
    </row>
    <row r="328" spans="1:13">
      <c r="B328" t="s">
        <v>795</v>
      </c>
      <c r="C328" t="s">
        <v>794</v>
      </c>
      <c r="D328" s="13">
        <v>0</v>
      </c>
      <c r="E328" s="13">
        <v>0</v>
      </c>
      <c r="F328" s="13">
        <v>0</v>
      </c>
      <c r="G328" t="s">
        <v>246</v>
      </c>
      <c r="H328" t="s">
        <v>11</v>
      </c>
      <c r="I328" t="s">
        <v>27</v>
      </c>
      <c r="J328" t="s">
        <v>250</v>
      </c>
      <c r="K328" s="41">
        <v>0</v>
      </c>
      <c r="L328" s="41"/>
      <c r="M328" s="41"/>
    </row>
    <row r="329" spans="1:13">
      <c r="K329" s="41"/>
      <c r="L329" s="41"/>
      <c r="M329" s="41"/>
    </row>
    <row r="330" spans="1:13">
      <c r="C330" s="23" t="s">
        <v>100</v>
      </c>
      <c r="K330" s="41"/>
      <c r="L330" s="41"/>
      <c r="M330" s="41"/>
    </row>
    <row r="331" spans="1:13">
      <c r="B331" t="s">
        <v>283</v>
      </c>
      <c r="C331" t="s">
        <v>622</v>
      </c>
      <c r="D331" s="13">
        <v>99</v>
      </c>
      <c r="E331" s="13">
        <v>76.23</v>
      </c>
      <c r="F331" s="13">
        <f>D331-E331</f>
        <v>22.769999999999996</v>
      </c>
      <c r="G331" t="s">
        <v>246</v>
      </c>
      <c r="H331" t="s">
        <v>11</v>
      </c>
      <c r="I331" t="s">
        <v>12</v>
      </c>
      <c r="J331" t="s">
        <v>247</v>
      </c>
      <c r="K331" s="41">
        <v>4.16</v>
      </c>
      <c r="L331" s="41"/>
      <c r="M331" s="41"/>
    </row>
    <row r="332" spans="1:13">
      <c r="B332" t="s">
        <v>284</v>
      </c>
      <c r="C332" t="s">
        <v>790</v>
      </c>
      <c r="D332" s="13">
        <v>72</v>
      </c>
      <c r="E332" s="13">
        <v>55.44</v>
      </c>
      <c r="F332" s="13">
        <f>D332-E332</f>
        <v>16.560000000000002</v>
      </c>
      <c r="G332" t="s">
        <v>246</v>
      </c>
      <c r="H332" t="s">
        <v>11</v>
      </c>
      <c r="I332" t="s">
        <v>12</v>
      </c>
      <c r="J332" t="s">
        <v>250</v>
      </c>
      <c r="K332" s="41">
        <v>3.02</v>
      </c>
      <c r="L332" s="41"/>
      <c r="M332" s="41"/>
    </row>
    <row r="333" spans="1:13">
      <c r="K333" s="41"/>
      <c r="L333" s="41"/>
      <c r="M333" s="41"/>
    </row>
    <row r="334" spans="1:13">
      <c r="B334" t="s">
        <v>690</v>
      </c>
      <c r="C334" t="s">
        <v>689</v>
      </c>
      <c r="D334" s="13">
        <v>16.5</v>
      </c>
      <c r="E334" s="13">
        <v>12.76</v>
      </c>
      <c r="F334" s="13">
        <f t="shared" ref="F334:F335" si="21">D334-E334</f>
        <v>3.74</v>
      </c>
      <c r="G334" t="s">
        <v>246</v>
      </c>
      <c r="H334" t="s">
        <v>11</v>
      </c>
      <c r="I334" t="s">
        <v>12</v>
      </c>
      <c r="J334" t="s">
        <v>247</v>
      </c>
      <c r="K334" s="41">
        <v>0.55099999999999993</v>
      </c>
      <c r="L334" s="41"/>
      <c r="M334" s="41"/>
    </row>
    <row r="335" spans="1:13">
      <c r="B335" t="s">
        <v>692</v>
      </c>
      <c r="C335" t="s">
        <v>691</v>
      </c>
      <c r="D335" s="13">
        <v>12</v>
      </c>
      <c r="E335" s="13">
        <v>9.24</v>
      </c>
      <c r="F335" s="13">
        <f t="shared" si="21"/>
        <v>2.76</v>
      </c>
      <c r="G335" t="s">
        <v>246</v>
      </c>
      <c r="H335" t="s">
        <v>11</v>
      </c>
      <c r="I335" t="s">
        <v>12</v>
      </c>
      <c r="J335" t="s">
        <v>250</v>
      </c>
      <c r="K335" s="41">
        <v>0.39900000000000002</v>
      </c>
      <c r="L335" s="41"/>
      <c r="M335" s="41"/>
    </row>
    <row r="336" spans="1:13">
      <c r="K336" s="41"/>
      <c r="L336" s="41"/>
      <c r="M336" s="41"/>
    </row>
    <row r="337" spans="1:13">
      <c r="B337" t="s">
        <v>1710</v>
      </c>
      <c r="C337" t="s">
        <v>1708</v>
      </c>
      <c r="D337" s="13">
        <v>60</v>
      </c>
      <c r="E337" s="13">
        <v>46.2</v>
      </c>
      <c r="F337" s="13">
        <f>D337-E337</f>
        <v>13.799999999999997</v>
      </c>
      <c r="G337" t="s">
        <v>246</v>
      </c>
      <c r="H337" t="s">
        <v>11</v>
      </c>
      <c r="I337" t="s">
        <v>12</v>
      </c>
      <c r="J337" t="s">
        <v>247</v>
      </c>
      <c r="K337" s="41">
        <v>1.68</v>
      </c>
      <c r="L337" s="41"/>
      <c r="M337" s="41"/>
    </row>
    <row r="338" spans="1:13">
      <c r="B338" t="s">
        <v>1711</v>
      </c>
      <c r="C338" t="s">
        <v>1709</v>
      </c>
      <c r="D338" s="13">
        <v>45</v>
      </c>
      <c r="E338" s="13">
        <v>34.65</v>
      </c>
      <c r="F338" s="13">
        <f>D338-E338</f>
        <v>10.350000000000001</v>
      </c>
      <c r="G338" t="s">
        <v>246</v>
      </c>
      <c r="H338" t="s">
        <v>11</v>
      </c>
      <c r="I338" t="s">
        <v>12</v>
      </c>
      <c r="J338" t="s">
        <v>250</v>
      </c>
      <c r="K338" s="41">
        <v>1.26</v>
      </c>
      <c r="L338" s="41"/>
      <c r="M338" s="41"/>
    </row>
    <row r="339" spans="1:13">
      <c r="K339" s="41"/>
      <c r="L339" s="41"/>
      <c r="M339" s="41"/>
    </row>
    <row r="340" spans="1:13">
      <c r="C340" s="2" t="s">
        <v>236</v>
      </c>
      <c r="K340" s="41"/>
      <c r="L340" s="41"/>
      <c r="M340" s="41"/>
    </row>
    <row r="341" spans="1:13">
      <c r="B341" t="s">
        <v>579</v>
      </c>
      <c r="C341" t="s">
        <v>772</v>
      </c>
      <c r="D341" s="13">
        <v>28</v>
      </c>
      <c r="E341" s="13">
        <v>21.56</v>
      </c>
      <c r="F341" s="13">
        <f t="shared" ref="F341:F344" si="22">D341-E341</f>
        <v>6.4400000000000013</v>
      </c>
      <c r="G341" t="s">
        <v>246</v>
      </c>
      <c r="H341" t="s">
        <v>11</v>
      </c>
      <c r="I341" t="s">
        <v>12</v>
      </c>
      <c r="J341" t="s">
        <v>247</v>
      </c>
      <c r="K341" s="41">
        <v>0.93416666666666659</v>
      </c>
      <c r="L341" s="41"/>
      <c r="M341" s="41"/>
    </row>
    <row r="342" spans="1:13">
      <c r="B342" t="s">
        <v>581</v>
      </c>
      <c r="C342" t="s">
        <v>915</v>
      </c>
      <c r="D342" s="13">
        <v>1.4</v>
      </c>
      <c r="E342" s="13">
        <v>1.08</v>
      </c>
      <c r="F342" s="13">
        <f t="shared" si="22"/>
        <v>0.31999999999999984</v>
      </c>
      <c r="G342" t="s">
        <v>246</v>
      </c>
      <c r="H342" t="s">
        <v>11</v>
      </c>
      <c r="I342" t="s">
        <v>12</v>
      </c>
      <c r="J342" t="s">
        <v>247</v>
      </c>
      <c r="K342" s="41">
        <v>4.7500000000000001E-2</v>
      </c>
      <c r="L342" s="41"/>
      <c r="M342" s="41"/>
    </row>
    <row r="343" spans="1:13">
      <c r="B343" t="s">
        <v>588</v>
      </c>
      <c r="C343" t="s">
        <v>1686</v>
      </c>
      <c r="D343" s="13">
        <v>5</v>
      </c>
      <c r="E343" s="13">
        <v>5</v>
      </c>
      <c r="F343" s="13">
        <f t="shared" si="22"/>
        <v>0</v>
      </c>
      <c r="G343" t="s">
        <v>246</v>
      </c>
      <c r="H343" t="s">
        <v>11</v>
      </c>
      <c r="I343" t="s">
        <v>12</v>
      </c>
      <c r="J343" t="s">
        <v>247</v>
      </c>
      <c r="K343" s="41">
        <v>0.16624999999999998</v>
      </c>
      <c r="L343" s="41"/>
      <c r="M343" s="41"/>
    </row>
    <row r="344" spans="1:13">
      <c r="B344" t="s">
        <v>589</v>
      </c>
      <c r="C344" t="s">
        <v>1687</v>
      </c>
      <c r="D344" s="13">
        <v>3.6</v>
      </c>
      <c r="E344" s="13">
        <v>3.6</v>
      </c>
      <c r="F344" s="13">
        <f t="shared" si="22"/>
        <v>0</v>
      </c>
      <c r="G344" t="s">
        <v>246</v>
      </c>
      <c r="H344" t="s">
        <v>11</v>
      </c>
      <c r="I344" t="s">
        <v>12</v>
      </c>
      <c r="J344" t="s">
        <v>250</v>
      </c>
      <c r="K344" s="41">
        <v>0.11874999999999999</v>
      </c>
      <c r="L344" s="41"/>
      <c r="M344" s="41"/>
    </row>
    <row r="345" spans="1:13">
      <c r="K345" s="41"/>
      <c r="L345" s="41"/>
      <c r="M345" s="41"/>
    </row>
    <row r="346" spans="1:13">
      <c r="C346" s="2" t="s">
        <v>102</v>
      </c>
      <c r="K346" s="41"/>
      <c r="L346" s="41"/>
      <c r="M346" s="41"/>
    </row>
    <row r="347" spans="1:13">
      <c r="A347" s="4" t="s">
        <v>1249</v>
      </c>
      <c r="C347" s="2" t="s">
        <v>103</v>
      </c>
      <c r="K347" s="41"/>
      <c r="L347" s="41"/>
      <c r="M347" s="41"/>
    </row>
    <row r="348" spans="1:13" ht="18" customHeight="1">
      <c r="B348" t="s">
        <v>499</v>
      </c>
      <c r="C348" t="s">
        <v>796</v>
      </c>
      <c r="D348" s="13">
        <v>27.5</v>
      </c>
      <c r="E348" s="13">
        <v>22.66</v>
      </c>
      <c r="F348" s="13">
        <f t="shared" ref="F348:F357" si="23">D348-E348</f>
        <v>4.84</v>
      </c>
      <c r="G348" t="s">
        <v>246</v>
      </c>
      <c r="H348" t="s">
        <v>11</v>
      </c>
      <c r="I348" t="s">
        <v>12</v>
      </c>
      <c r="J348" t="s">
        <v>247</v>
      </c>
      <c r="K348" s="41">
        <v>0.98166666666666669</v>
      </c>
      <c r="L348" s="41"/>
      <c r="M348" s="41"/>
    </row>
    <row r="349" spans="1:13">
      <c r="B349" t="s">
        <v>500</v>
      </c>
      <c r="C349" t="s">
        <v>797</v>
      </c>
      <c r="D349" s="13">
        <v>20</v>
      </c>
      <c r="E349" s="13">
        <v>16.5</v>
      </c>
      <c r="F349" s="13">
        <f t="shared" si="23"/>
        <v>3.5</v>
      </c>
      <c r="G349" t="s">
        <v>246</v>
      </c>
      <c r="H349" t="s">
        <v>11</v>
      </c>
      <c r="I349" t="s">
        <v>12</v>
      </c>
      <c r="J349" t="s">
        <v>250</v>
      </c>
      <c r="K349" s="41">
        <v>0.71250000000000002</v>
      </c>
      <c r="L349" s="41"/>
      <c r="M349" s="41"/>
    </row>
    <row r="350" spans="1:13">
      <c r="B350" t="s">
        <v>285</v>
      </c>
      <c r="C350" t="s">
        <v>728</v>
      </c>
      <c r="D350" s="13">
        <v>79.7</v>
      </c>
      <c r="E350" s="13">
        <v>65.78</v>
      </c>
      <c r="F350" s="13">
        <f t="shared" si="23"/>
        <v>13.920000000000002</v>
      </c>
      <c r="G350" t="s">
        <v>246</v>
      </c>
      <c r="H350" t="s">
        <v>11</v>
      </c>
      <c r="I350" t="s">
        <v>12</v>
      </c>
      <c r="J350" t="s">
        <v>247</v>
      </c>
      <c r="K350" s="41">
        <v>2.8420833333333331</v>
      </c>
      <c r="L350" s="41"/>
      <c r="M350" s="41"/>
    </row>
    <row r="351" spans="1:13">
      <c r="B351" t="s">
        <v>286</v>
      </c>
      <c r="C351" t="s">
        <v>727</v>
      </c>
      <c r="D351" s="13">
        <v>52.3</v>
      </c>
      <c r="E351" s="13">
        <v>43.120000000000005</v>
      </c>
      <c r="F351" s="13">
        <f t="shared" si="23"/>
        <v>9.1799999999999926</v>
      </c>
      <c r="G351" t="s">
        <v>246</v>
      </c>
      <c r="H351" t="s">
        <v>11</v>
      </c>
      <c r="I351" t="s">
        <v>12</v>
      </c>
      <c r="J351" t="s">
        <v>247</v>
      </c>
      <c r="K351" s="41">
        <v>1.8604166666666666</v>
      </c>
      <c r="L351" s="41"/>
      <c r="M351" s="41"/>
    </row>
    <row r="352" spans="1:13">
      <c r="B352" t="s">
        <v>287</v>
      </c>
      <c r="C352" t="s">
        <v>791</v>
      </c>
      <c r="D352" s="13">
        <v>38</v>
      </c>
      <c r="E352" s="13">
        <v>31.35</v>
      </c>
      <c r="F352" s="13">
        <f t="shared" si="23"/>
        <v>6.6499999999999986</v>
      </c>
      <c r="G352" t="s">
        <v>246</v>
      </c>
      <c r="H352" t="s">
        <v>11</v>
      </c>
      <c r="I352" t="s">
        <v>12</v>
      </c>
      <c r="J352" t="s">
        <v>250</v>
      </c>
      <c r="K352" s="41">
        <v>1.3537499999999998</v>
      </c>
      <c r="L352" s="41"/>
      <c r="M352" s="41"/>
    </row>
    <row r="353" spans="1:13">
      <c r="B353" t="s">
        <v>288</v>
      </c>
      <c r="C353" t="s">
        <v>729</v>
      </c>
      <c r="D353" s="13">
        <v>38</v>
      </c>
      <c r="E353" s="13">
        <v>31.35</v>
      </c>
      <c r="F353" s="13">
        <f t="shared" si="23"/>
        <v>6.6499999999999986</v>
      </c>
      <c r="G353" t="s">
        <v>246</v>
      </c>
      <c r="H353" t="s">
        <v>11</v>
      </c>
      <c r="I353" t="s">
        <v>12</v>
      </c>
      <c r="J353" t="s">
        <v>250</v>
      </c>
      <c r="K353" s="41">
        <v>1.3537499999999998</v>
      </c>
      <c r="L353" s="41"/>
      <c r="M353" s="41"/>
    </row>
    <row r="354" spans="1:13">
      <c r="B354" t="s">
        <v>517</v>
      </c>
      <c r="C354" t="s">
        <v>358</v>
      </c>
      <c r="D354" s="13">
        <v>35.799999999999997</v>
      </c>
      <c r="E354" s="13">
        <v>29.48</v>
      </c>
      <c r="F354" s="13">
        <f t="shared" si="23"/>
        <v>6.3199999999999967</v>
      </c>
      <c r="G354" t="s">
        <v>246</v>
      </c>
      <c r="H354" t="s">
        <v>11</v>
      </c>
      <c r="I354" t="s">
        <v>12</v>
      </c>
      <c r="J354" t="s">
        <v>247</v>
      </c>
      <c r="K354" s="41">
        <v>1.2745833333333334</v>
      </c>
      <c r="L354" s="41"/>
      <c r="M354" s="41"/>
    </row>
    <row r="355" spans="1:13">
      <c r="B355" t="s">
        <v>518</v>
      </c>
      <c r="C355" t="s">
        <v>359</v>
      </c>
      <c r="D355" s="13">
        <v>26</v>
      </c>
      <c r="E355" s="13">
        <v>21.45</v>
      </c>
      <c r="F355" s="13">
        <f t="shared" si="23"/>
        <v>4.5500000000000007</v>
      </c>
      <c r="G355" t="s">
        <v>246</v>
      </c>
      <c r="H355" t="s">
        <v>11</v>
      </c>
      <c r="I355" t="s">
        <v>12</v>
      </c>
      <c r="J355" t="s">
        <v>250</v>
      </c>
      <c r="K355" s="41">
        <v>0.92624999999999991</v>
      </c>
      <c r="L355" s="41"/>
      <c r="M355" s="41"/>
    </row>
    <row r="356" spans="1:13">
      <c r="B356" t="s">
        <v>1150</v>
      </c>
      <c r="C356" t="s">
        <v>1149</v>
      </c>
      <c r="D356" s="13">
        <v>74.3</v>
      </c>
      <c r="E356" s="13">
        <v>61.27</v>
      </c>
      <c r="F356" s="13">
        <f t="shared" si="23"/>
        <v>13.029999999999994</v>
      </c>
      <c r="G356" t="s">
        <v>246</v>
      </c>
      <c r="H356" t="s">
        <v>11</v>
      </c>
      <c r="I356" t="s">
        <v>12</v>
      </c>
      <c r="J356" t="s">
        <v>247</v>
      </c>
      <c r="K356" s="41">
        <v>2.6441666666666666</v>
      </c>
      <c r="L356" s="41"/>
      <c r="M356" s="41"/>
    </row>
    <row r="357" spans="1:13">
      <c r="B357" t="s">
        <v>1152</v>
      </c>
      <c r="C357" t="s">
        <v>1151</v>
      </c>
      <c r="D357" s="13">
        <v>54</v>
      </c>
      <c r="E357" s="13">
        <v>44.55</v>
      </c>
      <c r="F357" s="13">
        <f t="shared" si="23"/>
        <v>9.4500000000000028</v>
      </c>
      <c r="G357" t="s">
        <v>246</v>
      </c>
      <c r="H357" t="s">
        <v>11</v>
      </c>
      <c r="I357" t="s">
        <v>12</v>
      </c>
      <c r="J357" t="s">
        <v>250</v>
      </c>
      <c r="K357" s="41">
        <v>1.9237500000000001</v>
      </c>
      <c r="L357" s="41"/>
      <c r="M357" s="41"/>
    </row>
    <row r="358" spans="1:13">
      <c r="K358" s="41"/>
      <c r="L358" s="41"/>
      <c r="M358" s="41"/>
    </row>
    <row r="359" spans="1:13">
      <c r="K359" s="41"/>
      <c r="L359" s="41"/>
      <c r="M359" s="41"/>
    </row>
    <row r="360" spans="1:13">
      <c r="A360" s="4" t="s">
        <v>1250</v>
      </c>
      <c r="B360" t="s">
        <v>694</v>
      </c>
      <c r="C360" t="s">
        <v>693</v>
      </c>
      <c r="D360" s="13">
        <v>11</v>
      </c>
      <c r="E360" s="13">
        <v>9.1300000000000008</v>
      </c>
      <c r="F360" s="13">
        <f t="shared" ref="F360:F364" si="24">D360-E360</f>
        <v>1.8699999999999992</v>
      </c>
      <c r="G360" t="s">
        <v>246</v>
      </c>
      <c r="H360" t="s">
        <v>11</v>
      </c>
      <c r="I360" t="s">
        <v>12</v>
      </c>
      <c r="J360" t="s">
        <v>247</v>
      </c>
      <c r="K360" s="41">
        <v>0.39583333333333331</v>
      </c>
      <c r="L360" s="41"/>
      <c r="M360" s="41"/>
    </row>
    <row r="361" spans="1:13">
      <c r="B361" t="s">
        <v>696</v>
      </c>
      <c r="C361" t="s">
        <v>695</v>
      </c>
      <c r="D361" s="13">
        <v>8</v>
      </c>
      <c r="E361" s="13">
        <v>6.6</v>
      </c>
      <c r="F361" s="13">
        <f t="shared" si="24"/>
        <v>1.4000000000000004</v>
      </c>
      <c r="G361" t="s">
        <v>246</v>
      </c>
      <c r="H361" t="s">
        <v>11</v>
      </c>
      <c r="I361" t="s">
        <v>12</v>
      </c>
      <c r="J361" t="s">
        <v>250</v>
      </c>
      <c r="K361" s="41">
        <v>0.28499999999999998</v>
      </c>
      <c r="L361" s="41"/>
      <c r="M361" s="41"/>
    </row>
    <row r="362" spans="1:13">
      <c r="B362" t="s">
        <v>921</v>
      </c>
      <c r="C362" t="s">
        <v>920</v>
      </c>
      <c r="D362" s="13">
        <v>4.8</v>
      </c>
      <c r="E362" s="13">
        <v>3.96</v>
      </c>
      <c r="F362" s="13">
        <f t="shared" si="24"/>
        <v>0.83999999999999986</v>
      </c>
      <c r="G362" t="s">
        <v>246</v>
      </c>
      <c r="H362" t="s">
        <v>11</v>
      </c>
      <c r="I362" t="s">
        <v>12</v>
      </c>
      <c r="J362" t="s">
        <v>928</v>
      </c>
      <c r="K362" s="41">
        <v>0.23749999999999999</v>
      </c>
      <c r="L362" s="41"/>
      <c r="M362" s="41"/>
    </row>
    <row r="363" spans="1:13">
      <c r="B363" t="s">
        <v>698</v>
      </c>
      <c r="C363" t="s">
        <v>697</v>
      </c>
      <c r="D363" s="13">
        <v>11</v>
      </c>
      <c r="E363" s="13">
        <v>9.1300000000000008</v>
      </c>
      <c r="F363" s="13">
        <f t="shared" si="24"/>
        <v>1.8699999999999992</v>
      </c>
      <c r="G363" t="s">
        <v>246</v>
      </c>
      <c r="H363" t="s">
        <v>11</v>
      </c>
      <c r="I363" t="s">
        <v>12</v>
      </c>
      <c r="J363" t="s">
        <v>247</v>
      </c>
      <c r="K363" s="41">
        <v>0.39583333333333331</v>
      </c>
      <c r="L363" s="41"/>
      <c r="M363" s="41"/>
    </row>
    <row r="364" spans="1:13">
      <c r="B364" t="s">
        <v>700</v>
      </c>
      <c r="C364" t="s">
        <v>699</v>
      </c>
      <c r="D364" s="13">
        <v>8</v>
      </c>
      <c r="E364" s="13">
        <v>6.6</v>
      </c>
      <c r="F364" s="13">
        <f t="shared" si="24"/>
        <v>1.4000000000000004</v>
      </c>
      <c r="G364" t="s">
        <v>246</v>
      </c>
      <c r="H364" t="s">
        <v>11</v>
      </c>
      <c r="I364" t="s">
        <v>12</v>
      </c>
      <c r="J364" t="s">
        <v>250</v>
      </c>
      <c r="K364" s="41">
        <v>0.28499999999999998</v>
      </c>
      <c r="L364" s="41"/>
      <c r="M364" s="41"/>
    </row>
    <row r="365" spans="1:13">
      <c r="K365" s="41"/>
      <c r="L365" s="41"/>
      <c r="M365" s="41"/>
    </row>
    <row r="366" spans="1:13">
      <c r="A366" s="4" t="s">
        <v>1229</v>
      </c>
      <c r="C366" s="2" t="s">
        <v>112</v>
      </c>
      <c r="K366" s="41"/>
      <c r="L366" s="41"/>
      <c r="M366" s="41"/>
    </row>
    <row r="367" spans="1:13">
      <c r="B367" t="s">
        <v>269</v>
      </c>
      <c r="C367" t="s">
        <v>724</v>
      </c>
      <c r="D367" s="13">
        <v>79.7</v>
      </c>
      <c r="E367" s="13">
        <v>65.78</v>
      </c>
      <c r="F367" s="13">
        <f t="shared" ref="F367:F372" si="25">D367-E367</f>
        <v>13.920000000000002</v>
      </c>
      <c r="G367" t="s">
        <v>246</v>
      </c>
      <c r="H367" t="s">
        <v>11</v>
      </c>
      <c r="I367" t="s">
        <v>12</v>
      </c>
      <c r="J367" t="s">
        <v>247</v>
      </c>
      <c r="K367" s="41">
        <v>2.8420833333333331</v>
      </c>
      <c r="L367" s="41"/>
      <c r="M367" s="41"/>
    </row>
    <row r="368" spans="1:13">
      <c r="B368" t="s">
        <v>270</v>
      </c>
      <c r="C368" t="s">
        <v>787</v>
      </c>
      <c r="D368" s="13">
        <v>58</v>
      </c>
      <c r="E368" s="13">
        <v>47.85</v>
      </c>
      <c r="F368" s="13">
        <f t="shared" si="25"/>
        <v>10.149999999999999</v>
      </c>
      <c r="G368" t="s">
        <v>246</v>
      </c>
      <c r="H368" t="s">
        <v>11</v>
      </c>
      <c r="I368" t="s">
        <v>12</v>
      </c>
      <c r="J368" t="s">
        <v>250</v>
      </c>
      <c r="K368" s="41">
        <v>2.0662500000000001</v>
      </c>
      <c r="L368" s="41"/>
      <c r="M368" s="41"/>
    </row>
    <row r="369" spans="2:13">
      <c r="B369" t="s">
        <v>271</v>
      </c>
      <c r="C369" t="s">
        <v>723</v>
      </c>
      <c r="D369" s="13">
        <v>52.3</v>
      </c>
      <c r="E369" s="13">
        <v>43.120000000000005</v>
      </c>
      <c r="F369" s="13">
        <f t="shared" si="25"/>
        <v>9.1799999999999926</v>
      </c>
      <c r="G369" t="s">
        <v>246</v>
      </c>
      <c r="H369" t="s">
        <v>11</v>
      </c>
      <c r="I369" t="s">
        <v>12</v>
      </c>
      <c r="J369" t="s">
        <v>247</v>
      </c>
      <c r="K369" s="41">
        <v>1.8604166666666666</v>
      </c>
      <c r="L369" s="41"/>
      <c r="M369" s="41"/>
    </row>
    <row r="370" spans="2:13">
      <c r="B370" t="s">
        <v>272</v>
      </c>
      <c r="C370" t="s">
        <v>786</v>
      </c>
      <c r="D370" s="13">
        <v>38</v>
      </c>
      <c r="E370" s="13">
        <v>31.35</v>
      </c>
      <c r="F370" s="13">
        <f t="shared" si="25"/>
        <v>6.6499999999999986</v>
      </c>
      <c r="G370" t="s">
        <v>246</v>
      </c>
      <c r="H370" t="s">
        <v>11</v>
      </c>
      <c r="I370" t="s">
        <v>12</v>
      </c>
      <c r="J370" t="s">
        <v>250</v>
      </c>
      <c r="K370" s="41">
        <v>1.3537499999999998</v>
      </c>
      <c r="L370" s="41"/>
      <c r="M370" s="41"/>
    </row>
    <row r="371" spans="2:13">
      <c r="B371" t="s">
        <v>472</v>
      </c>
      <c r="C371" t="s">
        <v>471</v>
      </c>
      <c r="D371" s="13">
        <v>27.5</v>
      </c>
      <c r="E371" s="13">
        <v>22.66</v>
      </c>
      <c r="F371" s="13">
        <f t="shared" si="25"/>
        <v>4.84</v>
      </c>
      <c r="G371" t="s">
        <v>246</v>
      </c>
      <c r="H371" t="s">
        <v>11</v>
      </c>
      <c r="I371" t="s">
        <v>12</v>
      </c>
      <c r="J371" t="s">
        <v>247</v>
      </c>
      <c r="K371" s="41">
        <v>0.98166666666666669</v>
      </c>
      <c r="L371" s="41"/>
      <c r="M371" s="41"/>
    </row>
    <row r="372" spans="2:13">
      <c r="B372" t="s">
        <v>474</v>
      </c>
      <c r="C372" t="s">
        <v>473</v>
      </c>
      <c r="D372" s="13">
        <v>20</v>
      </c>
      <c r="E372" s="13">
        <v>15.75</v>
      </c>
      <c r="F372" s="13">
        <f t="shared" si="25"/>
        <v>4.25</v>
      </c>
      <c r="G372" t="s">
        <v>246</v>
      </c>
      <c r="H372" t="s">
        <v>11</v>
      </c>
      <c r="I372" t="s">
        <v>12</v>
      </c>
      <c r="J372" t="s">
        <v>250</v>
      </c>
      <c r="K372" s="41">
        <v>0.71250000000000002</v>
      </c>
      <c r="L372" s="41"/>
      <c r="M372" s="41"/>
    </row>
    <row r="373" spans="2:13">
      <c r="K373" s="41"/>
      <c r="L373" s="41"/>
      <c r="M373" s="41"/>
    </row>
    <row r="374" spans="2:13">
      <c r="B374" t="s">
        <v>670</v>
      </c>
      <c r="C374" t="s">
        <v>669</v>
      </c>
      <c r="D374" s="13">
        <v>11</v>
      </c>
      <c r="E374" s="13">
        <v>9.1300000000000008</v>
      </c>
      <c r="F374" s="13">
        <f t="shared" ref="F374:F377" si="26">D374-E374</f>
        <v>1.8699999999999992</v>
      </c>
      <c r="G374" t="s">
        <v>246</v>
      </c>
      <c r="H374" t="s">
        <v>11</v>
      </c>
      <c r="I374" t="s">
        <v>12</v>
      </c>
      <c r="J374" t="s">
        <v>247</v>
      </c>
      <c r="K374" s="41">
        <v>0.39583333333333331</v>
      </c>
      <c r="L374" s="41"/>
      <c r="M374" s="41"/>
    </row>
    <row r="375" spans="2:13">
      <c r="B375" t="s">
        <v>672</v>
      </c>
      <c r="C375" t="s">
        <v>671</v>
      </c>
      <c r="D375" s="13">
        <v>8</v>
      </c>
      <c r="E375" s="13">
        <v>6.6</v>
      </c>
      <c r="F375" s="13">
        <f t="shared" si="26"/>
        <v>1.4000000000000004</v>
      </c>
      <c r="G375" t="s">
        <v>246</v>
      </c>
      <c r="H375" t="s">
        <v>11</v>
      </c>
      <c r="I375" t="s">
        <v>12</v>
      </c>
      <c r="J375" t="s">
        <v>250</v>
      </c>
      <c r="K375" s="41">
        <v>0.28499999999999998</v>
      </c>
      <c r="L375" s="41"/>
      <c r="M375" s="41"/>
    </row>
    <row r="376" spans="2:13">
      <c r="B376" t="s">
        <v>674</v>
      </c>
      <c r="C376" t="s">
        <v>673</v>
      </c>
      <c r="D376" s="13">
        <v>11</v>
      </c>
      <c r="E376" s="13">
        <v>9.1300000000000008</v>
      </c>
      <c r="F376" s="13">
        <f t="shared" si="26"/>
        <v>1.8699999999999992</v>
      </c>
      <c r="G376" t="s">
        <v>246</v>
      </c>
      <c r="H376" t="s">
        <v>11</v>
      </c>
      <c r="I376" t="s">
        <v>12</v>
      </c>
      <c r="J376" t="s">
        <v>247</v>
      </c>
      <c r="K376" s="41">
        <v>0.39583333333333331</v>
      </c>
      <c r="L376" s="41"/>
      <c r="M376" s="41"/>
    </row>
    <row r="377" spans="2:13" ht="12.75" customHeight="1">
      <c r="B377" t="s">
        <v>676</v>
      </c>
      <c r="C377" t="s">
        <v>675</v>
      </c>
      <c r="D377" s="13">
        <v>8</v>
      </c>
      <c r="E377" s="13">
        <v>6.6</v>
      </c>
      <c r="F377" s="13">
        <f t="shared" si="26"/>
        <v>1.4000000000000004</v>
      </c>
      <c r="G377" t="s">
        <v>246</v>
      </c>
      <c r="H377" t="s">
        <v>11</v>
      </c>
      <c r="I377" t="s">
        <v>12</v>
      </c>
      <c r="J377" t="s">
        <v>250</v>
      </c>
      <c r="K377" s="41">
        <v>0.17416666666666666</v>
      </c>
      <c r="L377" s="41"/>
      <c r="M377" s="41"/>
    </row>
    <row r="378" spans="2:13">
      <c r="B378" t="s">
        <v>906</v>
      </c>
      <c r="C378" t="s">
        <v>907</v>
      </c>
      <c r="D378" s="13">
        <v>6.6</v>
      </c>
      <c r="E378" s="13">
        <v>5.5</v>
      </c>
      <c r="F378" s="13">
        <f>D378-E378</f>
        <v>1.0999999999999996</v>
      </c>
      <c r="G378" t="s">
        <v>246</v>
      </c>
      <c r="H378" t="s">
        <v>11</v>
      </c>
      <c r="I378" t="s">
        <v>12</v>
      </c>
      <c r="J378" t="s">
        <v>247</v>
      </c>
      <c r="K378" s="41">
        <v>0.23749999999999999</v>
      </c>
      <c r="L378" s="41"/>
      <c r="M378" s="41"/>
    </row>
    <row r="379" spans="2:13">
      <c r="B379" t="s">
        <v>908</v>
      </c>
      <c r="C379" t="s">
        <v>909</v>
      </c>
      <c r="D379" s="13">
        <v>4.8</v>
      </c>
      <c r="E379" s="13">
        <v>3.9600000000000004</v>
      </c>
      <c r="F379" s="13">
        <f>D379-E379</f>
        <v>0.83999999999999941</v>
      </c>
      <c r="G379" t="s">
        <v>246</v>
      </c>
      <c r="H379" t="s">
        <v>11</v>
      </c>
      <c r="I379" t="s">
        <v>12</v>
      </c>
      <c r="J379" t="s">
        <v>250</v>
      </c>
      <c r="K379" s="41">
        <v>0.17416666666666666</v>
      </c>
      <c r="L379" s="41"/>
      <c r="M379" s="41"/>
    </row>
    <row r="380" spans="2:13">
      <c r="K380" s="41"/>
      <c r="L380" s="41"/>
      <c r="M380" s="41"/>
    </row>
    <row r="381" spans="2:13">
      <c r="B381" t="s">
        <v>1705</v>
      </c>
      <c r="C381" t="s">
        <v>1704</v>
      </c>
      <c r="D381" s="13">
        <v>160</v>
      </c>
      <c r="E381" s="13">
        <v>132</v>
      </c>
      <c r="F381" s="13">
        <f>D381-E381</f>
        <v>28</v>
      </c>
      <c r="G381" t="s">
        <v>246</v>
      </c>
      <c r="H381" t="s">
        <v>11</v>
      </c>
      <c r="I381" s="50" t="s">
        <v>19</v>
      </c>
      <c r="J381" t="s">
        <v>247</v>
      </c>
      <c r="K381" s="41">
        <v>4.8</v>
      </c>
      <c r="L381" s="41"/>
      <c r="M381" s="41"/>
    </row>
    <row r="382" spans="2:13">
      <c r="B382" t="s">
        <v>1707</v>
      </c>
      <c r="C382" t="s">
        <v>1706</v>
      </c>
      <c r="D382" s="13">
        <v>120</v>
      </c>
      <c r="E382" s="13">
        <v>99</v>
      </c>
      <c r="F382" s="13">
        <f>D382-E382</f>
        <v>21</v>
      </c>
      <c r="G382" t="s">
        <v>246</v>
      </c>
      <c r="H382" t="s">
        <v>11</v>
      </c>
      <c r="I382" s="50" t="s">
        <v>19</v>
      </c>
      <c r="J382" t="s">
        <v>250</v>
      </c>
      <c r="K382" s="41">
        <v>3.6</v>
      </c>
      <c r="L382" s="41"/>
      <c r="M382" s="41"/>
    </row>
    <row r="383" spans="2:13">
      <c r="K383" s="41"/>
      <c r="L383" s="41"/>
      <c r="M383" s="41"/>
    </row>
    <row r="384" spans="2:13">
      <c r="K384" s="41"/>
      <c r="L384" s="41"/>
      <c r="M384" s="41"/>
    </row>
    <row r="385" spans="1:13">
      <c r="A385" s="4" t="s">
        <v>1251</v>
      </c>
      <c r="C385" s="2" t="s">
        <v>115</v>
      </c>
      <c r="K385" s="41"/>
      <c r="L385" s="41"/>
      <c r="M385" s="41"/>
    </row>
    <row r="386" spans="1:13">
      <c r="B386" s="50" t="s">
        <v>1298</v>
      </c>
      <c r="C386" s="50" t="s">
        <v>1297</v>
      </c>
      <c r="D386" s="13">
        <v>16.5</v>
      </c>
      <c r="E386" s="13">
        <v>12.76</v>
      </c>
      <c r="F386" s="13">
        <f>D386-E386</f>
        <v>3.74</v>
      </c>
      <c r="G386" s="50" t="s">
        <v>246</v>
      </c>
      <c r="H386" s="50" t="s">
        <v>11</v>
      </c>
      <c r="I386" s="50" t="s">
        <v>19</v>
      </c>
      <c r="J386" s="50" t="s">
        <v>247</v>
      </c>
      <c r="K386" s="41">
        <v>0.55000000000000004</v>
      </c>
      <c r="L386" s="41"/>
      <c r="M386" s="41"/>
    </row>
    <row r="387" spans="1:13">
      <c r="B387" s="50" t="s">
        <v>1300</v>
      </c>
      <c r="C387" s="50" t="s">
        <v>1299</v>
      </c>
      <c r="D387" s="13">
        <v>16.5</v>
      </c>
      <c r="E387" s="13">
        <v>12.76</v>
      </c>
      <c r="F387" s="13">
        <f t="shared" ref="F387:F393" si="27">D387-E387</f>
        <v>3.74</v>
      </c>
      <c r="G387" s="50" t="s">
        <v>246</v>
      </c>
      <c r="H387" s="50" t="s">
        <v>11</v>
      </c>
      <c r="I387" s="50" t="s">
        <v>19</v>
      </c>
      <c r="J387" s="50" t="s">
        <v>247</v>
      </c>
      <c r="K387" s="41">
        <v>0.55000000000000004</v>
      </c>
      <c r="L387" s="41"/>
      <c r="M387" s="41"/>
    </row>
    <row r="388" spans="1:13">
      <c r="B388" s="50" t="s">
        <v>1302</v>
      </c>
      <c r="C388" s="50" t="s">
        <v>1301</v>
      </c>
      <c r="D388" s="13">
        <v>12</v>
      </c>
      <c r="E388" s="13">
        <v>9.24</v>
      </c>
      <c r="F388" s="13">
        <f t="shared" si="27"/>
        <v>2.76</v>
      </c>
      <c r="G388" s="50" t="s">
        <v>246</v>
      </c>
      <c r="H388" s="50" t="s">
        <v>11</v>
      </c>
      <c r="I388" s="50" t="s">
        <v>19</v>
      </c>
      <c r="J388" s="50" t="s">
        <v>250</v>
      </c>
      <c r="K388" s="41">
        <v>0.4</v>
      </c>
      <c r="L388" s="41"/>
      <c r="M388" s="41"/>
    </row>
    <row r="389" spans="1:13">
      <c r="B389" s="50" t="s">
        <v>1304</v>
      </c>
      <c r="C389" s="50" t="s">
        <v>1303</v>
      </c>
      <c r="D389" s="13">
        <v>12</v>
      </c>
      <c r="E389" s="13">
        <v>9.24</v>
      </c>
      <c r="F389" s="13">
        <f t="shared" si="27"/>
        <v>2.76</v>
      </c>
      <c r="G389" s="50" t="s">
        <v>246</v>
      </c>
      <c r="H389" s="50" t="s">
        <v>11</v>
      </c>
      <c r="I389" s="50" t="s">
        <v>19</v>
      </c>
      <c r="J389" s="50" t="s">
        <v>250</v>
      </c>
      <c r="K389" s="41">
        <v>0.4</v>
      </c>
      <c r="L389" s="41"/>
      <c r="M389" s="41"/>
    </row>
    <row r="390" spans="1:13">
      <c r="B390" s="50" t="s">
        <v>1306</v>
      </c>
      <c r="C390" s="50" t="s">
        <v>1305</v>
      </c>
      <c r="D390" s="13">
        <v>66</v>
      </c>
      <c r="E390" s="13">
        <v>50.82</v>
      </c>
      <c r="F390" s="13">
        <f t="shared" si="27"/>
        <v>15.18</v>
      </c>
      <c r="G390" s="50" t="s">
        <v>246</v>
      </c>
      <c r="H390" s="50" t="s">
        <v>11</v>
      </c>
      <c r="I390" s="50" t="s">
        <v>12</v>
      </c>
      <c r="J390" s="50" t="s">
        <v>247</v>
      </c>
      <c r="K390" s="41">
        <v>2.19</v>
      </c>
      <c r="L390" s="41"/>
      <c r="M390" s="41"/>
    </row>
    <row r="391" spans="1:13">
      <c r="B391" s="50" t="s">
        <v>1308</v>
      </c>
      <c r="C391" s="50" t="s">
        <v>1307</v>
      </c>
      <c r="D391" s="13">
        <v>66</v>
      </c>
      <c r="E391" s="13">
        <v>50.82</v>
      </c>
      <c r="F391" s="13">
        <f t="shared" si="27"/>
        <v>15.18</v>
      </c>
      <c r="G391" s="50" t="s">
        <v>246</v>
      </c>
      <c r="H391" s="50" t="s">
        <v>11</v>
      </c>
      <c r="I391" s="50" t="s">
        <v>12</v>
      </c>
      <c r="J391" s="50" t="s">
        <v>247</v>
      </c>
      <c r="K391" s="41">
        <v>2.19</v>
      </c>
      <c r="L391" s="41"/>
      <c r="M391" s="41"/>
    </row>
    <row r="392" spans="1:13">
      <c r="B392" s="50" t="s">
        <v>1310</v>
      </c>
      <c r="C392" s="50" t="s">
        <v>1309</v>
      </c>
      <c r="D392" s="13">
        <v>48</v>
      </c>
      <c r="E392" s="13">
        <v>36.96</v>
      </c>
      <c r="F392" s="13">
        <f t="shared" si="27"/>
        <v>11.04</v>
      </c>
      <c r="G392" s="50" t="s">
        <v>246</v>
      </c>
      <c r="H392" s="50" t="s">
        <v>11</v>
      </c>
      <c r="I392" s="50" t="s">
        <v>12</v>
      </c>
      <c r="J392" s="50" t="s">
        <v>250</v>
      </c>
      <c r="K392" s="41">
        <v>1.6</v>
      </c>
      <c r="L392" s="41"/>
      <c r="M392" s="41"/>
    </row>
    <row r="393" spans="1:13">
      <c r="B393" s="50" t="s">
        <v>1312</v>
      </c>
      <c r="C393" s="50" t="s">
        <v>1311</v>
      </c>
      <c r="D393" s="13">
        <v>48</v>
      </c>
      <c r="E393" s="13">
        <v>36.96</v>
      </c>
      <c r="F393" s="13">
        <f t="shared" si="27"/>
        <v>11.04</v>
      </c>
      <c r="G393" s="50" t="s">
        <v>246</v>
      </c>
      <c r="H393" s="50" t="s">
        <v>11</v>
      </c>
      <c r="I393" s="50" t="s">
        <v>12</v>
      </c>
      <c r="J393" s="50" t="s">
        <v>250</v>
      </c>
      <c r="K393" s="41">
        <v>1.6</v>
      </c>
      <c r="L393" s="41"/>
      <c r="M393" s="41"/>
    </row>
    <row r="394" spans="1:13">
      <c r="K394" s="41"/>
      <c r="L394" s="41"/>
      <c r="M394" s="41"/>
    </row>
    <row r="395" spans="1:13">
      <c r="A395" s="4" t="s">
        <v>1252</v>
      </c>
      <c r="C395" s="2" t="s">
        <v>116</v>
      </c>
      <c r="K395" s="41"/>
      <c r="L395" s="41"/>
      <c r="M395" s="41"/>
    </row>
    <row r="396" spans="1:13">
      <c r="B396" t="s">
        <v>273</v>
      </c>
      <c r="C396" t="s">
        <v>726</v>
      </c>
      <c r="D396" s="13">
        <v>79.7</v>
      </c>
      <c r="E396" s="13">
        <v>65.78</v>
      </c>
      <c r="F396" s="13">
        <f>D396-E396</f>
        <v>13.920000000000002</v>
      </c>
      <c r="G396" t="s">
        <v>246</v>
      </c>
      <c r="H396" t="s">
        <v>11</v>
      </c>
      <c r="I396" t="s">
        <v>12</v>
      </c>
      <c r="J396" t="s">
        <v>247</v>
      </c>
      <c r="K396" s="41">
        <v>2.8420833333333331</v>
      </c>
      <c r="L396" s="41"/>
      <c r="M396" s="41"/>
    </row>
    <row r="397" spans="1:13">
      <c r="B397" t="s">
        <v>274</v>
      </c>
      <c r="C397" t="s">
        <v>789</v>
      </c>
      <c r="D397" s="13">
        <v>58</v>
      </c>
      <c r="E397" s="13">
        <v>47.85</v>
      </c>
      <c r="F397" s="13">
        <f>D397-E397</f>
        <v>10.149999999999999</v>
      </c>
      <c r="G397" t="s">
        <v>246</v>
      </c>
      <c r="H397" t="s">
        <v>11</v>
      </c>
      <c r="I397" t="s">
        <v>12</v>
      </c>
      <c r="J397" t="s">
        <v>250</v>
      </c>
      <c r="K397" s="41">
        <v>2.0662500000000001</v>
      </c>
      <c r="L397" s="41"/>
      <c r="M397" s="41"/>
    </row>
    <row r="398" spans="1:13">
      <c r="B398" t="s">
        <v>275</v>
      </c>
      <c r="C398" t="s">
        <v>725</v>
      </c>
      <c r="D398" s="13">
        <v>52.3</v>
      </c>
      <c r="E398" s="13">
        <v>43.120000000000005</v>
      </c>
      <c r="F398" s="13">
        <f>D398-E398</f>
        <v>9.1799999999999926</v>
      </c>
      <c r="G398" t="s">
        <v>246</v>
      </c>
      <c r="H398" t="s">
        <v>11</v>
      </c>
      <c r="I398" t="s">
        <v>12</v>
      </c>
      <c r="J398" t="s">
        <v>247</v>
      </c>
      <c r="K398" s="41">
        <v>1.8604166666666666</v>
      </c>
      <c r="L398" s="41"/>
      <c r="M398" s="41"/>
    </row>
    <row r="399" spans="1:13">
      <c r="B399" t="s">
        <v>276</v>
      </c>
      <c r="C399" t="s">
        <v>788</v>
      </c>
      <c r="D399" s="13">
        <v>38</v>
      </c>
      <c r="E399" s="13">
        <v>31.35</v>
      </c>
      <c r="F399" s="13">
        <f>D399-E399</f>
        <v>6.6499999999999986</v>
      </c>
      <c r="G399" t="s">
        <v>246</v>
      </c>
      <c r="H399" t="s">
        <v>11</v>
      </c>
      <c r="I399" t="s">
        <v>12</v>
      </c>
      <c r="J399" t="s">
        <v>250</v>
      </c>
      <c r="K399" s="41">
        <v>1.3537499999999998</v>
      </c>
      <c r="L399" s="41"/>
      <c r="M399" s="41"/>
    </row>
    <row r="400" spans="1:13">
      <c r="K400" s="41"/>
      <c r="L400" s="41"/>
      <c r="M400" s="41"/>
    </row>
    <row r="401" spans="1:13">
      <c r="B401" t="s">
        <v>678</v>
      </c>
      <c r="C401" t="s">
        <v>677</v>
      </c>
      <c r="D401" s="31">
        <v>11</v>
      </c>
      <c r="E401" s="31">
        <v>9.1300000000000008</v>
      </c>
      <c r="F401" s="13">
        <f t="shared" ref="F401:F402" si="28">D401-E401</f>
        <v>1.8699999999999992</v>
      </c>
      <c r="G401" t="s">
        <v>246</v>
      </c>
      <c r="H401" t="s">
        <v>11</v>
      </c>
      <c r="I401" t="s">
        <v>12</v>
      </c>
      <c r="J401" t="s">
        <v>247</v>
      </c>
      <c r="K401" s="41">
        <v>0.39583333333333331</v>
      </c>
      <c r="L401" s="41"/>
      <c r="M401" s="41"/>
    </row>
    <row r="402" spans="1:13">
      <c r="B402" t="s">
        <v>680</v>
      </c>
      <c r="C402" t="s">
        <v>679</v>
      </c>
      <c r="D402" s="31">
        <v>8</v>
      </c>
      <c r="E402" s="31">
        <v>6.6</v>
      </c>
      <c r="F402" s="13">
        <f t="shared" si="28"/>
        <v>1.4000000000000004</v>
      </c>
      <c r="G402" t="s">
        <v>246</v>
      </c>
      <c r="H402" t="s">
        <v>11</v>
      </c>
      <c r="I402" t="s">
        <v>12</v>
      </c>
      <c r="J402" t="s">
        <v>250</v>
      </c>
      <c r="K402" s="41">
        <v>0.28499999999999998</v>
      </c>
      <c r="L402" s="41"/>
      <c r="M402" s="41"/>
    </row>
    <row r="403" spans="1:13">
      <c r="K403" s="41"/>
      <c r="L403" s="41"/>
      <c r="M403" s="41"/>
    </row>
    <row r="404" spans="1:13">
      <c r="A404" s="4" t="s">
        <v>1253</v>
      </c>
      <c r="C404" s="2" t="s">
        <v>975</v>
      </c>
      <c r="K404" s="41"/>
      <c r="L404" s="41"/>
      <c r="M404" s="41"/>
    </row>
    <row r="405" spans="1:13">
      <c r="B405" t="s">
        <v>997</v>
      </c>
      <c r="C405" t="s">
        <v>996</v>
      </c>
      <c r="D405" s="31">
        <v>16.5</v>
      </c>
      <c r="E405" s="13">
        <v>12.76</v>
      </c>
      <c r="F405" s="13">
        <f>D405-E405</f>
        <v>3.74</v>
      </c>
      <c r="G405" t="s">
        <v>246</v>
      </c>
      <c r="H405" t="s">
        <v>11</v>
      </c>
      <c r="I405" t="s">
        <v>12</v>
      </c>
      <c r="J405" t="s">
        <v>247</v>
      </c>
      <c r="K405" s="41">
        <v>0.55416666666666659</v>
      </c>
      <c r="L405" s="41"/>
      <c r="M405" s="41"/>
    </row>
    <row r="406" spans="1:13">
      <c r="B406" t="s">
        <v>999</v>
      </c>
      <c r="C406" t="s">
        <v>998</v>
      </c>
      <c r="D406" s="31">
        <v>12</v>
      </c>
      <c r="E406" s="13">
        <v>9.24</v>
      </c>
      <c r="F406" s="13">
        <f t="shared" ref="F406:F412" si="29">D406-E406</f>
        <v>2.76</v>
      </c>
      <c r="G406" t="s">
        <v>246</v>
      </c>
      <c r="H406" t="s">
        <v>11</v>
      </c>
      <c r="I406" t="s">
        <v>12</v>
      </c>
      <c r="J406" t="s">
        <v>250</v>
      </c>
      <c r="K406" s="41">
        <v>0.39583333333333331</v>
      </c>
      <c r="L406" s="41"/>
      <c r="M406" s="41"/>
    </row>
    <row r="407" spans="1:13">
      <c r="B407" t="s">
        <v>1001</v>
      </c>
      <c r="C407" t="s">
        <v>1000</v>
      </c>
      <c r="D407" s="31">
        <v>66</v>
      </c>
      <c r="E407" s="13">
        <v>50.82</v>
      </c>
      <c r="F407" s="13">
        <f t="shared" si="29"/>
        <v>15.18</v>
      </c>
      <c r="G407" t="s">
        <v>246</v>
      </c>
      <c r="H407" t="s">
        <v>11</v>
      </c>
      <c r="I407" t="s">
        <v>12</v>
      </c>
      <c r="J407" t="s">
        <v>247</v>
      </c>
      <c r="K407" s="41">
        <v>2.1929166666666666</v>
      </c>
      <c r="L407" s="41"/>
      <c r="M407" s="41"/>
    </row>
    <row r="408" spans="1:13">
      <c r="B408" t="s">
        <v>1003</v>
      </c>
      <c r="C408" t="s">
        <v>1002</v>
      </c>
      <c r="D408" s="31">
        <v>48</v>
      </c>
      <c r="E408" s="13">
        <v>36.96</v>
      </c>
      <c r="F408" s="13">
        <f t="shared" si="29"/>
        <v>11.04</v>
      </c>
      <c r="G408" t="s">
        <v>246</v>
      </c>
      <c r="H408" t="s">
        <v>11</v>
      </c>
      <c r="I408" t="s">
        <v>12</v>
      </c>
      <c r="J408" t="s">
        <v>250</v>
      </c>
      <c r="K408" s="41">
        <v>1.5991666666666666</v>
      </c>
      <c r="L408" s="41"/>
      <c r="M408" s="41"/>
    </row>
    <row r="409" spans="1:13">
      <c r="B409" t="s">
        <v>1005</v>
      </c>
      <c r="C409" t="s">
        <v>1004</v>
      </c>
      <c r="D409" s="31">
        <v>770</v>
      </c>
      <c r="E409" s="13">
        <v>592.9</v>
      </c>
      <c r="F409" s="13">
        <f t="shared" si="29"/>
        <v>177.10000000000002</v>
      </c>
      <c r="G409" t="s">
        <v>246</v>
      </c>
      <c r="H409" t="s">
        <v>11</v>
      </c>
      <c r="I409" t="s">
        <v>19</v>
      </c>
      <c r="J409" t="s">
        <v>247</v>
      </c>
      <c r="K409" s="41">
        <v>25.602500000000003</v>
      </c>
      <c r="L409" s="41"/>
      <c r="M409" s="41"/>
    </row>
    <row r="410" spans="1:13">
      <c r="B410" t="s">
        <v>1007</v>
      </c>
      <c r="C410" t="s">
        <v>1006</v>
      </c>
      <c r="D410" s="31">
        <v>560</v>
      </c>
      <c r="E410" s="13">
        <v>431.2</v>
      </c>
      <c r="F410" s="13">
        <f t="shared" si="29"/>
        <v>128.80000000000001</v>
      </c>
      <c r="G410" t="s">
        <v>246</v>
      </c>
      <c r="H410" t="s">
        <v>11</v>
      </c>
      <c r="I410" t="s">
        <v>19</v>
      </c>
      <c r="J410" t="s">
        <v>250</v>
      </c>
      <c r="K410" s="41">
        <v>18.62</v>
      </c>
      <c r="L410" s="41"/>
      <c r="M410" s="41"/>
    </row>
    <row r="411" spans="1:13">
      <c r="B411" t="s">
        <v>1009</v>
      </c>
      <c r="C411" t="s">
        <v>1008</v>
      </c>
      <c r="D411" s="31">
        <v>2.2000000000000002</v>
      </c>
      <c r="E411" s="13">
        <v>1.694</v>
      </c>
      <c r="F411" s="13">
        <f t="shared" si="29"/>
        <v>0.50600000000000023</v>
      </c>
      <c r="G411" t="s">
        <v>246</v>
      </c>
      <c r="H411" t="s">
        <v>11</v>
      </c>
      <c r="I411" t="s">
        <v>19</v>
      </c>
      <c r="J411" t="s">
        <v>247</v>
      </c>
      <c r="K411" s="41">
        <v>7.1249999999999994E-2</v>
      </c>
      <c r="L411" s="41"/>
      <c r="M411" s="41"/>
    </row>
    <row r="412" spans="1:13">
      <c r="B412" t="s">
        <v>1011</v>
      </c>
      <c r="C412" t="s">
        <v>1010</v>
      </c>
      <c r="D412" s="31">
        <v>1.6</v>
      </c>
      <c r="E412" s="13">
        <v>1.2320000000000002</v>
      </c>
      <c r="F412" s="13">
        <f t="shared" si="29"/>
        <v>0.36799999999999988</v>
      </c>
      <c r="G412" t="s">
        <v>246</v>
      </c>
      <c r="H412" t="s">
        <v>11</v>
      </c>
      <c r="I412" t="s">
        <v>19</v>
      </c>
      <c r="J412" t="s">
        <v>250</v>
      </c>
      <c r="K412" s="41">
        <v>5.541666666666667E-2</v>
      </c>
      <c r="L412" s="41"/>
      <c r="M412" s="41"/>
    </row>
    <row r="413" spans="1:13">
      <c r="K413" s="41"/>
      <c r="L413" s="41"/>
      <c r="M413" s="41"/>
    </row>
    <row r="414" spans="1:13">
      <c r="K414" s="41"/>
      <c r="L414" s="41"/>
      <c r="M414" s="41"/>
    </row>
    <row r="415" spans="1:13">
      <c r="C415" s="2" t="s">
        <v>237</v>
      </c>
      <c r="K415" s="41"/>
      <c r="L415" s="41"/>
      <c r="M415" s="41"/>
    </row>
    <row r="416" spans="1:13">
      <c r="B416" t="s">
        <v>1824</v>
      </c>
      <c r="C416" t="s">
        <v>1745</v>
      </c>
      <c r="D416" s="13">
        <v>165</v>
      </c>
      <c r="E416" s="13">
        <v>127.05</v>
      </c>
      <c r="F416" s="13">
        <f>D416-E416</f>
        <v>37.950000000000003</v>
      </c>
      <c r="G416" t="s">
        <v>246</v>
      </c>
      <c r="H416" t="s">
        <v>11</v>
      </c>
      <c r="I416" t="s">
        <v>12</v>
      </c>
      <c r="J416" t="s">
        <v>247</v>
      </c>
      <c r="K416" s="41">
        <v>5.48</v>
      </c>
      <c r="L416" s="41"/>
      <c r="M416" s="41"/>
    </row>
    <row r="417" spans="1:13">
      <c r="B417" t="s">
        <v>1825</v>
      </c>
      <c r="C417" t="s">
        <v>1744</v>
      </c>
      <c r="D417" s="13">
        <v>120</v>
      </c>
      <c r="E417" s="13">
        <v>92.4</v>
      </c>
      <c r="F417" s="13">
        <f t="shared" ref="F417:F419" si="30">D417-E417</f>
        <v>27.599999999999994</v>
      </c>
      <c r="G417" t="s">
        <v>246</v>
      </c>
      <c r="H417" t="s">
        <v>11</v>
      </c>
      <c r="I417" t="s">
        <v>12</v>
      </c>
      <c r="J417" t="s">
        <v>250</v>
      </c>
      <c r="K417" s="41">
        <v>3.99</v>
      </c>
      <c r="L417" s="41"/>
      <c r="M417" s="41"/>
    </row>
    <row r="418" spans="1:13">
      <c r="B418" t="s">
        <v>1826</v>
      </c>
      <c r="C418" t="s">
        <v>1822</v>
      </c>
      <c r="D418" s="13">
        <v>0</v>
      </c>
      <c r="E418" s="13">
        <v>0</v>
      </c>
      <c r="F418" s="13">
        <f t="shared" si="30"/>
        <v>0</v>
      </c>
      <c r="G418" t="s">
        <v>246</v>
      </c>
      <c r="H418" t="s">
        <v>11</v>
      </c>
      <c r="I418" t="s">
        <v>12</v>
      </c>
      <c r="J418" t="s">
        <v>247</v>
      </c>
      <c r="K418" s="41"/>
      <c r="L418" s="41"/>
      <c r="M418" s="41"/>
    </row>
    <row r="419" spans="1:13">
      <c r="B419" t="s">
        <v>1827</v>
      </c>
      <c r="C419" t="s">
        <v>1823</v>
      </c>
      <c r="D419" s="13">
        <v>0</v>
      </c>
      <c r="E419" s="13">
        <v>0</v>
      </c>
      <c r="F419" s="13">
        <f t="shared" si="30"/>
        <v>0</v>
      </c>
      <c r="G419" t="s">
        <v>246</v>
      </c>
      <c r="H419" t="s">
        <v>11</v>
      </c>
      <c r="I419" t="s">
        <v>12</v>
      </c>
      <c r="J419" t="s">
        <v>250</v>
      </c>
      <c r="K419" s="41"/>
      <c r="L419" s="41"/>
      <c r="M419" s="41"/>
    </row>
    <row r="420" spans="1:13">
      <c r="C420" s="56"/>
      <c r="K420" s="41"/>
      <c r="L420" s="41"/>
      <c r="M420" s="41"/>
    </row>
    <row r="421" spans="1:13">
      <c r="A421" s="4" t="s">
        <v>1255</v>
      </c>
      <c r="C421" s="2" t="s">
        <v>204</v>
      </c>
      <c r="K421" s="41"/>
      <c r="L421" s="41"/>
      <c r="M421" s="41"/>
    </row>
    <row r="422" spans="1:13">
      <c r="B422" t="s">
        <v>297</v>
      </c>
      <c r="C422" t="s">
        <v>366</v>
      </c>
      <c r="D422" s="13">
        <v>0.75</v>
      </c>
      <c r="E422" s="13">
        <v>0.66</v>
      </c>
      <c r="F422" s="13">
        <f>D422-E422</f>
        <v>8.9999999999999969E-2</v>
      </c>
      <c r="G422" t="s">
        <v>246</v>
      </c>
      <c r="H422" t="s">
        <v>11</v>
      </c>
      <c r="I422" t="s">
        <v>12</v>
      </c>
      <c r="J422" t="s">
        <v>247</v>
      </c>
      <c r="K422" s="41">
        <v>1.5833333333333335E-2</v>
      </c>
      <c r="L422" s="41"/>
      <c r="M422" s="41"/>
    </row>
    <row r="423" spans="1:13">
      <c r="B423" t="s">
        <v>298</v>
      </c>
      <c r="C423" t="s">
        <v>367</v>
      </c>
      <c r="D423" s="13">
        <v>0.75</v>
      </c>
      <c r="E423" s="13">
        <v>0.66</v>
      </c>
      <c r="F423" s="13">
        <f>D423-E423</f>
        <v>8.9999999999999969E-2</v>
      </c>
      <c r="G423" t="s">
        <v>246</v>
      </c>
      <c r="H423" t="s">
        <v>11</v>
      </c>
      <c r="I423" t="s">
        <v>12</v>
      </c>
      <c r="J423" t="s">
        <v>250</v>
      </c>
      <c r="K423" s="41">
        <v>1.5833333333333335E-2</v>
      </c>
      <c r="L423" s="41"/>
      <c r="M423" s="41"/>
    </row>
    <row r="424" spans="1:13">
      <c r="B424" t="s">
        <v>540</v>
      </c>
      <c r="C424" t="s">
        <v>539</v>
      </c>
      <c r="D424" s="13" t="s">
        <v>541</v>
      </c>
      <c r="E424" s="13" t="s">
        <v>541</v>
      </c>
      <c r="F424" s="13" t="s">
        <v>541</v>
      </c>
      <c r="G424" t="s">
        <v>246</v>
      </c>
      <c r="H424" t="s">
        <v>11</v>
      </c>
      <c r="I424" t="s">
        <v>12</v>
      </c>
      <c r="J424" t="s">
        <v>250</v>
      </c>
      <c r="K424" s="41">
        <v>0</v>
      </c>
      <c r="L424" s="41"/>
      <c r="M424" s="41"/>
    </row>
    <row r="425" spans="1:13">
      <c r="B425" t="s">
        <v>2421</v>
      </c>
      <c r="C425" t="s">
        <v>2417</v>
      </c>
      <c r="D425" s="13">
        <v>0.8</v>
      </c>
      <c r="E425" s="13">
        <v>0.70399999999999996</v>
      </c>
      <c r="F425" s="13">
        <f>D425-E425</f>
        <v>9.6000000000000085E-2</v>
      </c>
      <c r="G425" t="s">
        <v>246</v>
      </c>
      <c r="H425" t="s">
        <v>11</v>
      </c>
      <c r="I425" t="s">
        <v>12</v>
      </c>
      <c r="J425" t="s">
        <v>247</v>
      </c>
      <c r="K425" s="41"/>
      <c r="L425" s="41"/>
      <c r="M425" s="41"/>
    </row>
    <row r="426" spans="1:13">
      <c r="B426" t="s">
        <v>2422</v>
      </c>
      <c r="C426" t="s">
        <v>2418</v>
      </c>
      <c r="D426" s="13">
        <v>0.6</v>
      </c>
      <c r="E426" s="13">
        <v>0.52800000000000002</v>
      </c>
      <c r="F426" s="13">
        <f t="shared" ref="F426:F430" si="31">D426-E426</f>
        <v>7.1999999999999953E-2</v>
      </c>
      <c r="G426" t="s">
        <v>246</v>
      </c>
      <c r="H426" t="s">
        <v>11</v>
      </c>
      <c r="I426" t="s">
        <v>12</v>
      </c>
      <c r="J426" t="s">
        <v>250</v>
      </c>
      <c r="K426" s="41"/>
      <c r="L426" s="41"/>
      <c r="M426" s="41"/>
    </row>
    <row r="427" spans="1:13">
      <c r="B427" t="s">
        <v>2423</v>
      </c>
      <c r="C427" t="s">
        <v>2419</v>
      </c>
      <c r="D427" s="13">
        <v>2</v>
      </c>
      <c r="E427" s="13">
        <v>1.7600000000000002</v>
      </c>
      <c r="F427" s="13">
        <f t="shared" si="31"/>
        <v>0.23999999999999977</v>
      </c>
      <c r="G427" t="s">
        <v>246</v>
      </c>
      <c r="H427" t="s">
        <v>11</v>
      </c>
      <c r="I427" t="s">
        <v>12</v>
      </c>
      <c r="J427" t="s">
        <v>247</v>
      </c>
      <c r="K427" s="41"/>
      <c r="L427" s="41"/>
      <c r="M427" s="41"/>
    </row>
    <row r="428" spans="1:13">
      <c r="B428" t="s">
        <v>2424</v>
      </c>
      <c r="C428" t="s">
        <v>2420</v>
      </c>
      <c r="D428" s="13">
        <v>1.5</v>
      </c>
      <c r="E428" s="13">
        <v>1.3199999999999998</v>
      </c>
      <c r="F428" s="13">
        <f t="shared" si="31"/>
        <v>0.18000000000000016</v>
      </c>
      <c r="G428" t="s">
        <v>246</v>
      </c>
      <c r="H428" t="s">
        <v>11</v>
      </c>
      <c r="I428" t="s">
        <v>12</v>
      </c>
      <c r="J428" t="s">
        <v>250</v>
      </c>
      <c r="K428" s="41"/>
      <c r="L428" s="41"/>
      <c r="M428" s="41"/>
    </row>
    <row r="429" spans="1:13">
      <c r="B429" t="s">
        <v>2442</v>
      </c>
      <c r="C429" t="s">
        <v>2440</v>
      </c>
      <c r="D429" s="13">
        <v>0.6</v>
      </c>
      <c r="E429" s="13">
        <v>0.53</v>
      </c>
      <c r="F429" s="13">
        <f t="shared" si="31"/>
        <v>6.9999999999999951E-2</v>
      </c>
      <c r="G429" t="s">
        <v>246</v>
      </c>
      <c r="H429" t="s">
        <v>11</v>
      </c>
      <c r="I429" t="s">
        <v>12</v>
      </c>
      <c r="J429" t="s">
        <v>247</v>
      </c>
      <c r="K429" s="41"/>
      <c r="L429" s="41"/>
      <c r="M429" s="41"/>
    </row>
    <row r="430" spans="1:13">
      <c r="B430" t="s">
        <v>2443</v>
      </c>
      <c r="C430" t="s">
        <v>2441</v>
      </c>
      <c r="D430" s="13">
        <v>0.45</v>
      </c>
      <c r="E430" s="13">
        <v>0.4</v>
      </c>
      <c r="F430" s="13">
        <f t="shared" si="31"/>
        <v>4.9999999999999989E-2</v>
      </c>
      <c r="G430" t="s">
        <v>246</v>
      </c>
      <c r="H430" t="s">
        <v>11</v>
      </c>
      <c r="I430" t="s">
        <v>12</v>
      </c>
      <c r="J430" t="s">
        <v>250</v>
      </c>
      <c r="K430" s="41"/>
      <c r="L430" s="41"/>
      <c r="M430" s="41"/>
    </row>
    <row r="431" spans="1:13">
      <c r="F431" s="13" t="s">
        <v>541</v>
      </c>
      <c r="K431" s="41"/>
      <c r="L431" s="41"/>
      <c r="M431" s="41"/>
    </row>
    <row r="432" spans="1:13">
      <c r="A432" s="4" t="s">
        <v>1256</v>
      </c>
      <c r="C432" s="2" t="s">
        <v>191</v>
      </c>
      <c r="K432" s="41"/>
      <c r="L432" s="41"/>
      <c r="M432" s="41"/>
    </row>
    <row r="433" spans="1:91">
      <c r="B433" t="s">
        <v>299</v>
      </c>
      <c r="C433" t="s">
        <v>368</v>
      </c>
      <c r="D433" s="13">
        <v>0.5</v>
      </c>
      <c r="E433" s="13">
        <v>0.44</v>
      </c>
      <c r="F433" s="13">
        <f>D433-E433</f>
        <v>0.06</v>
      </c>
      <c r="G433" t="s">
        <v>246</v>
      </c>
      <c r="H433" t="s">
        <v>11</v>
      </c>
      <c r="I433" t="s">
        <v>19</v>
      </c>
      <c r="J433" t="s">
        <v>247</v>
      </c>
      <c r="K433" s="41">
        <v>1.5833333333333335E-2</v>
      </c>
      <c r="L433" s="41"/>
      <c r="M433" s="41"/>
    </row>
    <row r="434" spans="1:91">
      <c r="B434" t="s">
        <v>300</v>
      </c>
      <c r="C434" t="s">
        <v>369</v>
      </c>
      <c r="D434" s="13">
        <v>0.38</v>
      </c>
      <c r="E434" s="13">
        <v>0.32999999999999996</v>
      </c>
      <c r="F434" s="13">
        <f>D434-E434</f>
        <v>5.0000000000000044E-2</v>
      </c>
      <c r="G434" t="s">
        <v>246</v>
      </c>
      <c r="H434" t="s">
        <v>11</v>
      </c>
      <c r="I434" t="s">
        <v>19</v>
      </c>
      <c r="J434" t="s">
        <v>250</v>
      </c>
      <c r="K434" s="41">
        <v>7.9166666666666673E-3</v>
      </c>
      <c r="L434" s="41"/>
      <c r="M434" s="41"/>
    </row>
    <row r="435" spans="1:91">
      <c r="B435" t="s">
        <v>301</v>
      </c>
      <c r="C435" t="s">
        <v>370</v>
      </c>
      <c r="D435" s="13">
        <v>25</v>
      </c>
      <c r="E435" s="13">
        <v>22.04</v>
      </c>
      <c r="F435" s="13">
        <f>D435-E435</f>
        <v>2.9600000000000009</v>
      </c>
      <c r="G435" t="s">
        <v>246</v>
      </c>
      <c r="H435" t="s">
        <v>11</v>
      </c>
      <c r="I435" t="s">
        <v>19</v>
      </c>
      <c r="J435" t="s">
        <v>247</v>
      </c>
      <c r="K435" s="41">
        <v>0.6333333333333333</v>
      </c>
      <c r="L435" s="41"/>
      <c r="M435" s="41"/>
    </row>
    <row r="436" spans="1:91" s="11" customFormat="1">
      <c r="A436"/>
      <c r="B436" t="s">
        <v>302</v>
      </c>
      <c r="C436" t="s">
        <v>371</v>
      </c>
      <c r="D436" s="13">
        <v>15</v>
      </c>
      <c r="E436" s="13">
        <v>13.2</v>
      </c>
      <c r="F436" s="13">
        <f>D436-E436</f>
        <v>1.8000000000000007</v>
      </c>
      <c r="G436" t="s">
        <v>246</v>
      </c>
      <c r="H436" t="s">
        <v>11</v>
      </c>
      <c r="I436" t="s">
        <v>19</v>
      </c>
      <c r="J436" t="s">
        <v>250</v>
      </c>
      <c r="K436" s="41">
        <v>0.38</v>
      </c>
      <c r="L436" s="41"/>
      <c r="M436" s="41"/>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c r="CA436"/>
      <c r="CB436"/>
      <c r="CC436"/>
      <c r="CD436"/>
      <c r="CE436"/>
      <c r="CF436"/>
      <c r="CG436"/>
      <c r="CH436"/>
      <c r="CI436"/>
      <c r="CJ436"/>
      <c r="CK436"/>
      <c r="CL436"/>
      <c r="CM436"/>
    </row>
    <row r="437" spans="1:91">
      <c r="B437" t="s">
        <v>810</v>
      </c>
      <c r="C437" t="s">
        <v>809</v>
      </c>
      <c r="D437" s="13">
        <v>0.43</v>
      </c>
      <c r="E437" s="13">
        <v>0.37</v>
      </c>
      <c r="F437" s="13">
        <f>D437-E437</f>
        <v>0.06</v>
      </c>
      <c r="G437" t="s">
        <v>246</v>
      </c>
      <c r="H437" t="s">
        <v>11</v>
      </c>
      <c r="I437" t="s">
        <v>12</v>
      </c>
      <c r="J437" t="s">
        <v>247</v>
      </c>
      <c r="K437" s="41">
        <v>7.9166666666666673E-3</v>
      </c>
      <c r="L437" s="41"/>
      <c r="M437" s="41"/>
    </row>
    <row r="438" spans="1:91">
      <c r="K438" s="41">
        <v>0</v>
      </c>
      <c r="L438" s="41"/>
      <c r="M438" s="41"/>
    </row>
    <row r="439" spans="1:91">
      <c r="A439" s="4" t="s">
        <v>244</v>
      </c>
      <c r="C439" s="2" t="s">
        <v>234</v>
      </c>
      <c r="K439" s="41">
        <v>0</v>
      </c>
      <c r="L439" s="41"/>
      <c r="M439" s="41"/>
    </row>
    <row r="440" spans="1:91">
      <c r="B440" t="s">
        <v>712</v>
      </c>
      <c r="C440" t="s">
        <v>711</v>
      </c>
      <c r="D440" s="13">
        <v>55</v>
      </c>
      <c r="E440" s="13">
        <v>45.43</v>
      </c>
      <c r="F440" s="13">
        <f t="shared" ref="F440:F442" si="32">D440-E440</f>
        <v>9.57</v>
      </c>
      <c r="G440" t="s">
        <v>246</v>
      </c>
      <c r="H440" t="s">
        <v>11</v>
      </c>
      <c r="I440" t="s">
        <v>12</v>
      </c>
      <c r="J440" t="s">
        <v>247</v>
      </c>
      <c r="K440" s="41">
        <v>1.3062499999999999</v>
      </c>
      <c r="L440" s="41"/>
      <c r="M440" s="41"/>
    </row>
    <row r="441" spans="1:91">
      <c r="B441" t="s">
        <v>714</v>
      </c>
      <c r="C441" t="s">
        <v>713</v>
      </c>
      <c r="D441" s="13">
        <v>8.3000000000000007</v>
      </c>
      <c r="E441" s="13">
        <v>6.82</v>
      </c>
      <c r="F441" s="13">
        <f t="shared" si="32"/>
        <v>1.4800000000000004</v>
      </c>
      <c r="G441" t="s">
        <v>246</v>
      </c>
      <c r="H441" t="s">
        <v>11</v>
      </c>
      <c r="I441" t="s">
        <v>12</v>
      </c>
      <c r="J441" t="s">
        <v>247</v>
      </c>
      <c r="K441" s="41">
        <v>0.19791666666666666</v>
      </c>
      <c r="L441" s="41"/>
      <c r="M441" s="41"/>
    </row>
    <row r="442" spans="1:91">
      <c r="B442" t="s">
        <v>716</v>
      </c>
      <c r="C442" t="s">
        <v>715</v>
      </c>
      <c r="D442" s="13">
        <v>6</v>
      </c>
      <c r="E442" s="13">
        <v>4.95</v>
      </c>
      <c r="F442" s="13">
        <f t="shared" si="32"/>
        <v>1.0499999999999998</v>
      </c>
      <c r="G442" t="s">
        <v>246</v>
      </c>
      <c r="H442" t="s">
        <v>11</v>
      </c>
      <c r="I442" t="s">
        <v>12</v>
      </c>
      <c r="J442" t="s">
        <v>250</v>
      </c>
      <c r="K442" s="41">
        <v>0.14249999999999999</v>
      </c>
      <c r="L442" s="41"/>
      <c r="M442" s="41"/>
    </row>
    <row r="443" spans="1:91">
      <c r="K443" s="41"/>
      <c r="L443" s="41"/>
      <c r="M443" s="41"/>
    </row>
    <row r="444" spans="1:91">
      <c r="C444" s="2" t="s">
        <v>235</v>
      </c>
      <c r="K444" s="41"/>
      <c r="L444" s="41"/>
      <c r="M444" s="41"/>
    </row>
    <row r="445" spans="1:91">
      <c r="B445" t="s">
        <v>718</v>
      </c>
      <c r="C445" t="s">
        <v>717</v>
      </c>
      <c r="D445" s="13">
        <v>11</v>
      </c>
      <c r="E445" s="13">
        <v>9.1300000000000008</v>
      </c>
      <c r="F445" s="13">
        <f t="shared" ref="F445:F457" si="33">D445-E445</f>
        <v>1.8699999999999992</v>
      </c>
      <c r="G445" t="s">
        <v>246</v>
      </c>
      <c r="H445" t="s">
        <v>11</v>
      </c>
      <c r="I445" t="s">
        <v>12</v>
      </c>
      <c r="J445" t="s">
        <v>247</v>
      </c>
      <c r="K445" s="41">
        <v>0.52249999999999996</v>
      </c>
      <c r="L445" s="41"/>
      <c r="M445" s="41"/>
    </row>
    <row r="446" spans="1:91">
      <c r="B446" t="s">
        <v>1848</v>
      </c>
      <c r="C446" t="s">
        <v>1847</v>
      </c>
      <c r="D446" s="13">
        <v>3.5</v>
      </c>
      <c r="E446" s="13">
        <v>3.08</v>
      </c>
      <c r="F446" s="13">
        <f t="shared" si="33"/>
        <v>0.41999999999999993</v>
      </c>
      <c r="G446" t="s">
        <v>246</v>
      </c>
      <c r="H446" t="s">
        <v>11</v>
      </c>
      <c r="I446" t="s">
        <v>12</v>
      </c>
      <c r="J446" t="s">
        <v>247</v>
      </c>
      <c r="K446" s="41">
        <v>0.13</v>
      </c>
      <c r="L446" s="41"/>
      <c r="M446" s="41"/>
    </row>
    <row r="447" spans="1:91">
      <c r="B447" t="s">
        <v>720</v>
      </c>
      <c r="C447" t="s">
        <v>719</v>
      </c>
      <c r="D447" s="13">
        <v>8</v>
      </c>
      <c r="E447" s="13">
        <v>6.6</v>
      </c>
      <c r="F447" s="13">
        <f t="shared" si="33"/>
        <v>1.4000000000000004</v>
      </c>
      <c r="G447" t="s">
        <v>246</v>
      </c>
      <c r="H447" t="s">
        <v>11</v>
      </c>
      <c r="I447" t="s">
        <v>12</v>
      </c>
      <c r="J447" t="s">
        <v>250</v>
      </c>
      <c r="K447" s="41">
        <v>0.38</v>
      </c>
      <c r="L447" s="41"/>
      <c r="M447" s="41"/>
    </row>
    <row r="448" spans="1:91">
      <c r="B448" t="s">
        <v>1850</v>
      </c>
      <c r="C448" t="s">
        <v>1849</v>
      </c>
      <c r="D448" s="13">
        <v>3</v>
      </c>
      <c r="E448" s="13">
        <v>2.64</v>
      </c>
      <c r="F448" s="13">
        <f t="shared" si="33"/>
        <v>0.35999999999999988</v>
      </c>
      <c r="G448" t="s">
        <v>246</v>
      </c>
      <c r="H448" t="s">
        <v>11</v>
      </c>
      <c r="I448" t="s">
        <v>12</v>
      </c>
      <c r="J448" t="s">
        <v>250</v>
      </c>
      <c r="K448" s="41">
        <v>0.11</v>
      </c>
      <c r="L448" s="41"/>
      <c r="M448" s="41"/>
    </row>
    <row r="449" spans="1:13">
      <c r="A449" s="4" t="s">
        <v>1254</v>
      </c>
      <c r="B449" t="s">
        <v>1068</v>
      </c>
      <c r="C449" t="s">
        <v>2493</v>
      </c>
      <c r="D449" s="13">
        <v>8.3000000000000007</v>
      </c>
      <c r="E449" s="13">
        <v>6.82</v>
      </c>
      <c r="F449" s="13">
        <f t="shared" si="33"/>
        <v>1.4800000000000004</v>
      </c>
      <c r="G449" t="s">
        <v>246</v>
      </c>
      <c r="H449" t="s">
        <v>11</v>
      </c>
      <c r="I449" t="s">
        <v>12</v>
      </c>
      <c r="J449" t="s">
        <v>247</v>
      </c>
      <c r="K449" s="41">
        <v>0.78375000000000006</v>
      </c>
      <c r="L449" s="41"/>
      <c r="M449" s="41"/>
    </row>
    <row r="450" spans="1:13">
      <c r="B450" t="s">
        <v>1069</v>
      </c>
      <c r="C450" t="s">
        <v>2494</v>
      </c>
      <c r="D450" s="13">
        <v>6</v>
      </c>
      <c r="E450" s="13">
        <v>4.95</v>
      </c>
      <c r="F450" s="13">
        <f t="shared" si="33"/>
        <v>1.0499999999999998</v>
      </c>
      <c r="G450" t="s">
        <v>246</v>
      </c>
      <c r="H450" t="s">
        <v>11</v>
      </c>
      <c r="I450" t="s">
        <v>12</v>
      </c>
      <c r="J450" t="s">
        <v>250</v>
      </c>
      <c r="K450" s="41">
        <v>0.56999999999999995</v>
      </c>
      <c r="L450" s="41"/>
      <c r="M450" s="41"/>
    </row>
    <row r="451" spans="1:13">
      <c r="B451" t="s">
        <v>1071</v>
      </c>
      <c r="C451" t="s">
        <v>1070</v>
      </c>
      <c r="D451" s="13">
        <v>82.5</v>
      </c>
      <c r="E451" s="13">
        <v>68.09</v>
      </c>
      <c r="F451" s="13">
        <f t="shared" si="33"/>
        <v>14.409999999999997</v>
      </c>
      <c r="G451" t="s">
        <v>246</v>
      </c>
      <c r="H451" t="s">
        <v>11</v>
      </c>
      <c r="I451" t="s">
        <v>19</v>
      </c>
      <c r="J451" t="s">
        <v>247</v>
      </c>
      <c r="K451" s="41">
        <v>2.9370833333333333</v>
      </c>
      <c r="L451" s="41"/>
      <c r="M451" s="41"/>
    </row>
    <row r="452" spans="1:13">
      <c r="B452" t="s">
        <v>1073</v>
      </c>
      <c r="C452" t="s">
        <v>1072</v>
      </c>
      <c r="D452" s="13">
        <v>60</v>
      </c>
      <c r="E452" s="13">
        <v>49.5</v>
      </c>
      <c r="F452" s="13">
        <f t="shared" si="33"/>
        <v>10.5</v>
      </c>
      <c r="G452" t="s">
        <v>246</v>
      </c>
      <c r="H452" t="s">
        <v>11</v>
      </c>
      <c r="I452" t="s">
        <v>19</v>
      </c>
      <c r="J452" t="s">
        <v>250</v>
      </c>
      <c r="K452" s="41">
        <v>2.1375000000000002</v>
      </c>
      <c r="L452" s="41"/>
      <c r="M452" s="41"/>
    </row>
    <row r="453" spans="1:13">
      <c r="B453" t="s">
        <v>2489</v>
      </c>
      <c r="C453" t="s">
        <v>2485</v>
      </c>
      <c r="D453" s="13">
        <v>30</v>
      </c>
      <c r="E453" s="13">
        <v>26.4</v>
      </c>
      <c r="F453" s="13">
        <f t="shared" si="33"/>
        <v>3.6000000000000014</v>
      </c>
      <c r="G453" t="s">
        <v>246</v>
      </c>
      <c r="H453" t="s">
        <v>11</v>
      </c>
      <c r="I453" t="s">
        <v>12</v>
      </c>
      <c r="J453" t="s">
        <v>247</v>
      </c>
      <c r="K453" s="41"/>
      <c r="L453" s="41"/>
      <c r="M453" s="41"/>
    </row>
    <row r="454" spans="1:13">
      <c r="B454" t="s">
        <v>2490</v>
      </c>
      <c r="C454" t="s">
        <v>2486</v>
      </c>
      <c r="D454" s="13">
        <v>22.5</v>
      </c>
      <c r="E454" s="13">
        <v>19.8</v>
      </c>
      <c r="F454" s="13">
        <f t="shared" si="33"/>
        <v>2.6999999999999993</v>
      </c>
      <c r="G454" t="s">
        <v>246</v>
      </c>
      <c r="H454" t="s">
        <v>11</v>
      </c>
      <c r="I454" t="s">
        <v>12</v>
      </c>
      <c r="J454" t="s">
        <v>250</v>
      </c>
      <c r="K454" s="41"/>
      <c r="L454" s="41"/>
      <c r="M454" s="41"/>
    </row>
    <row r="455" spans="1:13">
      <c r="B455" t="s">
        <v>2491</v>
      </c>
      <c r="C455" t="s">
        <v>2487</v>
      </c>
      <c r="D455" s="13">
        <v>1000</v>
      </c>
      <c r="E455" s="13">
        <v>880</v>
      </c>
      <c r="F455" s="13">
        <f t="shared" si="33"/>
        <v>120</v>
      </c>
      <c r="G455" t="s">
        <v>246</v>
      </c>
      <c r="H455" t="s">
        <v>11</v>
      </c>
      <c r="I455" t="s">
        <v>12</v>
      </c>
      <c r="J455" t="s">
        <v>247</v>
      </c>
      <c r="K455" s="41"/>
      <c r="L455" s="41"/>
      <c r="M455" s="41"/>
    </row>
    <row r="456" spans="1:13">
      <c r="B456" t="s">
        <v>2492</v>
      </c>
      <c r="C456" t="s">
        <v>2488</v>
      </c>
      <c r="D456" s="13">
        <v>750</v>
      </c>
      <c r="E456" s="13">
        <v>660</v>
      </c>
      <c r="F456" s="13">
        <f t="shared" si="33"/>
        <v>90</v>
      </c>
      <c r="G456" t="s">
        <v>246</v>
      </c>
      <c r="H456" t="s">
        <v>11</v>
      </c>
      <c r="I456" t="s">
        <v>12</v>
      </c>
      <c r="J456" t="s">
        <v>250</v>
      </c>
      <c r="K456" s="41"/>
      <c r="L456" s="41"/>
      <c r="M456" s="41"/>
    </row>
    <row r="457" spans="1:13">
      <c r="B457" t="s">
        <v>722</v>
      </c>
      <c r="C457" t="s">
        <v>2580</v>
      </c>
      <c r="D457" s="13">
        <v>350</v>
      </c>
      <c r="E457" s="13">
        <v>346.5</v>
      </c>
      <c r="F457" s="13">
        <f t="shared" si="33"/>
        <v>3.5</v>
      </c>
      <c r="G457" t="s">
        <v>246</v>
      </c>
      <c r="H457" t="s">
        <v>11</v>
      </c>
      <c r="I457" t="s">
        <v>12</v>
      </c>
      <c r="J457" t="s">
        <v>247</v>
      </c>
      <c r="K457" s="41">
        <v>8.3125</v>
      </c>
      <c r="L457" s="41"/>
      <c r="M457" s="41"/>
    </row>
    <row r="458" spans="1:13">
      <c r="K458" s="41"/>
      <c r="L458" s="41"/>
      <c r="M458" s="41"/>
    </row>
    <row r="459" spans="1:13">
      <c r="A459" s="4" t="s">
        <v>1257</v>
      </c>
      <c r="C459" s="2" t="s">
        <v>577</v>
      </c>
      <c r="K459" s="41"/>
      <c r="L459" s="41"/>
      <c r="M459" s="41"/>
    </row>
    <row r="460" spans="1:13">
      <c r="B460" t="s">
        <v>2507</v>
      </c>
      <c r="C460" t="s">
        <v>1927</v>
      </c>
      <c r="D460" s="13">
        <v>550</v>
      </c>
      <c r="E460" s="13">
        <v>453.75</v>
      </c>
      <c r="F460" s="13">
        <f t="shared" ref="F460:F489" si="34">D460-E460</f>
        <v>96.25</v>
      </c>
      <c r="G460" t="s">
        <v>246</v>
      </c>
      <c r="H460" t="s">
        <v>11</v>
      </c>
      <c r="I460" t="s">
        <v>12</v>
      </c>
      <c r="J460" t="s">
        <v>247</v>
      </c>
      <c r="K460" s="41"/>
      <c r="L460" s="41"/>
      <c r="M460" s="41"/>
    </row>
    <row r="461" spans="1:13">
      <c r="B461" t="s">
        <v>2508</v>
      </c>
      <c r="C461" t="s">
        <v>2506</v>
      </c>
      <c r="D461" s="13">
        <v>400</v>
      </c>
      <c r="E461" s="13">
        <v>330</v>
      </c>
      <c r="F461" s="13">
        <f t="shared" si="34"/>
        <v>70</v>
      </c>
      <c r="G461" t="s">
        <v>246</v>
      </c>
      <c r="H461" t="s">
        <v>11</v>
      </c>
      <c r="I461" t="s">
        <v>12</v>
      </c>
      <c r="J461" t="s">
        <v>250</v>
      </c>
      <c r="K461" s="41"/>
      <c r="L461" s="41"/>
      <c r="M461" s="41"/>
    </row>
    <row r="462" spans="1:13">
      <c r="B462" t="s">
        <v>612</v>
      </c>
      <c r="C462" t="s">
        <v>611</v>
      </c>
      <c r="D462" s="13">
        <v>42</v>
      </c>
      <c r="E462" s="13">
        <v>34.65</v>
      </c>
      <c r="F462" s="13">
        <f t="shared" si="34"/>
        <v>7.3500000000000014</v>
      </c>
      <c r="G462" t="s">
        <v>246</v>
      </c>
      <c r="H462" t="s">
        <v>11</v>
      </c>
      <c r="I462" t="s">
        <v>19</v>
      </c>
      <c r="J462" t="s">
        <v>247</v>
      </c>
      <c r="K462" s="41">
        <v>1.4962500000000001</v>
      </c>
      <c r="L462" s="41"/>
      <c r="M462" s="41"/>
    </row>
    <row r="463" spans="1:13">
      <c r="B463" t="s">
        <v>614</v>
      </c>
      <c r="C463" t="s">
        <v>613</v>
      </c>
      <c r="D463" s="13">
        <v>42</v>
      </c>
      <c r="E463" s="13">
        <v>34.65</v>
      </c>
      <c r="F463" s="13">
        <f t="shared" si="34"/>
        <v>7.3500000000000014</v>
      </c>
      <c r="G463" t="s">
        <v>246</v>
      </c>
      <c r="H463" t="s">
        <v>11</v>
      </c>
      <c r="I463" t="s">
        <v>19</v>
      </c>
      <c r="J463" t="s">
        <v>250</v>
      </c>
      <c r="K463" s="41">
        <v>1.4962500000000001</v>
      </c>
      <c r="L463" s="41"/>
      <c r="M463" s="41"/>
    </row>
    <row r="464" spans="1:13">
      <c r="B464" t="s">
        <v>835</v>
      </c>
      <c r="C464" t="s">
        <v>2110</v>
      </c>
      <c r="D464" s="13">
        <v>41.3</v>
      </c>
      <c r="E464" s="13">
        <v>33.99</v>
      </c>
      <c r="F464" s="13">
        <f t="shared" si="34"/>
        <v>7.3099999999999952</v>
      </c>
      <c r="G464" t="s">
        <v>246</v>
      </c>
      <c r="H464" t="s">
        <v>11</v>
      </c>
      <c r="I464" t="s">
        <v>19</v>
      </c>
      <c r="J464" t="s">
        <v>247</v>
      </c>
      <c r="K464" s="41">
        <v>1.8683333333333332</v>
      </c>
      <c r="L464" s="41"/>
      <c r="M464" s="41"/>
    </row>
    <row r="465" spans="2:13">
      <c r="B465" t="s">
        <v>836</v>
      </c>
      <c r="C465" t="s">
        <v>2111</v>
      </c>
      <c r="D465" s="13">
        <v>30</v>
      </c>
      <c r="E465" s="13">
        <v>24.75</v>
      </c>
      <c r="F465" s="13">
        <f t="shared" si="34"/>
        <v>5.25</v>
      </c>
      <c r="G465" t="s">
        <v>246</v>
      </c>
      <c r="H465" t="s">
        <v>11</v>
      </c>
      <c r="I465" t="s">
        <v>19</v>
      </c>
      <c r="J465" t="s">
        <v>250</v>
      </c>
      <c r="K465" s="41">
        <v>1.8683333333333332</v>
      </c>
      <c r="L465" s="41"/>
      <c r="M465" s="41"/>
    </row>
    <row r="466" spans="2:13">
      <c r="B466" t="s">
        <v>1937</v>
      </c>
      <c r="C466" t="s">
        <v>1929</v>
      </c>
      <c r="D466" s="13">
        <v>8.3000000000000007</v>
      </c>
      <c r="E466" s="13">
        <v>6.82</v>
      </c>
      <c r="F466" s="13">
        <f t="shared" si="34"/>
        <v>1.4800000000000004</v>
      </c>
      <c r="G466" t="s">
        <v>246</v>
      </c>
      <c r="H466" t="s">
        <v>11</v>
      </c>
      <c r="I466" t="s">
        <v>19</v>
      </c>
      <c r="J466" t="s">
        <v>247</v>
      </c>
      <c r="K466" s="41">
        <v>0.28999999999999998</v>
      </c>
      <c r="L466" s="41"/>
      <c r="M466" s="41"/>
    </row>
    <row r="467" spans="2:13">
      <c r="B467" t="s">
        <v>1938</v>
      </c>
      <c r="C467" t="s">
        <v>1930</v>
      </c>
      <c r="D467" s="13">
        <v>6</v>
      </c>
      <c r="E467" s="13">
        <v>4.95</v>
      </c>
      <c r="F467" s="13">
        <f t="shared" si="34"/>
        <v>1.0499999999999998</v>
      </c>
      <c r="G467" t="s">
        <v>246</v>
      </c>
      <c r="H467" t="s">
        <v>11</v>
      </c>
      <c r="I467" t="s">
        <v>19</v>
      </c>
      <c r="J467" t="s">
        <v>250</v>
      </c>
      <c r="K467" s="41">
        <v>0.21</v>
      </c>
      <c r="L467" s="41"/>
      <c r="M467" s="41"/>
    </row>
    <row r="468" spans="2:13">
      <c r="B468" t="s">
        <v>1939</v>
      </c>
      <c r="C468" t="s">
        <v>1931</v>
      </c>
      <c r="D468" s="13">
        <v>49.5</v>
      </c>
      <c r="E468" s="13">
        <v>40.81</v>
      </c>
      <c r="F468" s="13">
        <f t="shared" si="34"/>
        <v>8.6899999999999977</v>
      </c>
      <c r="G468" t="s">
        <v>246</v>
      </c>
      <c r="H468" t="s">
        <v>11</v>
      </c>
      <c r="I468" t="s">
        <v>19</v>
      </c>
      <c r="J468" t="s">
        <v>247</v>
      </c>
      <c r="K468" s="41">
        <v>1.76</v>
      </c>
      <c r="L468" s="41"/>
      <c r="M468" s="41"/>
    </row>
    <row r="469" spans="2:13">
      <c r="B469" t="s">
        <v>1940</v>
      </c>
      <c r="C469" t="s">
        <v>1932</v>
      </c>
      <c r="D469" s="13">
        <v>36</v>
      </c>
      <c r="E469" s="13">
        <v>29.7</v>
      </c>
      <c r="F469" s="13">
        <f t="shared" si="34"/>
        <v>6.3000000000000007</v>
      </c>
      <c r="G469" t="s">
        <v>246</v>
      </c>
      <c r="H469" t="s">
        <v>11</v>
      </c>
      <c r="I469" t="s">
        <v>19</v>
      </c>
      <c r="J469" t="s">
        <v>250</v>
      </c>
      <c r="K469" s="41">
        <v>1.28</v>
      </c>
      <c r="L469" s="41"/>
      <c r="M469" s="41"/>
    </row>
    <row r="470" spans="2:13">
      <c r="B470" t="s">
        <v>1941</v>
      </c>
      <c r="C470" t="s">
        <v>1933</v>
      </c>
      <c r="D470" s="13">
        <v>68.8</v>
      </c>
      <c r="E470" s="13">
        <v>56.76</v>
      </c>
      <c r="F470" s="13">
        <f t="shared" si="34"/>
        <v>12.04</v>
      </c>
      <c r="G470" t="s">
        <v>246</v>
      </c>
      <c r="H470" t="s">
        <v>11</v>
      </c>
      <c r="I470" t="s">
        <v>19</v>
      </c>
      <c r="J470" t="s">
        <v>247</v>
      </c>
      <c r="K470" s="41">
        <v>2.4500000000000002</v>
      </c>
      <c r="L470" s="41"/>
      <c r="M470" s="41"/>
    </row>
    <row r="471" spans="2:13">
      <c r="B471" t="s">
        <v>1942</v>
      </c>
      <c r="C471" t="s">
        <v>1934</v>
      </c>
      <c r="D471" s="13">
        <v>50</v>
      </c>
      <c r="E471" s="13">
        <v>41.25</v>
      </c>
      <c r="F471" s="13">
        <f t="shared" si="34"/>
        <v>8.75</v>
      </c>
      <c r="G471" t="s">
        <v>246</v>
      </c>
      <c r="H471" t="s">
        <v>11</v>
      </c>
      <c r="I471" t="s">
        <v>19</v>
      </c>
      <c r="J471" t="s">
        <v>250</v>
      </c>
      <c r="K471" s="41">
        <v>1.78</v>
      </c>
      <c r="L471" s="41"/>
      <c r="M471" s="41"/>
    </row>
    <row r="472" spans="2:13">
      <c r="B472" t="s">
        <v>1943</v>
      </c>
      <c r="C472" t="s">
        <v>1935</v>
      </c>
      <c r="D472" s="13">
        <v>41.3</v>
      </c>
      <c r="E472" s="13">
        <v>33.99</v>
      </c>
      <c r="F472" s="13">
        <f t="shared" si="34"/>
        <v>7.3099999999999952</v>
      </c>
      <c r="G472" t="s">
        <v>246</v>
      </c>
      <c r="H472" t="s">
        <v>11</v>
      </c>
      <c r="I472" t="s">
        <v>19</v>
      </c>
      <c r="J472" t="s">
        <v>247</v>
      </c>
      <c r="K472" s="41">
        <v>1.46</v>
      </c>
      <c r="L472" s="41"/>
      <c r="M472" s="41"/>
    </row>
    <row r="473" spans="2:13">
      <c r="B473" t="s">
        <v>1944</v>
      </c>
      <c r="C473" t="s">
        <v>1936</v>
      </c>
      <c r="D473" s="13">
        <v>30</v>
      </c>
      <c r="E473" s="13">
        <v>24.75</v>
      </c>
      <c r="F473" s="13">
        <f t="shared" si="34"/>
        <v>5.25</v>
      </c>
      <c r="G473" t="s">
        <v>246</v>
      </c>
      <c r="H473" t="s">
        <v>11</v>
      </c>
      <c r="I473" t="s">
        <v>19</v>
      </c>
      <c r="J473" t="s">
        <v>250</v>
      </c>
      <c r="K473" s="41">
        <v>1.07</v>
      </c>
      <c r="L473" s="41"/>
      <c r="M473" s="41"/>
    </row>
    <row r="474" spans="2:13">
      <c r="B474" t="s">
        <v>2524</v>
      </c>
      <c r="C474" t="s">
        <v>2509</v>
      </c>
      <c r="D474" s="13">
        <v>1100</v>
      </c>
      <c r="E474" s="13">
        <v>907.5</v>
      </c>
      <c r="F474" s="13">
        <f t="shared" si="34"/>
        <v>192.5</v>
      </c>
      <c r="G474" t="s">
        <v>246</v>
      </c>
      <c r="H474" t="s">
        <v>11</v>
      </c>
      <c r="I474" t="s">
        <v>19</v>
      </c>
      <c r="J474" t="s">
        <v>247</v>
      </c>
      <c r="K474" s="41"/>
      <c r="L474" s="41"/>
      <c r="M474" s="41"/>
    </row>
    <row r="475" spans="2:13">
      <c r="B475" t="s">
        <v>2525</v>
      </c>
      <c r="C475" t="s">
        <v>2510</v>
      </c>
      <c r="D475" s="13">
        <v>800</v>
      </c>
      <c r="E475" s="13">
        <v>660</v>
      </c>
      <c r="F475" s="13">
        <f t="shared" si="34"/>
        <v>140</v>
      </c>
      <c r="G475" t="s">
        <v>246</v>
      </c>
      <c r="H475" t="s">
        <v>11</v>
      </c>
      <c r="I475" t="s">
        <v>12</v>
      </c>
      <c r="J475" t="s">
        <v>250</v>
      </c>
      <c r="K475" s="41"/>
      <c r="L475" s="41"/>
      <c r="M475" s="41"/>
    </row>
    <row r="476" spans="2:13">
      <c r="B476" t="s">
        <v>2526</v>
      </c>
      <c r="C476" t="s">
        <v>2511</v>
      </c>
      <c r="D476" s="13">
        <v>825</v>
      </c>
      <c r="E476" s="13">
        <v>680.68</v>
      </c>
      <c r="F476" s="13">
        <f t="shared" si="34"/>
        <v>144.32000000000005</v>
      </c>
      <c r="G476" t="s">
        <v>246</v>
      </c>
      <c r="H476" t="s">
        <v>11</v>
      </c>
      <c r="I476" t="s">
        <v>19</v>
      </c>
      <c r="J476" t="s">
        <v>247</v>
      </c>
      <c r="K476" s="41"/>
      <c r="L476" s="41"/>
      <c r="M476" s="41"/>
    </row>
    <row r="477" spans="2:13">
      <c r="B477" t="s">
        <v>2527</v>
      </c>
      <c r="C477" t="s">
        <v>2512</v>
      </c>
      <c r="D477" s="13">
        <v>600</v>
      </c>
      <c r="E477" s="13">
        <v>495</v>
      </c>
      <c r="F477" s="13">
        <f t="shared" si="34"/>
        <v>105</v>
      </c>
      <c r="G477" t="s">
        <v>246</v>
      </c>
      <c r="H477" t="s">
        <v>11</v>
      </c>
      <c r="I477" t="s">
        <v>12</v>
      </c>
      <c r="J477" t="s">
        <v>250</v>
      </c>
      <c r="K477" s="41"/>
      <c r="L477" s="41"/>
      <c r="M477" s="41"/>
    </row>
    <row r="478" spans="2:13">
      <c r="B478" t="s">
        <v>2528</v>
      </c>
      <c r="C478" t="s">
        <v>2513</v>
      </c>
      <c r="D478" s="13">
        <v>550</v>
      </c>
      <c r="E478" s="13">
        <v>453.75</v>
      </c>
      <c r="F478" s="13">
        <f t="shared" si="34"/>
        <v>96.25</v>
      </c>
      <c r="G478" t="s">
        <v>246</v>
      </c>
      <c r="H478" t="s">
        <v>11</v>
      </c>
      <c r="I478" t="s">
        <v>19</v>
      </c>
      <c r="J478" t="s">
        <v>247</v>
      </c>
      <c r="K478" s="41"/>
      <c r="L478" s="41"/>
      <c r="M478" s="41"/>
    </row>
    <row r="479" spans="2:13">
      <c r="B479" t="s">
        <v>2529</v>
      </c>
      <c r="C479" t="s">
        <v>2514</v>
      </c>
      <c r="D479" s="13">
        <v>400</v>
      </c>
      <c r="E479" s="13">
        <v>330</v>
      </c>
      <c r="F479" s="13">
        <f t="shared" si="34"/>
        <v>70</v>
      </c>
      <c r="G479" t="s">
        <v>246</v>
      </c>
      <c r="H479" t="s">
        <v>11</v>
      </c>
      <c r="I479" t="s">
        <v>12</v>
      </c>
      <c r="J479" t="s">
        <v>250</v>
      </c>
      <c r="K479" s="41"/>
      <c r="L479" s="41"/>
      <c r="M479" s="41"/>
    </row>
    <row r="480" spans="2:13">
      <c r="B480" t="s">
        <v>2530</v>
      </c>
      <c r="C480" t="s">
        <v>1928</v>
      </c>
      <c r="D480" s="13">
        <v>935</v>
      </c>
      <c r="E480" s="13">
        <v>771.43</v>
      </c>
      <c r="F480" s="13">
        <f t="shared" si="34"/>
        <v>163.57000000000005</v>
      </c>
      <c r="G480" t="s">
        <v>246</v>
      </c>
      <c r="H480" t="s">
        <v>11</v>
      </c>
      <c r="I480" t="s">
        <v>12</v>
      </c>
      <c r="J480" t="s">
        <v>247</v>
      </c>
      <c r="K480" s="41"/>
      <c r="L480" s="41"/>
      <c r="M480" s="41"/>
    </row>
    <row r="481" spans="1:13">
      <c r="B481" t="s">
        <v>2531</v>
      </c>
      <c r="C481" t="s">
        <v>2515</v>
      </c>
      <c r="D481" s="13">
        <v>680</v>
      </c>
      <c r="E481" s="13">
        <v>561</v>
      </c>
      <c r="F481" s="13">
        <f t="shared" si="34"/>
        <v>119</v>
      </c>
      <c r="G481" t="s">
        <v>246</v>
      </c>
      <c r="H481" t="s">
        <v>11</v>
      </c>
      <c r="I481" t="s">
        <v>12</v>
      </c>
      <c r="J481" t="s">
        <v>250</v>
      </c>
      <c r="K481" s="41"/>
      <c r="L481" s="41"/>
      <c r="M481" s="41"/>
    </row>
    <row r="482" spans="1:13">
      <c r="B482" t="s">
        <v>2532</v>
      </c>
      <c r="C482" t="s">
        <v>2516</v>
      </c>
      <c r="D482" s="13">
        <v>137.5</v>
      </c>
      <c r="E482" s="13">
        <v>113.41</v>
      </c>
      <c r="F482" s="13">
        <f t="shared" si="34"/>
        <v>24.090000000000003</v>
      </c>
      <c r="G482" t="s">
        <v>246</v>
      </c>
      <c r="H482" t="s">
        <v>11</v>
      </c>
      <c r="I482" t="s">
        <v>19</v>
      </c>
      <c r="J482" t="s">
        <v>247</v>
      </c>
      <c r="K482" s="41"/>
      <c r="L482" s="41"/>
      <c r="M482" s="41"/>
    </row>
    <row r="483" spans="1:13">
      <c r="B483" t="s">
        <v>2533</v>
      </c>
      <c r="C483" t="s">
        <v>2517</v>
      </c>
      <c r="D483" s="13">
        <v>100</v>
      </c>
      <c r="E483" s="13">
        <v>82.5</v>
      </c>
      <c r="F483" s="13">
        <f t="shared" si="34"/>
        <v>17.5</v>
      </c>
      <c r="G483" t="s">
        <v>246</v>
      </c>
      <c r="H483" t="s">
        <v>11</v>
      </c>
      <c r="I483" t="s">
        <v>12</v>
      </c>
      <c r="J483" t="s">
        <v>250</v>
      </c>
      <c r="K483" s="41"/>
      <c r="L483" s="41"/>
      <c r="M483" s="41"/>
    </row>
    <row r="484" spans="1:13">
      <c r="B484" t="s">
        <v>2534</v>
      </c>
      <c r="C484" t="s">
        <v>2518</v>
      </c>
      <c r="D484" s="13">
        <v>165</v>
      </c>
      <c r="E484" s="13">
        <v>145.19999999999999</v>
      </c>
      <c r="F484" s="13">
        <f t="shared" si="34"/>
        <v>19.800000000000011</v>
      </c>
      <c r="G484" t="s">
        <v>246</v>
      </c>
      <c r="H484" t="s">
        <v>11</v>
      </c>
      <c r="I484" t="s">
        <v>19</v>
      </c>
      <c r="J484" t="s">
        <v>247</v>
      </c>
      <c r="K484" s="41"/>
      <c r="L484" s="41"/>
      <c r="M484" s="41"/>
    </row>
    <row r="485" spans="1:13">
      <c r="B485" t="s">
        <v>2535</v>
      </c>
      <c r="C485" t="s">
        <v>2519</v>
      </c>
      <c r="D485" s="13">
        <v>120</v>
      </c>
      <c r="E485" s="13">
        <v>105.6</v>
      </c>
      <c r="F485" s="13">
        <f t="shared" si="34"/>
        <v>14.400000000000006</v>
      </c>
      <c r="G485" t="s">
        <v>246</v>
      </c>
      <c r="H485" t="s">
        <v>11</v>
      </c>
      <c r="I485" t="s">
        <v>12</v>
      </c>
      <c r="J485" t="s">
        <v>250</v>
      </c>
      <c r="K485" s="41"/>
      <c r="L485" s="41"/>
      <c r="M485" s="41"/>
    </row>
    <row r="486" spans="1:13">
      <c r="B486" t="s">
        <v>2536</v>
      </c>
      <c r="C486" t="s">
        <v>2520</v>
      </c>
      <c r="D486" s="13">
        <v>275</v>
      </c>
      <c r="E486" s="13">
        <v>226.93</v>
      </c>
      <c r="F486" s="13">
        <f t="shared" si="34"/>
        <v>48.069999999999993</v>
      </c>
      <c r="G486" t="s">
        <v>246</v>
      </c>
      <c r="H486" t="s">
        <v>11</v>
      </c>
      <c r="I486" t="s">
        <v>19</v>
      </c>
      <c r="J486" t="s">
        <v>247</v>
      </c>
      <c r="K486" s="41"/>
      <c r="L486" s="41"/>
      <c r="M486" s="41"/>
    </row>
    <row r="487" spans="1:13">
      <c r="B487" t="s">
        <v>2537</v>
      </c>
      <c r="C487" t="s">
        <v>2521</v>
      </c>
      <c r="D487" s="13">
        <v>200</v>
      </c>
      <c r="E487" s="13">
        <v>165</v>
      </c>
      <c r="F487" s="13">
        <f t="shared" si="34"/>
        <v>35</v>
      </c>
      <c r="G487" t="s">
        <v>246</v>
      </c>
      <c r="H487" t="s">
        <v>11</v>
      </c>
      <c r="I487" t="s">
        <v>12</v>
      </c>
      <c r="J487" t="s">
        <v>250</v>
      </c>
      <c r="K487" s="41"/>
      <c r="L487" s="41"/>
      <c r="M487" s="41"/>
    </row>
    <row r="488" spans="1:13">
      <c r="B488" t="s">
        <v>2538</v>
      </c>
      <c r="C488" t="s">
        <v>2522</v>
      </c>
      <c r="D488" s="13">
        <v>0</v>
      </c>
      <c r="E488" s="13">
        <v>0</v>
      </c>
      <c r="F488" s="13">
        <f t="shared" si="34"/>
        <v>0</v>
      </c>
      <c r="G488" t="s">
        <v>246</v>
      </c>
      <c r="H488" t="s">
        <v>11</v>
      </c>
      <c r="I488" t="s">
        <v>12</v>
      </c>
      <c r="J488" t="s">
        <v>247</v>
      </c>
      <c r="K488" s="41"/>
      <c r="L488" s="41"/>
      <c r="M488" s="41"/>
    </row>
    <row r="489" spans="1:13">
      <c r="B489" t="s">
        <v>2539</v>
      </c>
      <c r="C489" t="s">
        <v>2523</v>
      </c>
      <c r="D489" s="13">
        <v>0</v>
      </c>
      <c r="E489" s="13">
        <v>0</v>
      </c>
      <c r="F489" s="13">
        <f t="shared" si="34"/>
        <v>0</v>
      </c>
      <c r="G489" t="s">
        <v>246</v>
      </c>
      <c r="H489" t="s">
        <v>11</v>
      </c>
      <c r="I489" t="s">
        <v>12</v>
      </c>
      <c r="J489" t="s">
        <v>250</v>
      </c>
      <c r="K489" s="41"/>
      <c r="L489" s="41"/>
      <c r="M489" s="41"/>
    </row>
    <row r="490" spans="1:13">
      <c r="K490" s="41"/>
      <c r="L490" s="41"/>
      <c r="M490" s="41"/>
    </row>
    <row r="491" spans="1:13">
      <c r="C491" s="23" t="s">
        <v>596</v>
      </c>
      <c r="K491" s="41"/>
      <c r="L491" s="41"/>
      <c r="M491" s="41"/>
    </row>
    <row r="492" spans="1:13">
      <c r="A492" s="4" t="s">
        <v>1246</v>
      </c>
      <c r="B492" t="s">
        <v>598</v>
      </c>
      <c r="C492" t="s">
        <v>597</v>
      </c>
      <c r="D492" s="13">
        <v>35.799999999999997</v>
      </c>
      <c r="E492" s="13">
        <v>31.46</v>
      </c>
      <c r="F492" s="13">
        <f>D492-E492</f>
        <v>4.3399999999999963</v>
      </c>
      <c r="G492" t="s">
        <v>246</v>
      </c>
      <c r="H492" t="s">
        <v>11</v>
      </c>
      <c r="I492" t="s">
        <v>12</v>
      </c>
      <c r="J492" t="s">
        <v>247</v>
      </c>
      <c r="K492" s="41">
        <v>1.3616666666666668</v>
      </c>
      <c r="L492" s="41"/>
      <c r="M492" s="41"/>
    </row>
    <row r="493" spans="1:13">
      <c r="A493" s="4" t="s">
        <v>1247</v>
      </c>
      <c r="B493" t="s">
        <v>919</v>
      </c>
      <c r="C493" t="s">
        <v>918</v>
      </c>
      <c r="D493" s="13">
        <v>0</v>
      </c>
      <c r="E493" s="13">
        <v>0</v>
      </c>
      <c r="F493" s="13">
        <v>0</v>
      </c>
      <c r="G493" t="s">
        <v>246</v>
      </c>
      <c r="H493" t="s">
        <v>11</v>
      </c>
      <c r="I493" t="s">
        <v>27</v>
      </c>
      <c r="J493" t="s">
        <v>247</v>
      </c>
      <c r="K493" s="41">
        <v>0</v>
      </c>
      <c r="L493" s="41"/>
      <c r="M493" s="41"/>
    </row>
    <row r="494" spans="1:13">
      <c r="B494" t="s">
        <v>838</v>
      </c>
      <c r="C494" t="s">
        <v>837</v>
      </c>
      <c r="D494" s="13">
        <v>11</v>
      </c>
      <c r="E494" s="13">
        <v>9.6800000000000015</v>
      </c>
      <c r="F494" s="13">
        <f>D494-E494</f>
        <v>1.3199999999999985</v>
      </c>
      <c r="G494" t="s">
        <v>246</v>
      </c>
      <c r="H494" t="s">
        <v>11</v>
      </c>
      <c r="I494" t="s">
        <v>12</v>
      </c>
      <c r="J494" t="s">
        <v>247</v>
      </c>
      <c r="K494" s="41">
        <v>0.41958333333333331</v>
      </c>
      <c r="L494" s="41"/>
      <c r="M494" s="41"/>
    </row>
    <row r="495" spans="1:13">
      <c r="B495" t="s">
        <v>845</v>
      </c>
      <c r="C495" t="s">
        <v>844</v>
      </c>
      <c r="D495" s="13">
        <v>0</v>
      </c>
      <c r="E495" s="13">
        <v>0</v>
      </c>
      <c r="F495" s="13">
        <v>0</v>
      </c>
      <c r="G495" t="s">
        <v>246</v>
      </c>
      <c r="H495" t="s">
        <v>11</v>
      </c>
      <c r="I495" t="s">
        <v>27</v>
      </c>
      <c r="J495" t="s">
        <v>247</v>
      </c>
      <c r="K495" s="41">
        <v>0</v>
      </c>
      <c r="L495" s="41"/>
      <c r="M495" s="41"/>
    </row>
    <row r="496" spans="1:13">
      <c r="B496" t="s">
        <v>600</v>
      </c>
      <c r="C496" t="s">
        <v>599</v>
      </c>
      <c r="D496" s="13">
        <v>26</v>
      </c>
      <c r="E496" s="13">
        <v>22.88</v>
      </c>
      <c r="F496" s="13">
        <f>D496-E496</f>
        <v>3.120000000000001</v>
      </c>
      <c r="G496" t="s">
        <v>246</v>
      </c>
      <c r="H496" t="s">
        <v>11</v>
      </c>
      <c r="I496" t="s">
        <v>12</v>
      </c>
      <c r="J496" t="s">
        <v>250</v>
      </c>
      <c r="K496" s="41">
        <v>0.98958333333333337</v>
      </c>
      <c r="L496" s="41"/>
      <c r="M496" s="41"/>
    </row>
    <row r="497" spans="2:13">
      <c r="B497" t="s">
        <v>917</v>
      </c>
      <c r="C497" t="s">
        <v>916</v>
      </c>
      <c r="D497" s="13">
        <v>0</v>
      </c>
      <c r="E497" s="13">
        <v>0</v>
      </c>
      <c r="F497" s="13">
        <v>0</v>
      </c>
      <c r="G497" t="s">
        <v>246</v>
      </c>
      <c r="H497" t="s">
        <v>11</v>
      </c>
      <c r="I497" t="s">
        <v>27</v>
      </c>
      <c r="J497" t="s">
        <v>250</v>
      </c>
      <c r="K497" s="41">
        <v>0</v>
      </c>
      <c r="L497" s="41"/>
      <c r="M497" s="41"/>
    </row>
    <row r="498" spans="2:13">
      <c r="B498" t="s">
        <v>840</v>
      </c>
      <c r="C498" t="s">
        <v>839</v>
      </c>
      <c r="D498" s="13">
        <v>8</v>
      </c>
      <c r="E498" s="13">
        <v>7.0400000000000009</v>
      </c>
      <c r="F498" s="13">
        <f>D498-E498</f>
        <v>0.95999999999999908</v>
      </c>
      <c r="G498" t="s">
        <v>246</v>
      </c>
      <c r="H498" t="s">
        <v>11</v>
      </c>
      <c r="I498" t="s">
        <v>12</v>
      </c>
      <c r="J498" t="s">
        <v>250</v>
      </c>
      <c r="K498" s="41">
        <v>0.30083333333333334</v>
      </c>
      <c r="L498" s="41"/>
      <c r="M498" s="41"/>
    </row>
    <row r="499" spans="2:13">
      <c r="B499" t="s">
        <v>847</v>
      </c>
      <c r="C499" t="s">
        <v>846</v>
      </c>
      <c r="D499" s="13">
        <v>0</v>
      </c>
      <c r="E499" s="13">
        <v>0</v>
      </c>
      <c r="F499" s="13">
        <v>0</v>
      </c>
      <c r="G499" t="s">
        <v>246</v>
      </c>
      <c r="H499" t="s">
        <v>11</v>
      </c>
      <c r="I499" t="s">
        <v>27</v>
      </c>
      <c r="J499" t="s">
        <v>250</v>
      </c>
      <c r="K499" s="41">
        <v>0</v>
      </c>
      <c r="L499" s="41"/>
      <c r="M499" s="41"/>
    </row>
    <row r="500" spans="2:13">
      <c r="K500" s="41"/>
      <c r="L500" s="41"/>
      <c r="M500" s="41"/>
    </row>
    <row r="501" spans="2:13">
      <c r="C501" s="23" t="s">
        <v>930</v>
      </c>
      <c r="K501" s="41"/>
      <c r="L501" s="41"/>
      <c r="M501" s="41"/>
    </row>
    <row r="502" spans="2:13">
      <c r="B502" t="s">
        <v>911</v>
      </c>
      <c r="C502" t="s">
        <v>910</v>
      </c>
      <c r="D502" s="13">
        <v>550</v>
      </c>
      <c r="E502" s="13">
        <v>453.75</v>
      </c>
      <c r="F502" s="13">
        <f>D502-E502</f>
        <v>96.25</v>
      </c>
      <c r="G502" t="s">
        <v>246</v>
      </c>
      <c r="H502" t="s">
        <v>11</v>
      </c>
      <c r="I502" t="s">
        <v>12</v>
      </c>
      <c r="J502" t="s">
        <v>247</v>
      </c>
      <c r="K502" s="41">
        <v>19.59</v>
      </c>
      <c r="L502" s="41"/>
      <c r="M502" s="41"/>
    </row>
    <row r="503" spans="2:13">
      <c r="B503" t="s">
        <v>2083</v>
      </c>
      <c r="C503" t="s">
        <v>2082</v>
      </c>
      <c r="D503" s="13">
        <v>110</v>
      </c>
      <c r="E503" s="13">
        <v>90.75</v>
      </c>
      <c r="F503" s="13">
        <f>D503-E503</f>
        <v>19.25</v>
      </c>
      <c r="G503" t="s">
        <v>246</v>
      </c>
      <c r="H503" t="s">
        <v>11</v>
      </c>
      <c r="I503" t="s">
        <v>12</v>
      </c>
      <c r="J503" t="s">
        <v>247</v>
      </c>
      <c r="K503" s="41">
        <v>3.3</v>
      </c>
      <c r="L503" s="41"/>
      <c r="M503" s="41"/>
    </row>
    <row r="504" spans="2:13">
      <c r="B504" t="s">
        <v>972</v>
      </c>
      <c r="C504" t="s">
        <v>971</v>
      </c>
      <c r="D504" s="13">
        <v>0</v>
      </c>
      <c r="E504" s="13">
        <v>0</v>
      </c>
      <c r="F504" s="13">
        <v>0</v>
      </c>
      <c r="G504" t="s">
        <v>246</v>
      </c>
      <c r="H504" t="s">
        <v>11</v>
      </c>
      <c r="I504" t="s">
        <v>19</v>
      </c>
      <c r="J504" t="s">
        <v>247</v>
      </c>
      <c r="K504" s="41"/>
      <c r="L504" s="41"/>
      <c r="M504" s="41"/>
    </row>
    <row r="505" spans="2:13">
      <c r="B505" t="s">
        <v>2365</v>
      </c>
      <c r="C505" t="s">
        <v>2355</v>
      </c>
      <c r="D505" s="13">
        <v>41.3</v>
      </c>
      <c r="E505" s="13">
        <v>36.299999999999997</v>
      </c>
      <c r="F505" s="13">
        <f>D505-E505</f>
        <v>5</v>
      </c>
      <c r="G505" t="s">
        <v>246</v>
      </c>
      <c r="H505" t="s">
        <v>11</v>
      </c>
      <c r="I505" t="s">
        <v>12</v>
      </c>
      <c r="J505" t="s">
        <v>247</v>
      </c>
      <c r="K505" s="41"/>
      <c r="L505" s="41"/>
      <c r="M505" s="41"/>
    </row>
    <row r="506" spans="2:13">
      <c r="B506" t="s">
        <v>2366</v>
      </c>
      <c r="C506" t="s">
        <v>2356</v>
      </c>
      <c r="D506" s="13">
        <v>30</v>
      </c>
      <c r="E506" s="13">
        <v>26.4</v>
      </c>
      <c r="F506" s="13">
        <f t="shared" ref="F506:F514" si="35">D506-E506</f>
        <v>3.6000000000000014</v>
      </c>
      <c r="G506" t="s">
        <v>246</v>
      </c>
      <c r="H506" t="s">
        <v>11</v>
      </c>
      <c r="I506" t="s">
        <v>12</v>
      </c>
      <c r="J506" t="s">
        <v>247</v>
      </c>
      <c r="K506" s="41"/>
      <c r="L506" s="41"/>
      <c r="M506" s="41"/>
    </row>
    <row r="507" spans="2:13">
      <c r="B507" t="s">
        <v>2367</v>
      </c>
      <c r="C507" t="s">
        <v>2357</v>
      </c>
      <c r="D507" s="13">
        <v>20.6</v>
      </c>
      <c r="E507" s="13">
        <v>18.149999999999999</v>
      </c>
      <c r="F507" s="13">
        <f t="shared" si="35"/>
        <v>2.4500000000000028</v>
      </c>
      <c r="G507" t="s">
        <v>246</v>
      </c>
      <c r="H507" t="s">
        <v>11</v>
      </c>
      <c r="I507" t="s">
        <v>12</v>
      </c>
      <c r="J507" t="s">
        <v>247</v>
      </c>
      <c r="K507" s="41"/>
      <c r="L507" s="41"/>
      <c r="M507" s="41"/>
    </row>
    <row r="508" spans="2:13">
      <c r="B508" t="s">
        <v>2368</v>
      </c>
      <c r="C508" t="s">
        <v>2358</v>
      </c>
      <c r="D508" s="13">
        <v>15</v>
      </c>
      <c r="E508" s="13">
        <v>13.2</v>
      </c>
      <c r="F508" s="13">
        <f t="shared" si="35"/>
        <v>1.8000000000000007</v>
      </c>
      <c r="G508" t="s">
        <v>246</v>
      </c>
      <c r="H508" t="s">
        <v>11</v>
      </c>
      <c r="I508" t="s">
        <v>12</v>
      </c>
      <c r="J508" t="s">
        <v>247</v>
      </c>
      <c r="K508" s="41"/>
      <c r="L508" s="41"/>
      <c r="M508" s="41"/>
    </row>
    <row r="509" spans="2:13">
      <c r="B509" t="s">
        <v>2369</v>
      </c>
      <c r="C509" t="s">
        <v>2359</v>
      </c>
      <c r="D509" s="13">
        <v>13.8</v>
      </c>
      <c r="E509" s="13">
        <v>12.1</v>
      </c>
      <c r="F509" s="13">
        <f t="shared" si="35"/>
        <v>1.7000000000000011</v>
      </c>
      <c r="G509" t="s">
        <v>246</v>
      </c>
      <c r="H509" t="s">
        <v>11</v>
      </c>
      <c r="I509" t="s">
        <v>12</v>
      </c>
      <c r="J509" t="s">
        <v>247</v>
      </c>
      <c r="K509" s="41"/>
      <c r="L509" s="41"/>
      <c r="M509" s="41"/>
    </row>
    <row r="510" spans="2:13">
      <c r="B510" t="s">
        <v>2370</v>
      </c>
      <c r="C510" t="s">
        <v>2360</v>
      </c>
      <c r="D510" s="13">
        <v>10</v>
      </c>
      <c r="E510" s="13">
        <v>8.8000000000000007</v>
      </c>
      <c r="F510" s="13">
        <f t="shared" si="35"/>
        <v>1.1999999999999993</v>
      </c>
      <c r="G510" t="s">
        <v>246</v>
      </c>
      <c r="H510" t="s">
        <v>11</v>
      </c>
      <c r="I510" t="s">
        <v>12</v>
      </c>
      <c r="J510" t="s">
        <v>247</v>
      </c>
      <c r="K510" s="41"/>
      <c r="L510" s="41"/>
      <c r="M510" s="41"/>
    </row>
    <row r="511" spans="2:13">
      <c r="B511" t="s">
        <v>2371</v>
      </c>
      <c r="C511" t="s">
        <v>2361</v>
      </c>
      <c r="D511" s="13">
        <v>110</v>
      </c>
      <c r="E511" s="13">
        <v>96.8</v>
      </c>
      <c r="F511" s="13">
        <f t="shared" si="35"/>
        <v>13.200000000000003</v>
      </c>
      <c r="G511" t="s">
        <v>246</v>
      </c>
      <c r="H511" t="s">
        <v>11</v>
      </c>
      <c r="I511" t="s">
        <v>12</v>
      </c>
      <c r="J511" t="s">
        <v>247</v>
      </c>
      <c r="K511" s="41"/>
      <c r="L511" s="41"/>
      <c r="M511" s="41"/>
    </row>
    <row r="512" spans="2:13">
      <c r="B512" t="s">
        <v>2372</v>
      </c>
      <c r="C512" t="s">
        <v>2362</v>
      </c>
      <c r="D512" s="13">
        <v>80</v>
      </c>
      <c r="E512" s="13">
        <v>70.400000000000006</v>
      </c>
      <c r="F512" s="13">
        <f t="shared" si="35"/>
        <v>9.5999999999999943</v>
      </c>
      <c r="G512" t="s">
        <v>246</v>
      </c>
      <c r="H512" t="s">
        <v>11</v>
      </c>
      <c r="I512" t="s">
        <v>12</v>
      </c>
      <c r="J512" t="s">
        <v>247</v>
      </c>
      <c r="K512" s="41"/>
      <c r="L512" s="41"/>
      <c r="M512" s="41"/>
    </row>
    <row r="513" spans="1:13">
      <c r="B513" t="s">
        <v>2373</v>
      </c>
      <c r="C513" t="s">
        <v>2363</v>
      </c>
      <c r="D513" s="13">
        <v>15</v>
      </c>
      <c r="E513" s="13">
        <v>13.2</v>
      </c>
      <c r="F513" s="13">
        <f t="shared" si="35"/>
        <v>1.8000000000000007</v>
      </c>
      <c r="G513" t="s">
        <v>246</v>
      </c>
      <c r="H513" t="s">
        <v>11</v>
      </c>
      <c r="I513" t="s">
        <v>12</v>
      </c>
      <c r="J513" t="s">
        <v>247</v>
      </c>
      <c r="K513" s="41"/>
      <c r="L513" s="41"/>
      <c r="M513" s="41"/>
    </row>
    <row r="514" spans="1:13">
      <c r="B514" t="s">
        <v>2374</v>
      </c>
      <c r="C514" t="s">
        <v>2364</v>
      </c>
      <c r="D514" s="13">
        <v>11.3</v>
      </c>
      <c r="E514" s="13">
        <v>9.9</v>
      </c>
      <c r="F514" s="13">
        <f t="shared" si="35"/>
        <v>1.4000000000000004</v>
      </c>
      <c r="G514" t="s">
        <v>246</v>
      </c>
      <c r="H514" t="s">
        <v>11</v>
      </c>
      <c r="I514" t="s">
        <v>12</v>
      </c>
      <c r="J514" t="s">
        <v>247</v>
      </c>
      <c r="K514" s="41"/>
      <c r="L514" s="41"/>
      <c r="M514" s="41"/>
    </row>
    <row r="515" spans="1:13">
      <c r="D515" s="62"/>
      <c r="K515" s="41"/>
      <c r="L515" s="41"/>
      <c r="M515" s="41"/>
    </row>
    <row r="516" spans="1:13">
      <c r="B516" t="s">
        <v>1703</v>
      </c>
      <c r="C516" t="s">
        <v>1702</v>
      </c>
      <c r="D516" s="13">
        <v>247.5</v>
      </c>
      <c r="E516" s="13">
        <v>204.16</v>
      </c>
      <c r="F516" s="13">
        <f>D516-E516</f>
        <v>43.34</v>
      </c>
      <c r="G516" t="s">
        <v>246</v>
      </c>
      <c r="H516" t="s">
        <v>11</v>
      </c>
      <c r="I516" t="s">
        <v>19</v>
      </c>
      <c r="J516" t="s">
        <v>247</v>
      </c>
      <c r="K516" s="41">
        <v>8.82</v>
      </c>
      <c r="L516" s="41"/>
      <c r="M516" s="41"/>
    </row>
    <row r="517" spans="1:13">
      <c r="B517" t="s">
        <v>2081</v>
      </c>
      <c r="C517" t="s">
        <v>2080</v>
      </c>
      <c r="D517" s="13">
        <v>49.5</v>
      </c>
      <c r="E517" s="13">
        <v>40.81</v>
      </c>
      <c r="F517" s="13">
        <f>D517-E517</f>
        <v>8.6899999999999977</v>
      </c>
      <c r="G517" t="s">
        <v>246</v>
      </c>
      <c r="H517" t="s">
        <v>11</v>
      </c>
      <c r="I517" t="s">
        <v>19</v>
      </c>
      <c r="J517" t="s">
        <v>247</v>
      </c>
      <c r="K517" s="41">
        <v>1.48</v>
      </c>
      <c r="L517" s="41"/>
      <c r="M517" s="41"/>
    </row>
    <row r="518" spans="1:13">
      <c r="K518" s="41">
        <v>0</v>
      </c>
      <c r="L518" s="41"/>
      <c r="M518" s="41"/>
    </row>
    <row r="519" spans="1:13">
      <c r="A519" s="4" t="s">
        <v>1248</v>
      </c>
      <c r="C519" s="23" t="s">
        <v>1028</v>
      </c>
      <c r="K519" s="41"/>
      <c r="L519" s="41"/>
      <c r="M519" s="41"/>
    </row>
    <row r="520" spans="1:13">
      <c r="B520" s="50" t="s">
        <v>1314</v>
      </c>
      <c r="C520" s="50" t="s">
        <v>1313</v>
      </c>
      <c r="D520" s="13">
        <v>200</v>
      </c>
      <c r="E520" s="13">
        <v>160</v>
      </c>
      <c r="F520" s="13">
        <f>D520-E520</f>
        <v>40</v>
      </c>
      <c r="G520" s="50" t="s">
        <v>246</v>
      </c>
      <c r="H520" s="50" t="s">
        <v>11</v>
      </c>
      <c r="I520" s="50" t="s">
        <v>19</v>
      </c>
      <c r="J520" s="50" t="s">
        <v>247</v>
      </c>
      <c r="K520" s="41"/>
      <c r="L520" s="41"/>
      <c r="M520" s="41"/>
    </row>
    <row r="521" spans="1:13">
      <c r="B521" s="50" t="s">
        <v>1316</v>
      </c>
      <c r="C521" s="50" t="s">
        <v>1315</v>
      </c>
      <c r="D521" s="13">
        <v>200</v>
      </c>
      <c r="E521" s="13">
        <v>160</v>
      </c>
      <c r="F521" s="13">
        <f>D521-E521</f>
        <v>40</v>
      </c>
      <c r="G521" s="50" t="s">
        <v>246</v>
      </c>
      <c r="H521" s="50" t="s">
        <v>11</v>
      </c>
      <c r="I521" s="50" t="s">
        <v>19</v>
      </c>
      <c r="J521" s="50" t="s">
        <v>250</v>
      </c>
      <c r="K521" s="41"/>
      <c r="L521" s="41"/>
      <c r="M521" s="41"/>
    </row>
    <row r="522" spans="1:13">
      <c r="K522" s="41"/>
      <c r="L522" s="41"/>
      <c r="M522" s="41"/>
    </row>
    <row r="523" spans="1:13">
      <c r="B523" s="53" t="s">
        <v>1410</v>
      </c>
      <c r="C523" s="53" t="s">
        <v>1409</v>
      </c>
      <c r="D523" s="13">
        <v>2</v>
      </c>
      <c r="E523" s="13">
        <v>1.76</v>
      </c>
      <c r="F523" s="13">
        <f t="shared" ref="F523:F528" si="36">D523-E523</f>
        <v>0.24</v>
      </c>
      <c r="G523" s="53" t="s">
        <v>246</v>
      </c>
      <c r="H523" s="53" t="s">
        <v>11</v>
      </c>
      <c r="I523" s="53" t="s">
        <v>19</v>
      </c>
      <c r="J523" s="53" t="s">
        <v>928</v>
      </c>
      <c r="K523" s="41"/>
      <c r="L523" s="41"/>
      <c r="M523" s="41"/>
    </row>
    <row r="524" spans="1:13">
      <c r="B524" s="53" t="s">
        <v>1413</v>
      </c>
      <c r="C524" s="53" t="s">
        <v>1411</v>
      </c>
      <c r="D524" s="13">
        <v>1</v>
      </c>
      <c r="E524" s="13">
        <v>0.88</v>
      </c>
      <c r="F524" s="13">
        <f t="shared" si="36"/>
        <v>0.12</v>
      </c>
      <c r="G524" s="53" t="s">
        <v>246</v>
      </c>
      <c r="H524" s="53" t="s">
        <v>11</v>
      </c>
      <c r="I524" s="53" t="s">
        <v>19</v>
      </c>
      <c r="J524" s="53" t="s">
        <v>247</v>
      </c>
      <c r="K524" s="41"/>
      <c r="L524" s="41"/>
      <c r="M524" s="41"/>
    </row>
    <row r="525" spans="1:13">
      <c r="B525" s="53" t="s">
        <v>1414</v>
      </c>
      <c r="C525" s="53" t="s">
        <v>1412</v>
      </c>
      <c r="D525" s="13">
        <v>0.75</v>
      </c>
      <c r="E525" s="13">
        <v>0.66</v>
      </c>
      <c r="F525" s="13">
        <f t="shared" si="36"/>
        <v>8.9999999999999969E-2</v>
      </c>
      <c r="G525" s="53" t="s">
        <v>246</v>
      </c>
      <c r="H525" s="53" t="s">
        <v>11</v>
      </c>
      <c r="I525" s="53" t="s">
        <v>19</v>
      </c>
      <c r="J525" s="53" t="s">
        <v>250</v>
      </c>
      <c r="K525" s="41"/>
      <c r="L525" s="41"/>
      <c r="M525" s="41"/>
    </row>
    <row r="526" spans="1:13">
      <c r="B526" s="53" t="s">
        <v>1846</v>
      </c>
      <c r="C526" s="53" t="s">
        <v>1845</v>
      </c>
      <c r="D526" s="13">
        <v>1</v>
      </c>
      <c r="E526" s="13">
        <v>0.88</v>
      </c>
      <c r="F526" s="13">
        <f t="shared" si="36"/>
        <v>0.12</v>
      </c>
      <c r="G526" s="53" t="s">
        <v>246</v>
      </c>
      <c r="H526" s="53" t="s">
        <v>11</v>
      </c>
      <c r="I526" s="53" t="s">
        <v>19</v>
      </c>
      <c r="J526" s="53" t="s">
        <v>250</v>
      </c>
      <c r="K526" s="41"/>
      <c r="L526" s="41"/>
      <c r="M526" s="41"/>
    </row>
    <row r="527" spans="1:13">
      <c r="B527" s="53" t="s">
        <v>2464</v>
      </c>
      <c r="C527" s="53" t="s">
        <v>2462</v>
      </c>
      <c r="D527" s="13">
        <v>833.3</v>
      </c>
      <c r="E527" s="13">
        <v>733.37</v>
      </c>
      <c r="F527" s="13">
        <f t="shared" si="36"/>
        <v>99.92999999999995</v>
      </c>
      <c r="G527" s="53" t="s">
        <v>246</v>
      </c>
      <c r="H527" s="53" t="s">
        <v>11</v>
      </c>
      <c r="I527" s="53" t="s">
        <v>12</v>
      </c>
      <c r="J527" s="53" t="s">
        <v>247</v>
      </c>
      <c r="K527" s="41"/>
      <c r="L527" s="41"/>
      <c r="M527" s="41"/>
    </row>
    <row r="528" spans="1:13">
      <c r="B528" s="53" t="s">
        <v>2465</v>
      </c>
      <c r="C528" s="53" t="s">
        <v>2463</v>
      </c>
      <c r="D528" s="13">
        <v>625</v>
      </c>
      <c r="E528" s="13">
        <v>550</v>
      </c>
      <c r="F528" s="13">
        <f t="shared" si="36"/>
        <v>75</v>
      </c>
      <c r="G528" s="53" t="s">
        <v>246</v>
      </c>
      <c r="H528" s="53" t="s">
        <v>11</v>
      </c>
      <c r="I528" s="53" t="s">
        <v>12</v>
      </c>
      <c r="J528" s="53" t="s">
        <v>250</v>
      </c>
      <c r="K528" s="41"/>
      <c r="L528" s="41"/>
      <c r="M528" s="41"/>
    </row>
    <row r="529" spans="2:13">
      <c r="K529" s="41"/>
      <c r="L529" s="41"/>
      <c r="M529" s="41"/>
    </row>
    <row r="530" spans="2:13">
      <c r="C530" s="23" t="s">
        <v>1430</v>
      </c>
      <c r="K530" s="41"/>
      <c r="L530" s="41"/>
      <c r="M530" s="41"/>
    </row>
    <row r="531" spans="2:13">
      <c r="B531" t="s">
        <v>1436</v>
      </c>
      <c r="C531" t="s">
        <v>1435</v>
      </c>
      <c r="D531" s="13">
        <v>500</v>
      </c>
      <c r="E531" s="13">
        <v>440</v>
      </c>
      <c r="F531" s="13">
        <f>D531-E531</f>
        <v>60</v>
      </c>
      <c r="G531" s="53" t="s">
        <v>246</v>
      </c>
      <c r="H531" s="53" t="s">
        <v>11</v>
      </c>
      <c r="I531" s="53" t="s">
        <v>19</v>
      </c>
      <c r="J531" s="53" t="s">
        <v>928</v>
      </c>
      <c r="K531" s="41"/>
      <c r="L531" s="41"/>
      <c r="M531" s="41"/>
    </row>
    <row r="532" spans="2:13">
      <c r="K532" s="41"/>
      <c r="L532" s="41"/>
      <c r="M532" s="41"/>
    </row>
    <row r="533" spans="2:13">
      <c r="B533" t="s">
        <v>1439</v>
      </c>
      <c r="C533" t="s">
        <v>1437</v>
      </c>
      <c r="D533" s="13">
        <v>0.8</v>
      </c>
      <c r="E533" s="13">
        <v>0.7</v>
      </c>
      <c r="F533" s="13">
        <f>D533-E533</f>
        <v>0.10000000000000009</v>
      </c>
      <c r="G533" s="53" t="s">
        <v>246</v>
      </c>
      <c r="H533" s="53" t="s">
        <v>11</v>
      </c>
      <c r="I533" s="53" t="s">
        <v>12</v>
      </c>
      <c r="J533" s="53" t="s">
        <v>247</v>
      </c>
      <c r="K533" s="41">
        <v>0.03</v>
      </c>
      <c r="L533" s="41"/>
      <c r="M533" s="41"/>
    </row>
    <row r="534" spans="2:13">
      <c r="B534" t="s">
        <v>1440</v>
      </c>
      <c r="C534" t="s">
        <v>1438</v>
      </c>
      <c r="D534" s="13">
        <v>0.6</v>
      </c>
      <c r="E534" s="13">
        <v>0.53</v>
      </c>
      <c r="F534" s="13">
        <f t="shared" ref="F534:F536" si="37">D534-E534</f>
        <v>6.9999999999999951E-2</v>
      </c>
      <c r="G534" s="53" t="s">
        <v>246</v>
      </c>
      <c r="H534" s="53" t="s">
        <v>11</v>
      </c>
      <c r="I534" s="53" t="s">
        <v>12</v>
      </c>
      <c r="J534" s="53" t="s">
        <v>250</v>
      </c>
      <c r="K534" s="41">
        <v>0.02</v>
      </c>
      <c r="L534" s="41"/>
      <c r="M534" s="41"/>
    </row>
    <row r="535" spans="2:13">
      <c r="B535" t="s">
        <v>2397</v>
      </c>
      <c r="C535" t="s">
        <v>2395</v>
      </c>
      <c r="D535" s="13">
        <v>300</v>
      </c>
      <c r="E535" s="13">
        <v>264</v>
      </c>
      <c r="F535" s="13">
        <f t="shared" si="37"/>
        <v>36</v>
      </c>
      <c r="G535" s="53" t="s">
        <v>246</v>
      </c>
      <c r="H535" s="53" t="s">
        <v>11</v>
      </c>
      <c r="I535" s="53" t="s">
        <v>12</v>
      </c>
      <c r="J535" s="53" t="s">
        <v>247</v>
      </c>
      <c r="K535" s="41"/>
      <c r="L535" s="41"/>
      <c r="M535" s="41"/>
    </row>
    <row r="536" spans="2:13">
      <c r="B536" t="s">
        <v>2398</v>
      </c>
      <c r="C536" t="s">
        <v>2396</v>
      </c>
      <c r="D536" s="13">
        <v>25</v>
      </c>
      <c r="E536" s="13">
        <v>22</v>
      </c>
      <c r="F536" s="13">
        <f t="shared" si="37"/>
        <v>3</v>
      </c>
      <c r="G536" s="53" t="s">
        <v>246</v>
      </c>
      <c r="H536" s="53" t="s">
        <v>11</v>
      </c>
      <c r="I536" s="53" t="s">
        <v>12</v>
      </c>
      <c r="J536" s="53" t="s">
        <v>247</v>
      </c>
      <c r="K536" s="41"/>
      <c r="L536" s="41"/>
      <c r="M536" s="41"/>
    </row>
    <row r="537" spans="2:13">
      <c r="K537" s="41"/>
      <c r="L537" s="41"/>
      <c r="M537" s="41"/>
    </row>
    <row r="538" spans="2:13">
      <c r="B538" t="s">
        <v>1956</v>
      </c>
      <c r="C538" t="s">
        <v>1954</v>
      </c>
      <c r="D538" s="13">
        <v>2.2999999999999998</v>
      </c>
      <c r="E538" s="13">
        <v>2</v>
      </c>
      <c r="F538" s="13">
        <f>D538-E538</f>
        <v>0.29999999999999982</v>
      </c>
      <c r="G538" s="53" t="s">
        <v>246</v>
      </c>
      <c r="H538" s="53" t="s">
        <v>11</v>
      </c>
      <c r="I538" s="53" t="s">
        <v>12</v>
      </c>
      <c r="J538" s="53" t="s">
        <v>247</v>
      </c>
      <c r="K538" s="41">
        <v>0.06</v>
      </c>
      <c r="L538" s="41"/>
      <c r="M538" s="41"/>
    </row>
    <row r="539" spans="2:13">
      <c r="B539" t="s">
        <v>1957</v>
      </c>
      <c r="C539" t="s">
        <v>1955</v>
      </c>
      <c r="D539" s="13">
        <v>1</v>
      </c>
      <c r="E539" s="13">
        <v>0.88</v>
      </c>
      <c r="F539" s="13">
        <f>D539-E539</f>
        <v>0.12</v>
      </c>
      <c r="G539" s="53" t="s">
        <v>246</v>
      </c>
      <c r="H539" s="53" t="s">
        <v>11</v>
      </c>
      <c r="I539" s="53" t="s">
        <v>12</v>
      </c>
      <c r="J539" s="53" t="s">
        <v>247</v>
      </c>
      <c r="K539" s="41">
        <v>0.02</v>
      </c>
      <c r="L539" s="41"/>
      <c r="M539" s="41"/>
    </row>
    <row r="540" spans="2:13">
      <c r="B540" t="s">
        <v>2446</v>
      </c>
      <c r="C540" t="s">
        <v>2581</v>
      </c>
      <c r="D540" s="13">
        <v>4000</v>
      </c>
      <c r="E540" s="13">
        <v>4000</v>
      </c>
      <c r="F540" s="13">
        <f t="shared" ref="F540:F552" si="38">D540-E540</f>
        <v>0</v>
      </c>
      <c r="G540" s="53" t="s">
        <v>246</v>
      </c>
      <c r="H540" s="53" t="s">
        <v>11</v>
      </c>
      <c r="I540" s="53" t="s">
        <v>12</v>
      </c>
      <c r="J540" s="53" t="s">
        <v>247</v>
      </c>
      <c r="K540" s="41"/>
      <c r="L540" s="41"/>
      <c r="M540" s="41"/>
    </row>
    <row r="541" spans="2:13">
      <c r="B541" t="s">
        <v>2447</v>
      </c>
      <c r="C541" t="s">
        <v>2581</v>
      </c>
      <c r="D541" s="13">
        <v>4000</v>
      </c>
      <c r="E541" s="13">
        <v>4000</v>
      </c>
      <c r="F541" s="13">
        <f t="shared" si="38"/>
        <v>0</v>
      </c>
      <c r="G541" s="53" t="s">
        <v>246</v>
      </c>
      <c r="H541" s="53" t="s">
        <v>11</v>
      </c>
      <c r="I541" s="53" t="s">
        <v>12</v>
      </c>
      <c r="J541" s="53" t="s">
        <v>247</v>
      </c>
      <c r="K541" s="41"/>
      <c r="L541" s="41"/>
      <c r="M541" s="41"/>
    </row>
    <row r="542" spans="2:13">
      <c r="B542" t="s">
        <v>2448</v>
      </c>
      <c r="C542" t="s">
        <v>2582</v>
      </c>
      <c r="D542" s="13">
        <v>4000</v>
      </c>
      <c r="E542" s="13">
        <v>4000</v>
      </c>
      <c r="F542" s="13">
        <f t="shared" si="38"/>
        <v>0</v>
      </c>
      <c r="G542" s="53" t="s">
        <v>246</v>
      </c>
      <c r="H542" s="53" t="s">
        <v>11</v>
      </c>
      <c r="I542" s="53" t="s">
        <v>12</v>
      </c>
      <c r="J542" s="53" t="s">
        <v>250</v>
      </c>
      <c r="K542" s="41"/>
      <c r="L542" s="41"/>
      <c r="M542" s="41"/>
    </row>
    <row r="543" spans="2:13">
      <c r="B543" t="s">
        <v>2449</v>
      </c>
      <c r="C543" t="s">
        <v>2582</v>
      </c>
      <c r="D543" s="13">
        <v>4000</v>
      </c>
      <c r="E543" s="13">
        <v>4000</v>
      </c>
      <c r="F543" s="13">
        <f t="shared" si="38"/>
        <v>0</v>
      </c>
      <c r="G543" s="53" t="s">
        <v>246</v>
      </c>
      <c r="H543" s="53" t="s">
        <v>11</v>
      </c>
      <c r="I543" s="53" t="s">
        <v>12</v>
      </c>
      <c r="J543" s="53" t="s">
        <v>250</v>
      </c>
      <c r="K543" s="41"/>
      <c r="L543" s="41"/>
      <c r="M543" s="41"/>
    </row>
    <row r="544" spans="2:13">
      <c r="B544" t="s">
        <v>2450</v>
      </c>
      <c r="C544" t="s">
        <v>2444</v>
      </c>
      <c r="D544" s="13">
        <v>0</v>
      </c>
      <c r="E544" s="13">
        <v>0</v>
      </c>
      <c r="F544" s="13">
        <f t="shared" si="38"/>
        <v>0</v>
      </c>
      <c r="G544" s="53" t="s">
        <v>246</v>
      </c>
      <c r="H544" s="53" t="s">
        <v>11</v>
      </c>
      <c r="I544" s="53" t="s">
        <v>19</v>
      </c>
      <c r="J544" s="53" t="s">
        <v>247</v>
      </c>
      <c r="K544" s="41"/>
      <c r="L544" s="41"/>
      <c r="M544" s="41"/>
    </row>
    <row r="545" spans="2:13">
      <c r="B545" t="s">
        <v>2451</v>
      </c>
      <c r="C545" t="s">
        <v>2444</v>
      </c>
      <c r="D545" s="13">
        <v>0</v>
      </c>
      <c r="E545" s="13">
        <v>0</v>
      </c>
      <c r="F545" s="13">
        <f t="shared" si="38"/>
        <v>0</v>
      </c>
      <c r="G545" s="53" t="s">
        <v>246</v>
      </c>
      <c r="H545" s="53" t="s">
        <v>11</v>
      </c>
      <c r="I545" s="53" t="s">
        <v>19</v>
      </c>
      <c r="J545" s="53" t="s">
        <v>247</v>
      </c>
      <c r="K545" s="41"/>
      <c r="L545" s="41"/>
      <c r="M545" s="41"/>
    </row>
    <row r="546" spans="2:13">
      <c r="B546" t="s">
        <v>2452</v>
      </c>
      <c r="C546" t="s">
        <v>2445</v>
      </c>
      <c r="D546" s="13">
        <v>0</v>
      </c>
      <c r="E546" s="13">
        <v>0</v>
      </c>
      <c r="F546" s="13">
        <f t="shared" si="38"/>
        <v>0</v>
      </c>
      <c r="G546" s="53" t="s">
        <v>246</v>
      </c>
      <c r="H546" s="53" t="s">
        <v>11</v>
      </c>
      <c r="I546" s="53" t="s">
        <v>19</v>
      </c>
      <c r="J546" s="53" t="s">
        <v>250</v>
      </c>
      <c r="K546" s="41"/>
      <c r="L546" s="41"/>
      <c r="M546" s="41"/>
    </row>
    <row r="547" spans="2:13">
      <c r="B547" t="s">
        <v>2453</v>
      </c>
      <c r="C547" t="s">
        <v>2445</v>
      </c>
      <c r="D547" s="13">
        <v>0</v>
      </c>
      <c r="E547" s="13">
        <v>0</v>
      </c>
      <c r="F547" s="13">
        <f t="shared" si="38"/>
        <v>0</v>
      </c>
      <c r="G547" s="53" t="s">
        <v>246</v>
      </c>
      <c r="H547" s="53" t="s">
        <v>11</v>
      </c>
      <c r="I547" s="53" t="s">
        <v>19</v>
      </c>
      <c r="J547" s="53" t="s">
        <v>250</v>
      </c>
      <c r="K547" s="41"/>
      <c r="L547" s="41"/>
      <c r="M547" s="41"/>
    </row>
    <row r="548" spans="2:13">
      <c r="F548" s="13">
        <f t="shared" si="38"/>
        <v>0</v>
      </c>
      <c r="K548" s="41"/>
      <c r="L548" s="41"/>
      <c r="M548" s="41"/>
    </row>
    <row r="549" spans="2:13">
      <c r="B549" t="s">
        <v>2475</v>
      </c>
      <c r="C549" t="s">
        <v>2471</v>
      </c>
      <c r="D549" s="13">
        <v>1.4</v>
      </c>
      <c r="E549" s="13">
        <v>1.23</v>
      </c>
      <c r="F549" s="13">
        <f t="shared" si="38"/>
        <v>0.16999999999999993</v>
      </c>
      <c r="G549" s="53" t="s">
        <v>246</v>
      </c>
      <c r="H549" s="53" t="s">
        <v>11</v>
      </c>
      <c r="I549" s="53" t="s">
        <v>12</v>
      </c>
      <c r="J549" s="53" t="s">
        <v>247</v>
      </c>
      <c r="K549" s="41"/>
      <c r="L549" s="41"/>
      <c r="M549" s="41"/>
    </row>
    <row r="550" spans="2:13">
      <c r="B550" t="s">
        <v>2476</v>
      </c>
      <c r="C550" t="s">
        <v>2472</v>
      </c>
      <c r="D550" s="13">
        <v>1.05</v>
      </c>
      <c r="E550" s="13">
        <v>0.92</v>
      </c>
      <c r="F550" s="13">
        <f t="shared" si="38"/>
        <v>0.13</v>
      </c>
      <c r="G550" s="53" t="s">
        <v>246</v>
      </c>
      <c r="H550" s="53" t="s">
        <v>11</v>
      </c>
      <c r="I550" s="53" t="s">
        <v>12</v>
      </c>
      <c r="J550" s="53" t="s">
        <v>250</v>
      </c>
      <c r="K550" s="41"/>
      <c r="L550" s="41"/>
      <c r="M550" s="41"/>
    </row>
    <row r="551" spans="2:13">
      <c r="B551" t="s">
        <v>2477</v>
      </c>
      <c r="C551" t="s">
        <v>2473</v>
      </c>
      <c r="D551" s="13">
        <v>0.8</v>
      </c>
      <c r="E551" s="13">
        <v>0.7</v>
      </c>
      <c r="F551" s="13">
        <f t="shared" si="38"/>
        <v>0.10000000000000009</v>
      </c>
      <c r="G551" s="53" t="s">
        <v>246</v>
      </c>
      <c r="H551" s="53" t="s">
        <v>11</v>
      </c>
      <c r="I551" s="53" t="s">
        <v>12</v>
      </c>
      <c r="J551" s="53" t="s">
        <v>247</v>
      </c>
      <c r="K551" s="41"/>
      <c r="L551" s="41"/>
      <c r="M551" s="41"/>
    </row>
    <row r="552" spans="2:13">
      <c r="B552" t="s">
        <v>2478</v>
      </c>
      <c r="C552" t="s">
        <v>2474</v>
      </c>
      <c r="D552" s="13">
        <v>0.6</v>
      </c>
      <c r="E552" s="13">
        <v>0.53</v>
      </c>
      <c r="F552" s="13">
        <f t="shared" si="38"/>
        <v>6.9999999999999951E-2</v>
      </c>
      <c r="G552" s="53" t="s">
        <v>246</v>
      </c>
      <c r="H552" s="53" t="s">
        <v>11</v>
      </c>
      <c r="I552" s="53" t="s">
        <v>12</v>
      </c>
      <c r="J552" s="53" t="s">
        <v>250</v>
      </c>
      <c r="K552" s="41"/>
      <c r="L552" s="41"/>
      <c r="M552" s="41"/>
    </row>
    <row r="553" spans="2:13">
      <c r="G553" s="53"/>
      <c r="H553" s="53"/>
      <c r="I553" s="53"/>
      <c r="J553" s="53"/>
      <c r="K553" s="41"/>
      <c r="L553" s="41"/>
      <c r="M553" s="41"/>
    </row>
    <row r="554" spans="2:13">
      <c r="B554" t="s">
        <v>2578</v>
      </c>
      <c r="C554" t="s">
        <v>2577</v>
      </c>
      <c r="D554" s="13">
        <v>0</v>
      </c>
      <c r="E554" s="13">
        <v>0</v>
      </c>
      <c r="F554" s="13">
        <v>0</v>
      </c>
      <c r="G554" s="53" t="s">
        <v>246</v>
      </c>
      <c r="H554" s="53" t="s">
        <v>11</v>
      </c>
      <c r="I554" s="53" t="s">
        <v>12</v>
      </c>
      <c r="J554" s="53" t="s">
        <v>247</v>
      </c>
      <c r="K554" s="41"/>
      <c r="L554" s="41"/>
      <c r="M554" s="41"/>
    </row>
  </sheetData>
  <sheetProtection algorithmName="SHA-512" hashValue="Ws3Nc9yLKZyJSHAxAvlTOdB7WeGORArZ+SLG9jAnxTp8x/PvPwQtrLl8VaHp3coO+uhh9mNlajaMsQiDytPknw==" saltValue="S4c+NcsrDq8XQhp7czIfDg==" spinCount="100000" sheet="1" objects="1" scenarios="1"/>
  <conditionalFormatting sqref="B81">
    <cfRule type="duplicateValues" dxfId="7" priority="55"/>
  </conditionalFormatting>
  <conditionalFormatting sqref="B83">
    <cfRule type="duplicateValues" dxfId="6" priority="54"/>
  </conditionalFormatting>
  <conditionalFormatting sqref="B123:B124">
    <cfRule type="duplicateValues" dxfId="5" priority="29"/>
  </conditionalFormatting>
  <conditionalFormatting sqref="B125">
    <cfRule type="duplicateValues" dxfId="4" priority="53"/>
  </conditionalFormatting>
  <conditionalFormatting sqref="B386:B393">
    <cfRule type="duplicateValues" dxfId="3" priority="57"/>
  </conditionalFormatting>
  <conditionalFormatting sqref="B520:B521">
    <cfRule type="duplicateValues" dxfId="2" priority="56"/>
  </conditionalFormatting>
  <hyperlinks>
    <hyperlink ref="K1" location="'Incentives Guide'!A1" display="Global H2 Incentive" xr:uid="{87AFC45D-7818-47C9-A53C-E4CCC5D1165B}"/>
    <hyperlink ref="A3" r:id="rId1" xr:uid="{0834FC85-1B15-494E-9A42-E9217E27F15D}"/>
    <hyperlink ref="A46" r:id="rId2" xr:uid="{EC1D250E-DB35-40CA-B776-769BD7383F1E}"/>
    <hyperlink ref="A71" r:id="rId3" xr:uid="{538B91FB-14BE-4FDA-91C4-9E671CBBA500}"/>
    <hyperlink ref="A126" r:id="rId4" xr:uid="{6B999750-93E8-43F5-96B1-F5157EAFF3D7}"/>
    <hyperlink ref="A135" r:id="rId5" xr:uid="{6F902B96-03C6-48D1-AD58-6F381D64B24C}"/>
    <hyperlink ref="A139" r:id="rId6" xr:uid="{7269BFFE-9A2D-49AD-8330-2CFE35BB80D3}"/>
    <hyperlink ref="A170" r:id="rId7" xr:uid="{E3D2F082-E1E0-42A8-908D-38AC7BC4CF98}"/>
    <hyperlink ref="A177" r:id="rId8" xr:uid="{0ACF2BE6-ED07-4CBC-BDDD-E5E3D72ACA62}"/>
    <hyperlink ref="A164" r:id="rId9" xr:uid="{71D732AC-803B-4677-BEAF-21BCB2E7F618}"/>
    <hyperlink ref="A183" r:id="rId10" xr:uid="{1CF30535-5A9B-41FD-BB00-413A95E7F14E}"/>
    <hyperlink ref="A182" r:id="rId11" xr:uid="{1AA01AC4-9E85-41DA-8026-E19541A3B0B4}"/>
    <hyperlink ref="A187" r:id="rId12" xr:uid="{29229CCC-2393-4DA6-A4C4-92FF6C3280C3}"/>
    <hyperlink ref="A191" r:id="rId13" xr:uid="{E64E207D-474A-4777-A239-CE33567143BD}"/>
    <hyperlink ref="A189" r:id="rId14" xr:uid="{EE7969DE-CE42-4961-8786-AD5292C314C7}"/>
    <hyperlink ref="A193" r:id="rId15" xr:uid="{2225BBFC-F28D-4487-9827-B774F8F53519}"/>
    <hyperlink ref="A207" r:id="rId16" xr:uid="{6C9DBD10-871C-4AEF-9CB0-D6A4C9DE89A6}"/>
    <hyperlink ref="A208" r:id="rId17" xr:uid="{BD4878D3-03E7-4DBE-8A96-72635E1E3DB1}"/>
    <hyperlink ref="A209" r:id="rId18" location="Finance" display="https://dynamics.microsoft.com/en-us/pricing/ - Finance" xr:uid="{268E2CA2-1D67-4BB7-B118-91DB9F87A797}"/>
    <hyperlink ref="A213" r:id="rId19" xr:uid="{89B6983E-416A-41CB-AC56-C95FE6E20C3D}"/>
    <hyperlink ref="A305" r:id="rId20" xr:uid="{D986DB81-3AEC-4F02-8D47-FEC935DE9787}"/>
    <hyperlink ref="A309" r:id="rId21" xr:uid="{7164A489-AE13-4BCB-9447-A538AD413621}"/>
    <hyperlink ref="A324" r:id="rId22" xr:uid="{D953419D-57F0-4C41-B43F-58D1E7B027EC}"/>
    <hyperlink ref="A347" r:id="rId23" xr:uid="{AE314866-575E-494C-BCF3-F6FA53C16DAB}"/>
    <hyperlink ref="A360" r:id="rId24" xr:uid="{7909B281-30E4-477D-BB58-77DB82B5EB9B}"/>
    <hyperlink ref="A366" r:id="rId25" xr:uid="{AFFB0AE1-CB1F-4CD5-81BF-E5F9DA82491C}"/>
    <hyperlink ref="A385" r:id="rId26" xr:uid="{7C121298-F347-47DC-B6DE-561C22243FC8}"/>
    <hyperlink ref="A395" r:id="rId27" xr:uid="{ED8D26BB-3AE6-47DF-878C-4447A4DF922B}"/>
    <hyperlink ref="A404" r:id="rId28" xr:uid="{866FDB42-FAE9-4774-9DF8-3802F66246C5}"/>
    <hyperlink ref="A439" r:id="rId29" xr:uid="{8D24ED19-B0E6-43AC-BA14-3B14B079BE6B}"/>
    <hyperlink ref="A449" r:id="rId30" xr:uid="{B3F5F491-A4EC-49F4-BE05-00C63318E7C1}"/>
    <hyperlink ref="A421" r:id="rId31" xr:uid="{6395F653-7AD2-472F-AE19-76C9A67FDDB8}"/>
    <hyperlink ref="A432" r:id="rId32" xr:uid="{FFF18804-CBAF-414C-8CCB-70F70EDC100C}"/>
    <hyperlink ref="A459" r:id="rId33" xr:uid="{E8E13A4A-9340-4F56-98E8-48EB20B91704}"/>
    <hyperlink ref="A493" r:id="rId34" xr:uid="{A61C5F52-D77A-4BF3-A7F4-283CF8F2DF4E}"/>
    <hyperlink ref="A492" r:id="rId35" xr:uid="{F96EC823-AE32-42E6-95E2-CA1EBC75AB8E}"/>
    <hyperlink ref="A519" r:id="rId36" xr:uid="{30F94433-F492-41AB-B918-26D468EFDA65}"/>
  </hyperlinks>
  <pageMargins left="0.7" right="0.7" top="0.75" bottom="0.75" header="0.3" footer="0.3"/>
  <pageSetup orientation="portrait" r:id="rId3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75A38-CC6D-4F2C-A343-1BAF5DF9E768}">
  <dimension ref="A1:CS333"/>
  <sheetViews>
    <sheetView zoomScale="60" zoomScaleNormal="60" workbookViewId="0">
      <pane ySplit="1" topLeftCell="A2" activePane="bottomLeft" state="frozen"/>
      <selection activeCell="B1" sqref="B1"/>
      <selection pane="bottomLeft" activeCell="C185" sqref="C185:C186"/>
    </sheetView>
  </sheetViews>
  <sheetFormatPr defaultRowHeight="15"/>
  <cols>
    <col min="1" max="1" width="14.42578125" customWidth="1"/>
    <col min="2" max="2" width="41.5703125" bestFit="1" customWidth="1"/>
    <col min="3" max="3" width="138" bestFit="1" customWidth="1"/>
    <col min="4" max="4" width="17.5703125" style="13" customWidth="1"/>
    <col min="5" max="5" width="13.42578125" style="13" bestFit="1" customWidth="1"/>
    <col min="6" max="6" width="15.140625" style="13" bestFit="1" customWidth="1"/>
    <col min="7" max="7" width="20.42578125" customWidth="1"/>
    <col min="8" max="8" width="15" bestFit="1" customWidth="1"/>
    <col min="9" max="9" width="24.140625" bestFit="1" customWidth="1"/>
    <col min="10" max="10" width="32.5703125" bestFit="1" customWidth="1"/>
    <col min="11" max="11" width="23.5703125" bestFit="1" customWidth="1"/>
    <col min="12" max="12" width="20.140625" bestFit="1" customWidth="1"/>
    <col min="13" max="13" width="24.28515625" bestFit="1" customWidth="1"/>
  </cols>
  <sheetData>
    <row r="1" spans="1:13">
      <c r="A1" s="2" t="s">
        <v>403</v>
      </c>
      <c r="B1" s="1" t="s">
        <v>1</v>
      </c>
      <c r="C1" s="1" t="s">
        <v>0</v>
      </c>
      <c r="D1" s="37" t="s">
        <v>6</v>
      </c>
      <c r="E1" s="37" t="s">
        <v>7</v>
      </c>
      <c r="F1" s="37" t="s">
        <v>8</v>
      </c>
      <c r="G1" s="37" t="s">
        <v>2</v>
      </c>
      <c r="H1" s="37" t="s">
        <v>3</v>
      </c>
      <c r="I1" s="37" t="s">
        <v>4</v>
      </c>
      <c r="J1" s="37" t="s">
        <v>5</v>
      </c>
      <c r="K1" s="37" t="s">
        <v>1130</v>
      </c>
      <c r="L1" s="37" t="s">
        <v>1128</v>
      </c>
      <c r="M1" s="37" t="s">
        <v>1129</v>
      </c>
    </row>
    <row r="2" spans="1:13">
      <c r="B2" s="3"/>
      <c r="C2" s="2" t="s">
        <v>120</v>
      </c>
      <c r="G2" s="3"/>
      <c r="H2" s="3"/>
      <c r="I2" s="3"/>
      <c r="J2" s="3"/>
      <c r="K2" s="42"/>
      <c r="L2" s="42"/>
      <c r="M2" s="42"/>
    </row>
    <row r="3" spans="1:13">
      <c r="B3" t="s">
        <v>158</v>
      </c>
      <c r="C3" t="s">
        <v>157</v>
      </c>
      <c r="D3" s="15">
        <v>0.75</v>
      </c>
      <c r="E3" s="15">
        <v>0.71</v>
      </c>
      <c r="F3" s="15">
        <f>D3-E3</f>
        <v>4.0000000000000036E-2</v>
      </c>
      <c r="G3" t="s">
        <v>155</v>
      </c>
      <c r="H3" t="s">
        <v>11</v>
      </c>
      <c r="I3" t="s">
        <v>19</v>
      </c>
      <c r="J3" t="s">
        <v>156</v>
      </c>
      <c r="K3" s="42">
        <v>2.375E-2</v>
      </c>
      <c r="L3" s="42"/>
      <c r="M3" s="42"/>
    </row>
    <row r="4" spans="1:13">
      <c r="B4" t="s">
        <v>160</v>
      </c>
      <c r="C4" t="s">
        <v>159</v>
      </c>
      <c r="D4" s="15">
        <v>3.2</v>
      </c>
      <c r="E4" s="15">
        <v>3.02</v>
      </c>
      <c r="F4" s="15">
        <f>D4-E4</f>
        <v>0.18000000000000016</v>
      </c>
      <c r="G4" t="s">
        <v>155</v>
      </c>
      <c r="H4" t="s">
        <v>11</v>
      </c>
      <c r="I4" t="s">
        <v>12</v>
      </c>
      <c r="J4" t="s">
        <v>156</v>
      </c>
      <c r="K4" s="42">
        <v>9.5000000000000001E-2</v>
      </c>
      <c r="L4" s="42"/>
      <c r="M4" s="42"/>
    </row>
    <row r="5" spans="1:13">
      <c r="B5" t="s">
        <v>161</v>
      </c>
      <c r="C5" t="s">
        <v>1086</v>
      </c>
      <c r="D5" s="15">
        <v>0</v>
      </c>
      <c r="E5" s="15">
        <v>0</v>
      </c>
      <c r="F5" s="15">
        <v>0</v>
      </c>
      <c r="G5" t="s">
        <v>155</v>
      </c>
      <c r="H5" t="s">
        <v>11</v>
      </c>
      <c r="I5" t="s">
        <v>12</v>
      </c>
      <c r="J5" t="s">
        <v>156</v>
      </c>
      <c r="K5" s="42"/>
      <c r="L5" s="42"/>
      <c r="M5" s="42"/>
    </row>
    <row r="6" spans="1:13">
      <c r="A6" s="4" t="s">
        <v>198</v>
      </c>
      <c r="B6" t="s">
        <v>162</v>
      </c>
      <c r="C6" t="s">
        <v>1087</v>
      </c>
      <c r="D6" s="15">
        <v>3</v>
      </c>
      <c r="E6" s="15">
        <v>2.84</v>
      </c>
      <c r="F6" s="15">
        <f>D6-E6</f>
        <v>0.16000000000000014</v>
      </c>
      <c r="G6" t="s">
        <v>155</v>
      </c>
      <c r="H6" t="s">
        <v>11</v>
      </c>
      <c r="I6" t="s">
        <v>12</v>
      </c>
      <c r="J6" t="s">
        <v>156</v>
      </c>
      <c r="K6" s="42">
        <v>8.7083333333333332E-2</v>
      </c>
      <c r="L6" s="42"/>
      <c r="M6" s="42"/>
    </row>
    <row r="7" spans="1:13">
      <c r="B7" t="s">
        <v>547</v>
      </c>
      <c r="C7" t="s">
        <v>1088</v>
      </c>
      <c r="D7" s="15">
        <v>0</v>
      </c>
      <c r="E7" s="15">
        <v>0</v>
      </c>
      <c r="F7" s="15">
        <v>0</v>
      </c>
      <c r="G7" t="s">
        <v>155</v>
      </c>
      <c r="H7" t="s">
        <v>11</v>
      </c>
      <c r="I7" t="s">
        <v>27</v>
      </c>
      <c r="J7" t="s">
        <v>156</v>
      </c>
      <c r="K7" s="42"/>
      <c r="L7" s="42"/>
      <c r="M7" s="42"/>
    </row>
    <row r="8" spans="1:13">
      <c r="A8" s="4"/>
      <c r="B8" t="s">
        <v>493</v>
      </c>
      <c r="C8" t="s">
        <v>2341</v>
      </c>
      <c r="D8" s="15">
        <v>2.5</v>
      </c>
      <c r="E8" s="15">
        <v>2.42</v>
      </c>
      <c r="F8" s="15">
        <f>D8-E8</f>
        <v>8.0000000000000071E-2</v>
      </c>
      <c r="G8" t="s">
        <v>155</v>
      </c>
      <c r="H8" t="s">
        <v>11</v>
      </c>
      <c r="I8" t="s">
        <v>12</v>
      </c>
      <c r="J8" t="s">
        <v>156</v>
      </c>
      <c r="K8" s="42">
        <v>5.541666666666667E-2</v>
      </c>
      <c r="L8" s="42"/>
      <c r="M8" s="42"/>
    </row>
    <row r="9" spans="1:13">
      <c r="A9" s="4" t="s">
        <v>199</v>
      </c>
      <c r="B9" t="s">
        <v>163</v>
      </c>
      <c r="C9" t="s">
        <v>603</v>
      </c>
      <c r="D9" s="15">
        <v>5.8</v>
      </c>
      <c r="E9" s="15">
        <v>5.46</v>
      </c>
      <c r="F9" s="15">
        <f>D9-E9</f>
        <v>0.33999999999999986</v>
      </c>
      <c r="G9" t="s">
        <v>155</v>
      </c>
      <c r="H9" t="s">
        <v>11</v>
      </c>
      <c r="I9" t="s">
        <v>12</v>
      </c>
      <c r="J9" t="s">
        <v>156</v>
      </c>
      <c r="K9" s="42">
        <v>0.12666666666666668</v>
      </c>
      <c r="L9" s="42"/>
      <c r="M9" s="42"/>
    </row>
    <row r="10" spans="1:13">
      <c r="A10" s="4"/>
      <c r="B10" t="s">
        <v>548</v>
      </c>
      <c r="C10" t="s">
        <v>164</v>
      </c>
      <c r="D10" s="15">
        <v>0</v>
      </c>
      <c r="E10" s="15">
        <v>0</v>
      </c>
      <c r="F10" s="15">
        <v>0</v>
      </c>
      <c r="G10" t="s">
        <v>155</v>
      </c>
      <c r="H10" t="s">
        <v>11</v>
      </c>
      <c r="I10" t="s">
        <v>27</v>
      </c>
      <c r="J10" t="s">
        <v>156</v>
      </c>
      <c r="K10" s="42"/>
      <c r="L10" s="42"/>
      <c r="M10" s="42"/>
    </row>
    <row r="11" spans="1:13">
      <c r="A11" s="4" t="s">
        <v>199</v>
      </c>
      <c r="B11" t="s">
        <v>165</v>
      </c>
      <c r="C11" t="s">
        <v>970</v>
      </c>
      <c r="D11" s="15">
        <v>15.2</v>
      </c>
      <c r="E11" s="15">
        <v>14.39</v>
      </c>
      <c r="F11" s="15">
        <f>D11-E11</f>
        <v>0.80999999999999872</v>
      </c>
      <c r="G11" t="s">
        <v>155</v>
      </c>
      <c r="H11" t="s">
        <v>11</v>
      </c>
      <c r="I11" t="s">
        <v>12</v>
      </c>
      <c r="J11" t="s">
        <v>156</v>
      </c>
      <c r="K11" s="42">
        <v>0.39583333333333331</v>
      </c>
      <c r="L11" s="42"/>
      <c r="M11" s="42"/>
    </row>
    <row r="12" spans="1:13">
      <c r="A12" s="4"/>
      <c r="B12" t="s">
        <v>549</v>
      </c>
      <c r="C12" t="s">
        <v>166</v>
      </c>
      <c r="D12" s="15">
        <v>0</v>
      </c>
      <c r="E12" s="15">
        <v>0</v>
      </c>
      <c r="F12" s="15">
        <v>0</v>
      </c>
      <c r="G12" t="s">
        <v>155</v>
      </c>
      <c r="H12" t="s">
        <v>11</v>
      </c>
      <c r="I12" t="s">
        <v>27</v>
      </c>
      <c r="J12" t="s">
        <v>156</v>
      </c>
      <c r="K12" s="42"/>
      <c r="L12" s="42"/>
      <c r="M12" s="42"/>
    </row>
    <row r="13" spans="1:13">
      <c r="A13" s="4"/>
      <c r="B13" t="s">
        <v>526</v>
      </c>
      <c r="C13" t="s">
        <v>604</v>
      </c>
      <c r="D13" s="15">
        <v>15.2</v>
      </c>
      <c r="E13" s="15">
        <v>14.39</v>
      </c>
      <c r="F13" s="15">
        <f>D13-E13</f>
        <v>0.80999999999999872</v>
      </c>
      <c r="G13" t="s">
        <v>155</v>
      </c>
      <c r="H13" t="s">
        <v>11</v>
      </c>
      <c r="I13" t="s">
        <v>12</v>
      </c>
      <c r="J13" t="s">
        <v>156</v>
      </c>
      <c r="K13" s="42">
        <v>0.39583333333333331</v>
      </c>
      <c r="L13" s="42"/>
      <c r="M13" s="42"/>
    </row>
    <row r="14" spans="1:13">
      <c r="B14" t="s">
        <v>168</v>
      </c>
      <c r="C14" t="s">
        <v>167</v>
      </c>
      <c r="D14" s="15">
        <v>0.2</v>
      </c>
      <c r="E14" s="15">
        <v>0.17</v>
      </c>
      <c r="F14" s="15">
        <f>D14-E14</f>
        <v>0.03</v>
      </c>
      <c r="G14" t="s">
        <v>155</v>
      </c>
      <c r="H14" t="s">
        <v>11</v>
      </c>
      <c r="I14" t="s">
        <v>19</v>
      </c>
      <c r="J14" t="s">
        <v>156</v>
      </c>
      <c r="K14" s="42">
        <v>7.9166666666666673E-3</v>
      </c>
      <c r="L14" s="42"/>
      <c r="M14" s="42"/>
    </row>
    <row r="15" spans="1:13">
      <c r="A15" s="4" t="s">
        <v>1258</v>
      </c>
      <c r="B15" t="s">
        <v>169</v>
      </c>
      <c r="C15" t="s">
        <v>1089</v>
      </c>
      <c r="D15" s="15">
        <v>3</v>
      </c>
      <c r="E15" s="15">
        <v>2.84</v>
      </c>
      <c r="F15" s="15">
        <f>D15-E15</f>
        <v>0.16000000000000014</v>
      </c>
      <c r="G15" t="s">
        <v>155</v>
      </c>
      <c r="H15" t="s">
        <v>11</v>
      </c>
      <c r="I15" t="s">
        <v>12</v>
      </c>
      <c r="J15" t="s">
        <v>156</v>
      </c>
      <c r="K15" s="42">
        <v>8.7083333333333332E-2</v>
      </c>
      <c r="L15" s="42"/>
      <c r="M15" s="42"/>
    </row>
    <row r="16" spans="1:13">
      <c r="B16" t="s">
        <v>550</v>
      </c>
      <c r="C16" t="s">
        <v>1090</v>
      </c>
      <c r="D16" s="15">
        <v>0</v>
      </c>
      <c r="E16" s="15">
        <v>0</v>
      </c>
      <c r="F16" s="15">
        <v>0</v>
      </c>
      <c r="G16" t="s">
        <v>155</v>
      </c>
      <c r="H16" t="s">
        <v>11</v>
      </c>
      <c r="I16" t="s">
        <v>27</v>
      </c>
      <c r="J16" t="s">
        <v>156</v>
      </c>
      <c r="K16" s="42"/>
      <c r="L16" s="42"/>
      <c r="M16" s="42"/>
    </row>
    <row r="17" spans="1:13">
      <c r="B17" t="s">
        <v>154</v>
      </c>
      <c r="C17" s="51" t="s">
        <v>1334</v>
      </c>
      <c r="D17" s="15">
        <v>0.8</v>
      </c>
      <c r="E17" s="15">
        <v>0.77</v>
      </c>
      <c r="F17" s="15">
        <f>D17-E17</f>
        <v>3.0000000000000027E-2</v>
      </c>
      <c r="G17" t="s">
        <v>155</v>
      </c>
      <c r="H17" t="s">
        <v>11</v>
      </c>
      <c r="I17" t="s">
        <v>19</v>
      </c>
      <c r="J17" t="s">
        <v>156</v>
      </c>
      <c r="K17" s="42">
        <v>2.375E-2</v>
      </c>
      <c r="L17" s="42"/>
      <c r="M17" s="42"/>
    </row>
    <row r="18" spans="1:13">
      <c r="B18" t="s">
        <v>170</v>
      </c>
      <c r="C18" t="s">
        <v>1335</v>
      </c>
      <c r="D18" s="15">
        <v>2</v>
      </c>
      <c r="E18" s="15">
        <v>1.89</v>
      </c>
      <c r="F18" s="15">
        <f>D18-E18</f>
        <v>0.1100000000000001</v>
      </c>
      <c r="G18" t="s">
        <v>155</v>
      </c>
      <c r="H18" t="s">
        <v>11</v>
      </c>
      <c r="I18" t="s">
        <v>19</v>
      </c>
      <c r="J18" t="s">
        <v>156</v>
      </c>
      <c r="K18" s="42">
        <v>5.541666666666667E-2</v>
      </c>
      <c r="L18" s="42"/>
      <c r="M18" s="42"/>
    </row>
    <row r="19" spans="1:13">
      <c r="B19" t="s">
        <v>2120</v>
      </c>
      <c r="C19" t="s">
        <v>2115</v>
      </c>
      <c r="D19" s="15">
        <v>1.2</v>
      </c>
      <c r="E19" s="15">
        <v>1.1340000000000001</v>
      </c>
      <c r="F19" s="15">
        <f t="shared" ref="F19:F24" si="0">D19-E19</f>
        <v>6.5999999999999837E-2</v>
      </c>
      <c r="G19" t="s">
        <v>155</v>
      </c>
      <c r="H19" t="s">
        <v>11</v>
      </c>
      <c r="I19" t="s">
        <v>12</v>
      </c>
      <c r="J19" t="s">
        <v>156</v>
      </c>
      <c r="K19" s="42"/>
      <c r="L19" s="42"/>
      <c r="M19" s="42"/>
    </row>
    <row r="20" spans="1:13">
      <c r="B20" t="s">
        <v>2121</v>
      </c>
      <c r="C20" t="s">
        <v>2116</v>
      </c>
      <c r="D20" s="15">
        <v>0.75</v>
      </c>
      <c r="E20" s="15">
        <v>0.71400000000000008</v>
      </c>
      <c r="F20" s="15">
        <f t="shared" si="0"/>
        <v>3.5999999999999921E-2</v>
      </c>
      <c r="G20" t="s">
        <v>155</v>
      </c>
      <c r="H20" t="s">
        <v>11</v>
      </c>
      <c r="I20" t="s">
        <v>12</v>
      </c>
      <c r="J20" t="s">
        <v>156</v>
      </c>
      <c r="K20" s="42"/>
      <c r="L20" s="42"/>
      <c r="M20" s="42"/>
    </row>
    <row r="21" spans="1:13">
      <c r="A21" t="s">
        <v>527</v>
      </c>
      <c r="B21" t="s">
        <v>2122</v>
      </c>
      <c r="C21" t="s">
        <v>2117</v>
      </c>
      <c r="D21" s="15">
        <v>2.1</v>
      </c>
      <c r="E21" s="15">
        <v>1.9635</v>
      </c>
      <c r="F21" s="15">
        <f t="shared" si="0"/>
        <v>0.13650000000000007</v>
      </c>
      <c r="G21" t="s">
        <v>155</v>
      </c>
      <c r="H21" t="s">
        <v>11</v>
      </c>
      <c r="I21" t="s">
        <v>12</v>
      </c>
      <c r="J21" t="s">
        <v>156</v>
      </c>
      <c r="K21" s="42"/>
      <c r="L21" s="42"/>
      <c r="M21" s="42"/>
    </row>
    <row r="22" spans="1:13">
      <c r="B22" t="s">
        <v>2123</v>
      </c>
      <c r="C22" t="s">
        <v>2118</v>
      </c>
      <c r="D22" s="15">
        <v>2.1</v>
      </c>
      <c r="E22" s="15">
        <v>1.9635</v>
      </c>
      <c r="F22" s="15">
        <f t="shared" si="0"/>
        <v>0.13650000000000007</v>
      </c>
      <c r="G22" t="s">
        <v>155</v>
      </c>
      <c r="H22" t="s">
        <v>11</v>
      </c>
      <c r="I22" t="s">
        <v>12</v>
      </c>
      <c r="J22" t="s">
        <v>156</v>
      </c>
      <c r="K22" s="42"/>
      <c r="L22" s="42"/>
      <c r="M22" s="42"/>
    </row>
    <row r="23" spans="1:13">
      <c r="B23" t="s">
        <v>2310</v>
      </c>
      <c r="C23" t="s">
        <v>2309</v>
      </c>
      <c r="D23" s="15">
        <v>1.6</v>
      </c>
      <c r="E23" s="15">
        <v>1.51</v>
      </c>
      <c r="F23" s="15">
        <f t="shared" si="0"/>
        <v>9.000000000000008E-2</v>
      </c>
      <c r="G23" t="s">
        <v>155</v>
      </c>
      <c r="H23" t="s">
        <v>11</v>
      </c>
      <c r="I23" t="s">
        <v>12</v>
      </c>
      <c r="J23" t="s">
        <v>156</v>
      </c>
      <c r="K23" s="42"/>
      <c r="L23" s="42"/>
      <c r="M23" s="42"/>
    </row>
    <row r="24" spans="1:13">
      <c r="B24" t="s">
        <v>2124</v>
      </c>
      <c r="C24" t="s">
        <v>2119</v>
      </c>
      <c r="D24" s="15">
        <v>0.75</v>
      </c>
      <c r="E24" s="15">
        <v>0.71400000000000008</v>
      </c>
      <c r="F24" s="15">
        <f t="shared" si="0"/>
        <v>3.5999999999999921E-2</v>
      </c>
      <c r="G24" t="s">
        <v>155</v>
      </c>
      <c r="H24" t="s">
        <v>11</v>
      </c>
      <c r="I24" t="s">
        <v>19</v>
      </c>
      <c r="J24" t="s">
        <v>156</v>
      </c>
      <c r="K24" s="42"/>
      <c r="L24" s="42"/>
      <c r="M24" s="42"/>
    </row>
    <row r="25" spans="1:13">
      <c r="B25" t="s">
        <v>1976</v>
      </c>
      <c r="C25" t="s">
        <v>1973</v>
      </c>
      <c r="D25" s="15">
        <v>0</v>
      </c>
      <c r="E25" s="15">
        <v>0</v>
      </c>
      <c r="F25" s="15">
        <f>D25-E25</f>
        <v>0</v>
      </c>
      <c r="G25" t="s">
        <v>155</v>
      </c>
      <c r="H25" t="s">
        <v>11</v>
      </c>
      <c r="I25" t="s">
        <v>12</v>
      </c>
      <c r="J25" t="s">
        <v>156</v>
      </c>
      <c r="K25" s="42">
        <v>0</v>
      </c>
      <c r="L25" s="42"/>
      <c r="M25" s="42"/>
    </row>
    <row r="26" spans="1:13">
      <c r="B26" t="s">
        <v>1977</v>
      </c>
      <c r="C26" t="s">
        <v>1974</v>
      </c>
      <c r="D26" s="15">
        <v>750</v>
      </c>
      <c r="E26" s="15">
        <v>708.75</v>
      </c>
      <c r="F26" s="15">
        <f>D26-E26</f>
        <v>41.25</v>
      </c>
      <c r="G26" t="s">
        <v>155</v>
      </c>
      <c r="H26" t="s">
        <v>11</v>
      </c>
      <c r="I26" t="s">
        <v>12</v>
      </c>
      <c r="J26" t="s">
        <v>156</v>
      </c>
      <c r="K26" s="42">
        <v>16.88</v>
      </c>
      <c r="L26" s="42"/>
      <c r="M26" s="42"/>
    </row>
    <row r="27" spans="1:13">
      <c r="B27" t="s">
        <v>1978</v>
      </c>
      <c r="C27" t="s">
        <v>1975</v>
      </c>
      <c r="D27" s="15">
        <v>2000</v>
      </c>
      <c r="E27" s="15">
        <v>1890</v>
      </c>
      <c r="F27" s="15">
        <f>D27-E27</f>
        <v>110</v>
      </c>
      <c r="G27" t="s">
        <v>155</v>
      </c>
      <c r="H27" t="s">
        <v>11</v>
      </c>
      <c r="I27" t="s">
        <v>12</v>
      </c>
      <c r="J27" t="s">
        <v>156</v>
      </c>
      <c r="K27" s="42">
        <v>45</v>
      </c>
      <c r="L27" s="42"/>
      <c r="M27" s="42"/>
    </row>
    <row r="28" spans="1:13">
      <c r="B28" t="s">
        <v>2576</v>
      </c>
      <c r="C28" t="s">
        <v>2575</v>
      </c>
      <c r="D28" s="15">
        <v>300</v>
      </c>
      <c r="E28" s="15">
        <v>264</v>
      </c>
      <c r="F28" s="15">
        <f>D28-E28</f>
        <v>36</v>
      </c>
      <c r="G28" t="s">
        <v>155</v>
      </c>
      <c r="H28" t="s">
        <v>11</v>
      </c>
      <c r="I28" t="s">
        <v>12</v>
      </c>
      <c r="J28" t="s">
        <v>247</v>
      </c>
      <c r="K28" s="42"/>
      <c r="L28" s="42"/>
      <c r="M28" s="42"/>
    </row>
    <row r="29" spans="1:13">
      <c r="D29" s="15"/>
      <c r="E29" s="15"/>
      <c r="F29" s="15"/>
      <c r="K29" s="42"/>
      <c r="L29" s="42"/>
      <c r="M29" s="42"/>
    </row>
    <row r="30" spans="1:13">
      <c r="B30" t="s">
        <v>561</v>
      </c>
      <c r="C30" t="s">
        <v>821</v>
      </c>
      <c r="D30" s="15">
        <v>28</v>
      </c>
      <c r="E30" s="15">
        <v>26.46</v>
      </c>
      <c r="F30" s="15">
        <f>D30-E30</f>
        <v>1.5399999999999991</v>
      </c>
      <c r="G30" t="s">
        <v>155</v>
      </c>
      <c r="H30" t="s">
        <v>11</v>
      </c>
      <c r="I30" t="s">
        <v>12</v>
      </c>
      <c r="J30" t="s">
        <v>156</v>
      </c>
      <c r="K30" s="42">
        <v>0.79958333333333331</v>
      </c>
      <c r="L30" s="42"/>
      <c r="M30" s="42"/>
    </row>
    <row r="31" spans="1:13">
      <c r="B31" t="s">
        <v>565</v>
      </c>
      <c r="C31" t="s">
        <v>820</v>
      </c>
      <c r="D31" s="15">
        <v>1.4</v>
      </c>
      <c r="E31" s="15">
        <v>1.32</v>
      </c>
      <c r="F31" s="15">
        <f>D31-E31</f>
        <v>7.9999999999999849E-2</v>
      </c>
      <c r="G31" t="s">
        <v>155</v>
      </c>
      <c r="H31" t="s">
        <v>11</v>
      </c>
      <c r="I31" t="s">
        <v>12</v>
      </c>
      <c r="J31" t="s">
        <v>156</v>
      </c>
      <c r="K31" s="42">
        <v>3.9583333333333331E-2</v>
      </c>
      <c r="L31" s="42"/>
      <c r="M31" s="42"/>
    </row>
    <row r="32" spans="1:13">
      <c r="B32" t="s">
        <v>569</v>
      </c>
      <c r="C32" t="s">
        <v>822</v>
      </c>
      <c r="D32" s="15">
        <v>7</v>
      </c>
      <c r="E32" s="15">
        <v>6.62</v>
      </c>
      <c r="F32" s="15">
        <f>D32-E32</f>
        <v>0.37999999999999989</v>
      </c>
      <c r="G32" t="s">
        <v>155</v>
      </c>
      <c r="H32" t="s">
        <v>11</v>
      </c>
      <c r="I32" t="s">
        <v>12</v>
      </c>
      <c r="J32" t="s">
        <v>156</v>
      </c>
      <c r="K32" s="42">
        <v>0.19791666666666666</v>
      </c>
      <c r="L32" s="42"/>
      <c r="M32" s="42"/>
    </row>
    <row r="33" spans="1:91">
      <c r="D33" s="15"/>
      <c r="E33" s="15"/>
      <c r="F33" s="15"/>
      <c r="K33" s="42"/>
      <c r="L33" s="42"/>
      <c r="M33" s="42"/>
    </row>
    <row r="34" spans="1:91">
      <c r="B34" t="s">
        <v>543</v>
      </c>
      <c r="C34" t="s">
        <v>829</v>
      </c>
      <c r="D34" s="15">
        <v>4.8</v>
      </c>
      <c r="E34" s="15">
        <v>4.5199999999999996</v>
      </c>
      <c r="F34" s="15">
        <f>D34-E34</f>
        <v>0.28000000000000025</v>
      </c>
      <c r="G34" t="s">
        <v>155</v>
      </c>
      <c r="H34" t="s">
        <v>11</v>
      </c>
      <c r="I34" t="s">
        <v>19</v>
      </c>
      <c r="J34" t="s">
        <v>156</v>
      </c>
      <c r="K34" s="42">
        <v>0.13458333333333333</v>
      </c>
      <c r="L34" s="42"/>
      <c r="M34" s="42"/>
    </row>
    <row r="35" spans="1:91">
      <c r="B35" t="s">
        <v>545</v>
      </c>
      <c r="C35" t="s">
        <v>828</v>
      </c>
      <c r="D35" s="15">
        <v>4.8</v>
      </c>
      <c r="E35" s="15">
        <v>4.5199999999999996</v>
      </c>
      <c r="F35" s="15">
        <f>D35-E35</f>
        <v>0.28000000000000025</v>
      </c>
      <c r="G35" t="s">
        <v>155</v>
      </c>
      <c r="H35" t="s">
        <v>11</v>
      </c>
      <c r="I35" t="s">
        <v>19</v>
      </c>
      <c r="J35" t="s">
        <v>156</v>
      </c>
      <c r="K35" s="42">
        <v>0.13</v>
      </c>
      <c r="L35" s="42"/>
      <c r="M35" s="42"/>
    </row>
    <row r="36" spans="1:91">
      <c r="B36" t="s">
        <v>1054</v>
      </c>
      <c r="C36" t="s">
        <v>1067</v>
      </c>
      <c r="D36" s="15">
        <v>2.4</v>
      </c>
      <c r="E36" s="15">
        <v>2.31</v>
      </c>
      <c r="F36" s="15">
        <f>D36-E36</f>
        <v>8.9999999999999858E-2</v>
      </c>
      <c r="G36" t="s">
        <v>155</v>
      </c>
      <c r="H36" t="s">
        <v>11</v>
      </c>
      <c r="I36" t="s">
        <v>12</v>
      </c>
      <c r="J36" t="s">
        <v>156</v>
      </c>
      <c r="K36" s="42">
        <v>7.1249999999999994E-2</v>
      </c>
      <c r="L36" s="42"/>
      <c r="M36" s="42"/>
    </row>
    <row r="37" spans="1:91">
      <c r="B37" t="s">
        <v>1056</v>
      </c>
      <c r="C37" t="s">
        <v>1055</v>
      </c>
      <c r="D37" s="15">
        <v>2.8</v>
      </c>
      <c r="E37" s="15">
        <v>2.63</v>
      </c>
      <c r="F37" s="15">
        <f>D37-E37</f>
        <v>0.16999999999999993</v>
      </c>
      <c r="G37" t="s">
        <v>155</v>
      </c>
      <c r="H37" t="s">
        <v>11</v>
      </c>
      <c r="I37" t="s">
        <v>12</v>
      </c>
      <c r="J37" t="s">
        <v>156</v>
      </c>
      <c r="K37" s="42">
        <v>7.9166666666666663E-2</v>
      </c>
      <c r="L37" s="42"/>
      <c r="M37" s="42"/>
    </row>
    <row r="38" spans="1:91">
      <c r="B38" t="s">
        <v>1058</v>
      </c>
      <c r="C38" t="s">
        <v>1057</v>
      </c>
      <c r="D38" s="15">
        <v>2.4</v>
      </c>
      <c r="E38" s="15">
        <v>2.31</v>
      </c>
      <c r="F38" s="15">
        <f>D38-E38</f>
        <v>8.9999999999999858E-2</v>
      </c>
      <c r="G38" t="s">
        <v>155</v>
      </c>
      <c r="H38" t="s">
        <v>11</v>
      </c>
      <c r="I38" t="s">
        <v>12</v>
      </c>
      <c r="J38" t="s">
        <v>156</v>
      </c>
      <c r="K38" s="42">
        <v>7.1249999999999994E-2</v>
      </c>
      <c r="L38" s="42"/>
      <c r="M38" s="42"/>
    </row>
    <row r="39" spans="1:91">
      <c r="D39" s="15"/>
      <c r="E39" s="15"/>
      <c r="F39" s="15"/>
      <c r="K39" s="42"/>
      <c r="L39" s="42"/>
      <c r="M39" s="42"/>
    </row>
    <row r="40" spans="1:91" s="11" customFormat="1">
      <c r="A40"/>
      <c r="B40" t="s">
        <v>456</v>
      </c>
      <c r="C40" t="s">
        <v>446</v>
      </c>
      <c r="D40" s="15">
        <v>1.5</v>
      </c>
      <c r="E40" s="15">
        <v>1.39</v>
      </c>
      <c r="F40" s="15">
        <f>D40-E40</f>
        <v>0.1100000000000001</v>
      </c>
      <c r="G40" t="s">
        <v>155</v>
      </c>
      <c r="H40" t="s">
        <v>11</v>
      </c>
      <c r="I40" t="s">
        <v>12</v>
      </c>
      <c r="J40" t="s">
        <v>156</v>
      </c>
      <c r="K40" s="42">
        <v>3.9583333333333331E-2</v>
      </c>
      <c r="L40" s="42"/>
      <c r="M40" s="42"/>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row>
    <row r="41" spans="1:91" s="11" customFormat="1">
      <c r="A41"/>
      <c r="B41" t="s">
        <v>458</v>
      </c>
      <c r="C41" t="s">
        <v>457</v>
      </c>
      <c r="D41" s="15">
        <v>3.6</v>
      </c>
      <c r="E41" s="15">
        <v>3.36</v>
      </c>
      <c r="F41" s="15">
        <f>D41-E41</f>
        <v>0.24000000000000021</v>
      </c>
      <c r="G41" t="s">
        <v>155</v>
      </c>
      <c r="H41" t="s">
        <v>11</v>
      </c>
      <c r="I41" t="s">
        <v>12</v>
      </c>
      <c r="J41" t="s">
        <v>156</v>
      </c>
      <c r="K41" s="42">
        <v>3.1666666666666669E-2</v>
      </c>
      <c r="L41" s="42"/>
      <c r="M41" s="42"/>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row>
    <row r="42" spans="1:91">
      <c r="B42" t="s">
        <v>459</v>
      </c>
      <c r="C42" t="s">
        <v>2311</v>
      </c>
      <c r="D42" s="15">
        <v>2.2000000000000002</v>
      </c>
      <c r="E42" s="15">
        <v>2.08</v>
      </c>
      <c r="F42" s="15">
        <f>D42-E42</f>
        <v>0.12000000000000011</v>
      </c>
      <c r="G42" t="s">
        <v>155</v>
      </c>
      <c r="H42" t="s">
        <v>11</v>
      </c>
      <c r="I42" t="s">
        <v>12</v>
      </c>
      <c r="J42" t="s">
        <v>156</v>
      </c>
      <c r="K42" s="42">
        <v>3.9583333333333331E-2</v>
      </c>
      <c r="L42" s="42"/>
      <c r="M42" s="42"/>
    </row>
    <row r="43" spans="1:91" s="11" customFormat="1">
      <c r="A43"/>
      <c r="B43"/>
      <c r="C43"/>
      <c r="D43" s="15"/>
      <c r="E43" s="15"/>
      <c r="F43" s="15"/>
      <c r="G43"/>
      <c r="H43"/>
      <c r="I43"/>
      <c r="J43"/>
      <c r="K43" s="42"/>
      <c r="L43" s="42"/>
      <c r="M43" s="42"/>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row>
    <row r="44" spans="1:91" s="11" customFormat="1">
      <c r="A44"/>
      <c r="B44" t="s">
        <v>924</v>
      </c>
      <c r="C44" t="s">
        <v>923</v>
      </c>
      <c r="D44" s="15">
        <v>0.88</v>
      </c>
      <c r="E44" s="15">
        <v>0.85</v>
      </c>
      <c r="F44" s="15">
        <f>D44-E44</f>
        <v>3.0000000000000027E-2</v>
      </c>
      <c r="G44" t="s">
        <v>155</v>
      </c>
      <c r="H44" t="s">
        <v>11</v>
      </c>
      <c r="I44" t="s">
        <v>12</v>
      </c>
      <c r="J44" t="s">
        <v>156</v>
      </c>
      <c r="K44" s="42">
        <v>2.375E-2</v>
      </c>
      <c r="L44" s="42"/>
      <c r="M44" s="42"/>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row>
    <row r="45" spans="1:91" s="11" customFormat="1">
      <c r="A45"/>
      <c r="B45"/>
      <c r="C45"/>
      <c r="D45" s="15"/>
      <c r="E45" s="15"/>
      <c r="F45" s="15"/>
      <c r="G45"/>
      <c r="H45"/>
      <c r="I45"/>
      <c r="J45"/>
      <c r="K45" s="42"/>
      <c r="L45" s="42"/>
      <c r="M45" s="42"/>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row>
    <row r="46" spans="1:91" s="11" customFormat="1">
      <c r="A46"/>
      <c r="B46" t="s">
        <v>1160</v>
      </c>
      <c r="C46" t="s">
        <v>1159</v>
      </c>
      <c r="D46" s="15">
        <v>4.8</v>
      </c>
      <c r="E46" s="15">
        <v>4.51</v>
      </c>
      <c r="F46" s="15">
        <f>D46-E46</f>
        <v>0.29000000000000004</v>
      </c>
      <c r="G46" t="s">
        <v>155</v>
      </c>
      <c r="H46" t="s">
        <v>11</v>
      </c>
      <c r="I46" t="s">
        <v>19</v>
      </c>
      <c r="J46" t="s">
        <v>156</v>
      </c>
      <c r="K46" s="42">
        <v>0.13458333333333333</v>
      </c>
      <c r="L46" s="42"/>
      <c r="M46" s="42"/>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row>
    <row r="47" spans="1:91" s="11" customFormat="1">
      <c r="A47"/>
      <c r="B47" t="s">
        <v>2131</v>
      </c>
      <c r="C47" t="s">
        <v>2130</v>
      </c>
      <c r="D47" s="15">
        <v>40</v>
      </c>
      <c r="E47" s="15">
        <v>37.799999999999997</v>
      </c>
      <c r="F47" s="15">
        <f>D47-E47</f>
        <v>2.2000000000000028</v>
      </c>
      <c r="G47" t="s">
        <v>155</v>
      </c>
      <c r="H47" t="s">
        <v>11</v>
      </c>
      <c r="I47" t="s">
        <v>19</v>
      </c>
      <c r="J47" t="s">
        <v>156</v>
      </c>
      <c r="K47" s="42"/>
      <c r="L47" s="42"/>
      <c r="M47" s="42"/>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row>
    <row r="48" spans="1:91" s="11" customFormat="1">
      <c r="A48"/>
      <c r="B48"/>
      <c r="C48"/>
      <c r="D48" s="15"/>
      <c r="E48" s="15"/>
      <c r="F48" s="15"/>
      <c r="G48"/>
      <c r="H48"/>
      <c r="I48"/>
      <c r="J48"/>
      <c r="K48" s="42"/>
      <c r="L48" s="42"/>
      <c r="M48" s="42"/>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row>
    <row r="49" spans="1:13">
      <c r="C49" s="2" t="s">
        <v>58</v>
      </c>
      <c r="D49" s="15"/>
      <c r="E49" s="15"/>
      <c r="F49" s="15"/>
      <c r="K49" s="42"/>
      <c r="L49" s="42"/>
      <c r="M49" s="42"/>
    </row>
    <row r="50" spans="1:13">
      <c r="A50" s="4" t="s">
        <v>1259</v>
      </c>
      <c r="B50" t="s">
        <v>172</v>
      </c>
      <c r="C50" t="s">
        <v>171</v>
      </c>
      <c r="D50" s="15">
        <v>2.8</v>
      </c>
      <c r="E50" s="15">
        <v>2.63</v>
      </c>
      <c r="F50" s="15">
        <f>D50-E50</f>
        <v>0.16999999999999993</v>
      </c>
      <c r="G50" t="s">
        <v>155</v>
      </c>
      <c r="H50" t="s">
        <v>11</v>
      </c>
      <c r="I50" t="s">
        <v>12</v>
      </c>
      <c r="J50" t="s">
        <v>156</v>
      </c>
      <c r="K50" s="42">
        <v>7.9166666666666663E-2</v>
      </c>
      <c r="L50" s="42"/>
      <c r="M50" s="42"/>
    </row>
    <row r="51" spans="1:13">
      <c r="B51" t="s">
        <v>173</v>
      </c>
      <c r="C51" t="s">
        <v>854</v>
      </c>
      <c r="D51" s="15">
        <v>22</v>
      </c>
      <c r="E51" s="15">
        <v>20.79</v>
      </c>
      <c r="F51" s="15">
        <f>D51-E51</f>
        <v>1.2100000000000009</v>
      </c>
      <c r="G51" t="s">
        <v>155</v>
      </c>
      <c r="H51" t="s">
        <v>11</v>
      </c>
      <c r="I51" t="s">
        <v>12</v>
      </c>
      <c r="J51" t="s">
        <v>156</v>
      </c>
      <c r="K51" s="42">
        <v>0.62541666666666673</v>
      </c>
      <c r="L51" s="42"/>
      <c r="M51" s="42"/>
    </row>
    <row r="52" spans="1:13">
      <c r="B52" t="s">
        <v>174</v>
      </c>
      <c r="C52" t="s">
        <v>855</v>
      </c>
      <c r="D52" s="15">
        <v>12</v>
      </c>
      <c r="E52" s="15">
        <v>11.34</v>
      </c>
      <c r="F52" s="15">
        <f>D52-E52</f>
        <v>0.66000000000000014</v>
      </c>
      <c r="G52" t="s">
        <v>155</v>
      </c>
      <c r="H52" t="s">
        <v>11</v>
      </c>
      <c r="I52" t="s">
        <v>12</v>
      </c>
      <c r="J52" t="s">
        <v>156</v>
      </c>
      <c r="K52" s="42">
        <v>0.3404166666666667</v>
      </c>
      <c r="L52" s="42"/>
      <c r="M52" s="42"/>
    </row>
    <row r="53" spans="1:13">
      <c r="C53" s="3"/>
      <c r="D53" s="15"/>
      <c r="E53" s="15"/>
      <c r="F53" s="15"/>
      <c r="K53" s="42"/>
      <c r="L53" s="42"/>
      <c r="M53" s="42"/>
    </row>
    <row r="54" spans="1:13">
      <c r="C54" s="2" t="s">
        <v>68</v>
      </c>
      <c r="D54" s="15"/>
      <c r="E54" s="15"/>
      <c r="F54" s="15"/>
      <c r="K54" s="42"/>
      <c r="L54" s="42"/>
      <c r="M54" s="42"/>
    </row>
    <row r="55" spans="1:13">
      <c r="A55" s="4" t="s">
        <v>1260</v>
      </c>
      <c r="B55" t="s">
        <v>175</v>
      </c>
      <c r="C55" t="s">
        <v>925</v>
      </c>
      <c r="D55" s="15">
        <v>3.2</v>
      </c>
      <c r="E55" s="15">
        <v>3.05</v>
      </c>
      <c r="F55" s="15">
        <f>D55-E55</f>
        <v>0.15000000000000036</v>
      </c>
      <c r="G55" t="s">
        <v>155</v>
      </c>
      <c r="H55" t="s">
        <v>11</v>
      </c>
      <c r="I55" t="s">
        <v>12</v>
      </c>
      <c r="J55" t="s">
        <v>156</v>
      </c>
      <c r="K55" s="42">
        <v>9.5000000000000001E-2</v>
      </c>
      <c r="L55" s="42"/>
      <c r="M55" s="42"/>
    </row>
    <row r="56" spans="1:13">
      <c r="B56" t="s">
        <v>176</v>
      </c>
      <c r="C56" t="s">
        <v>922</v>
      </c>
      <c r="D56" s="15">
        <v>1</v>
      </c>
      <c r="E56" s="15">
        <v>1</v>
      </c>
      <c r="F56" s="15">
        <f>D56-E56</f>
        <v>0</v>
      </c>
      <c r="G56" t="s">
        <v>155</v>
      </c>
      <c r="H56" t="s">
        <v>11</v>
      </c>
      <c r="I56" t="s">
        <v>12</v>
      </c>
      <c r="J56" t="s">
        <v>156</v>
      </c>
      <c r="K56" s="42">
        <v>4.7500000000000001E-2</v>
      </c>
      <c r="L56" s="42"/>
      <c r="M56" s="42"/>
    </row>
    <row r="57" spans="1:13">
      <c r="D57" s="15"/>
      <c r="E57" s="15"/>
      <c r="F57" s="15"/>
      <c r="K57" s="42"/>
      <c r="L57" s="42"/>
      <c r="M57" s="42"/>
    </row>
    <row r="58" spans="1:13">
      <c r="B58" t="s">
        <v>1270</v>
      </c>
      <c r="C58" t="s">
        <v>1269</v>
      </c>
      <c r="D58" s="15">
        <v>1.6</v>
      </c>
      <c r="E58" s="15">
        <v>1.6</v>
      </c>
      <c r="F58" s="15">
        <f>D58-E58</f>
        <v>0</v>
      </c>
      <c r="G58" t="s">
        <v>155</v>
      </c>
      <c r="H58" t="s">
        <v>11</v>
      </c>
      <c r="I58" t="s">
        <v>19</v>
      </c>
      <c r="J58" t="s">
        <v>156</v>
      </c>
      <c r="K58" s="42">
        <v>4.7500000000000001E-2</v>
      </c>
      <c r="L58" s="42"/>
      <c r="M58" s="42"/>
    </row>
    <row r="59" spans="1:13">
      <c r="D59" s="15"/>
      <c r="E59" s="15"/>
      <c r="F59" s="15"/>
      <c r="K59" s="42"/>
      <c r="L59" s="42"/>
      <c r="M59" s="42"/>
    </row>
    <row r="60" spans="1:13">
      <c r="B60" t="s">
        <v>1984</v>
      </c>
      <c r="C60" t="s">
        <v>1983</v>
      </c>
      <c r="D60" s="15">
        <v>20</v>
      </c>
      <c r="E60" s="15">
        <v>18.899999999999999</v>
      </c>
      <c r="F60" s="15">
        <f>D60-E60</f>
        <v>1.1000000000000014</v>
      </c>
      <c r="G60" s="51" t="s">
        <v>155</v>
      </c>
      <c r="H60" s="51" t="s">
        <v>11</v>
      </c>
      <c r="I60" s="51" t="s">
        <v>12</v>
      </c>
      <c r="J60" s="51" t="s">
        <v>156</v>
      </c>
      <c r="K60" s="42">
        <v>0.45</v>
      </c>
      <c r="L60" s="42"/>
      <c r="M60" s="42"/>
    </row>
    <row r="61" spans="1:13">
      <c r="B61" t="s">
        <v>2457</v>
      </c>
      <c r="C61" t="s">
        <v>2456</v>
      </c>
      <c r="D61" s="15">
        <v>2.8</v>
      </c>
      <c r="E61" s="15">
        <v>2.63</v>
      </c>
      <c r="F61" s="15">
        <f>D61-E61</f>
        <v>0.16999999999999993</v>
      </c>
      <c r="G61" s="51" t="s">
        <v>155</v>
      </c>
      <c r="H61" s="51" t="s">
        <v>11</v>
      </c>
      <c r="I61" s="51" t="s">
        <v>12</v>
      </c>
      <c r="J61" s="51" t="s">
        <v>156</v>
      </c>
      <c r="K61" s="42"/>
      <c r="L61" s="42"/>
      <c r="M61" s="42"/>
    </row>
    <row r="62" spans="1:13">
      <c r="B62" t="s">
        <v>2079</v>
      </c>
      <c r="C62" t="s">
        <v>2078</v>
      </c>
      <c r="D62" s="15">
        <v>0</v>
      </c>
      <c r="E62" s="15">
        <v>0</v>
      </c>
      <c r="F62" s="15">
        <v>0</v>
      </c>
      <c r="G62" s="51" t="s">
        <v>155</v>
      </c>
      <c r="H62" s="51" t="s">
        <v>11</v>
      </c>
      <c r="I62" s="51" t="s">
        <v>19</v>
      </c>
      <c r="J62" s="51" t="s">
        <v>156</v>
      </c>
      <c r="K62" s="42"/>
      <c r="L62" s="42"/>
      <c r="M62" s="42"/>
    </row>
    <row r="63" spans="1:13">
      <c r="B63" t="s">
        <v>2337</v>
      </c>
      <c r="C63" t="s">
        <v>2333</v>
      </c>
      <c r="D63" s="15">
        <v>10</v>
      </c>
      <c r="E63" s="15">
        <v>9.4499999999999993</v>
      </c>
      <c r="F63" s="15">
        <f t="shared" ref="F63:F66" si="1">D63-E63</f>
        <v>0.55000000000000071</v>
      </c>
      <c r="G63" s="51" t="s">
        <v>155</v>
      </c>
      <c r="H63" s="51" t="s">
        <v>11</v>
      </c>
      <c r="I63" s="51" t="s">
        <v>12</v>
      </c>
      <c r="J63" s="51" t="s">
        <v>156</v>
      </c>
      <c r="K63" s="42">
        <v>0.36</v>
      </c>
      <c r="L63" s="42"/>
      <c r="M63" s="42"/>
    </row>
    <row r="64" spans="1:13">
      <c r="B64" t="s">
        <v>2338</v>
      </c>
      <c r="C64" t="s">
        <v>2334</v>
      </c>
      <c r="D64" s="15">
        <v>0</v>
      </c>
      <c r="E64" s="15">
        <v>0</v>
      </c>
      <c r="F64" s="15">
        <f t="shared" si="1"/>
        <v>0</v>
      </c>
      <c r="G64" s="51" t="s">
        <v>155</v>
      </c>
      <c r="H64" s="51" t="s">
        <v>11</v>
      </c>
      <c r="I64" s="51" t="s">
        <v>27</v>
      </c>
      <c r="J64" s="51" t="s">
        <v>156</v>
      </c>
      <c r="K64" s="42">
        <v>0</v>
      </c>
      <c r="L64" s="42"/>
      <c r="M64" s="42"/>
    </row>
    <row r="65" spans="1:13">
      <c r="B65" t="s">
        <v>2339</v>
      </c>
      <c r="C65" t="s">
        <v>2335</v>
      </c>
      <c r="D65" s="15">
        <v>10</v>
      </c>
      <c r="E65" s="15">
        <v>9.42</v>
      </c>
      <c r="F65" s="15">
        <f t="shared" si="1"/>
        <v>0.58000000000000007</v>
      </c>
      <c r="G65" s="51" t="s">
        <v>155</v>
      </c>
      <c r="H65" s="51" t="s">
        <v>11</v>
      </c>
      <c r="I65" s="51" t="s">
        <v>12</v>
      </c>
      <c r="J65" s="51" t="s">
        <v>156</v>
      </c>
      <c r="K65" s="42">
        <v>0.36</v>
      </c>
      <c r="L65" s="42"/>
      <c r="M65" s="42"/>
    </row>
    <row r="66" spans="1:13">
      <c r="B66" t="s">
        <v>2340</v>
      </c>
      <c r="C66" t="s">
        <v>2336</v>
      </c>
      <c r="D66" s="15">
        <v>0</v>
      </c>
      <c r="E66" s="15">
        <v>0</v>
      </c>
      <c r="F66" s="15">
        <f t="shared" si="1"/>
        <v>0</v>
      </c>
      <c r="G66" s="51" t="s">
        <v>155</v>
      </c>
      <c r="H66" s="51" t="s">
        <v>11</v>
      </c>
      <c r="I66" s="51" t="s">
        <v>27</v>
      </c>
      <c r="J66" s="51" t="s">
        <v>156</v>
      </c>
      <c r="K66" s="42">
        <v>0</v>
      </c>
      <c r="L66" s="42"/>
      <c r="M66" s="42"/>
    </row>
    <row r="67" spans="1:13">
      <c r="B67" t="s">
        <v>2114</v>
      </c>
      <c r="C67" t="s">
        <v>2113</v>
      </c>
      <c r="D67" s="15">
        <v>3.2</v>
      </c>
      <c r="E67" s="15">
        <v>3.05</v>
      </c>
      <c r="F67" s="15">
        <f>D67-E67</f>
        <v>0.15000000000000036</v>
      </c>
      <c r="G67" s="51" t="s">
        <v>155</v>
      </c>
      <c r="H67" s="51" t="s">
        <v>11</v>
      </c>
      <c r="I67" s="51" t="s">
        <v>12</v>
      </c>
      <c r="J67" s="51" t="s">
        <v>156</v>
      </c>
      <c r="K67" s="42"/>
      <c r="L67" s="42"/>
      <c r="M67" s="42"/>
    </row>
    <row r="68" spans="1:13">
      <c r="D68" s="15"/>
      <c r="E68" s="15"/>
      <c r="F68" s="15"/>
      <c r="K68" s="42"/>
      <c r="L68" s="42"/>
      <c r="M68" s="42"/>
    </row>
    <row r="69" spans="1:13">
      <c r="C69" s="23" t="s">
        <v>63</v>
      </c>
      <c r="D69" s="15"/>
      <c r="E69" s="15"/>
      <c r="F69" s="15"/>
      <c r="K69" s="42"/>
      <c r="L69" s="42"/>
      <c r="M69" s="42"/>
    </row>
    <row r="70" spans="1:13">
      <c r="B70" s="50" t="s">
        <v>2434</v>
      </c>
      <c r="C70" t="s">
        <v>2432</v>
      </c>
      <c r="D70" s="15">
        <v>0.75</v>
      </c>
      <c r="E70" s="15">
        <v>0.71</v>
      </c>
      <c r="F70" s="15">
        <f t="shared" ref="F70" si="2">D70-E70</f>
        <v>4.0000000000000036E-2</v>
      </c>
      <c r="G70" s="50" t="s">
        <v>155</v>
      </c>
      <c r="H70" s="50" t="s">
        <v>11</v>
      </c>
      <c r="I70" s="50" t="s">
        <v>19</v>
      </c>
      <c r="J70" s="50" t="s">
        <v>156</v>
      </c>
      <c r="K70" s="42"/>
      <c r="L70" s="42"/>
      <c r="M70" s="42"/>
    </row>
    <row r="71" spans="1:13">
      <c r="B71" s="50" t="s">
        <v>2435</v>
      </c>
      <c r="C71" t="s">
        <v>2433</v>
      </c>
      <c r="D71" s="15" t="s">
        <v>541</v>
      </c>
      <c r="E71" s="15" t="s">
        <v>541</v>
      </c>
      <c r="F71" s="15" t="s">
        <v>541</v>
      </c>
      <c r="G71" s="50" t="s">
        <v>155</v>
      </c>
      <c r="H71" s="50" t="s">
        <v>11</v>
      </c>
      <c r="I71" s="50" t="s">
        <v>27</v>
      </c>
      <c r="J71" s="50" t="s">
        <v>156</v>
      </c>
      <c r="K71" s="42"/>
      <c r="L71" s="42"/>
      <c r="M71" s="42"/>
    </row>
    <row r="72" spans="1:13">
      <c r="B72" s="50"/>
      <c r="D72" s="15"/>
      <c r="E72" s="15"/>
      <c r="F72" s="15"/>
      <c r="K72" s="42"/>
      <c r="L72" s="42"/>
      <c r="M72" s="42"/>
    </row>
    <row r="73" spans="1:13">
      <c r="C73" s="2" t="s">
        <v>71</v>
      </c>
      <c r="D73" s="15"/>
      <c r="E73" s="15"/>
      <c r="F73" s="15"/>
      <c r="K73" s="42"/>
      <c r="L73" s="42"/>
      <c r="M73" s="42"/>
    </row>
    <row r="74" spans="1:13">
      <c r="A74" s="4" t="s">
        <v>1208</v>
      </c>
      <c r="B74" t="s">
        <v>178</v>
      </c>
      <c r="C74" t="s">
        <v>177</v>
      </c>
      <c r="D74" s="15">
        <v>2</v>
      </c>
      <c r="E74" s="15">
        <v>1.89</v>
      </c>
      <c r="F74" s="15">
        <f>D74-E74</f>
        <v>0.1100000000000001</v>
      </c>
      <c r="G74" t="s">
        <v>155</v>
      </c>
      <c r="H74" t="s">
        <v>11</v>
      </c>
      <c r="I74" t="s">
        <v>12</v>
      </c>
      <c r="J74" t="s">
        <v>156</v>
      </c>
      <c r="K74" s="42">
        <v>5.541666666666667E-2</v>
      </c>
      <c r="L74" s="42"/>
      <c r="M74" s="42"/>
    </row>
    <row r="75" spans="1:13">
      <c r="B75" t="s">
        <v>551</v>
      </c>
      <c r="C75" t="s">
        <v>179</v>
      </c>
      <c r="D75" s="15">
        <v>0</v>
      </c>
      <c r="E75" s="15">
        <v>0</v>
      </c>
      <c r="F75" s="15">
        <v>0</v>
      </c>
      <c r="G75" t="s">
        <v>155</v>
      </c>
      <c r="H75" t="s">
        <v>11</v>
      </c>
      <c r="I75" t="s">
        <v>27</v>
      </c>
      <c r="J75" t="s">
        <v>156</v>
      </c>
      <c r="K75" s="42"/>
      <c r="L75" s="42"/>
      <c r="M75" s="42"/>
    </row>
    <row r="76" spans="1:13">
      <c r="B76" t="s">
        <v>181</v>
      </c>
      <c r="C76" t="s">
        <v>180</v>
      </c>
      <c r="D76" s="15">
        <v>6</v>
      </c>
      <c r="E76" s="15">
        <v>5.67</v>
      </c>
      <c r="F76" s="15">
        <f>D76-E76</f>
        <v>0.33000000000000007</v>
      </c>
      <c r="G76" t="s">
        <v>155</v>
      </c>
      <c r="H76" t="s">
        <v>11</v>
      </c>
      <c r="I76" t="s">
        <v>12</v>
      </c>
      <c r="J76" t="s">
        <v>156</v>
      </c>
      <c r="K76" s="42">
        <v>5.541666666666667E-2</v>
      </c>
      <c r="L76" s="42"/>
      <c r="M76" s="42"/>
    </row>
    <row r="77" spans="1:13">
      <c r="B77" t="s">
        <v>552</v>
      </c>
      <c r="C77" t="s">
        <v>182</v>
      </c>
      <c r="D77" s="15">
        <v>0</v>
      </c>
      <c r="E77" s="15">
        <v>0</v>
      </c>
      <c r="F77" s="15">
        <v>0</v>
      </c>
      <c r="G77" t="s">
        <v>155</v>
      </c>
      <c r="H77" t="s">
        <v>11</v>
      </c>
      <c r="I77" t="s">
        <v>27</v>
      </c>
      <c r="J77" t="s">
        <v>156</v>
      </c>
      <c r="K77" s="42"/>
      <c r="L77" s="42"/>
      <c r="M77" s="42"/>
    </row>
    <row r="78" spans="1:13">
      <c r="D78" s="15"/>
      <c r="E78" s="15"/>
      <c r="F78" s="15"/>
      <c r="K78" s="42"/>
      <c r="L78" s="42"/>
      <c r="M78" s="42"/>
    </row>
    <row r="79" spans="1:13">
      <c r="C79" s="2" t="s">
        <v>74</v>
      </c>
      <c r="D79" s="15"/>
      <c r="E79" s="15"/>
      <c r="F79" s="15"/>
      <c r="K79" s="42"/>
      <c r="L79" s="42"/>
      <c r="M79" s="42"/>
    </row>
    <row r="80" spans="1:13">
      <c r="A80" s="4" t="s">
        <v>1261</v>
      </c>
      <c r="B80" t="s">
        <v>184</v>
      </c>
      <c r="C80" t="s">
        <v>183</v>
      </c>
      <c r="D80" s="15">
        <v>1.8</v>
      </c>
      <c r="E80" s="15">
        <v>1.66</v>
      </c>
      <c r="F80" s="15">
        <f>D80-E80</f>
        <v>0.14000000000000012</v>
      </c>
      <c r="G80" t="s">
        <v>155</v>
      </c>
      <c r="H80" t="s">
        <v>11</v>
      </c>
      <c r="I80" t="s">
        <v>12</v>
      </c>
      <c r="J80" t="s">
        <v>156</v>
      </c>
      <c r="K80" s="42">
        <v>4.7500000000000001E-2</v>
      </c>
      <c r="L80" s="42"/>
      <c r="M80" s="42"/>
    </row>
    <row r="81" spans="1:13">
      <c r="B81" t="s">
        <v>186</v>
      </c>
      <c r="C81" t="s">
        <v>185</v>
      </c>
      <c r="D81" s="15">
        <v>3.3</v>
      </c>
      <c r="E81" s="15">
        <v>3.21</v>
      </c>
      <c r="F81" s="15">
        <f>D81-E81</f>
        <v>8.9999999999999858E-2</v>
      </c>
      <c r="G81" t="s">
        <v>155</v>
      </c>
      <c r="H81" t="s">
        <v>11</v>
      </c>
      <c r="I81" t="s">
        <v>12</v>
      </c>
      <c r="J81" t="s">
        <v>156</v>
      </c>
      <c r="K81" s="42">
        <v>9.5000000000000001E-2</v>
      </c>
      <c r="L81" s="42"/>
      <c r="M81" s="42"/>
    </row>
    <row r="82" spans="1:13">
      <c r="D82" s="15"/>
      <c r="E82" s="15"/>
      <c r="F82" s="15"/>
      <c r="K82" s="42"/>
      <c r="L82" s="42"/>
      <c r="M82" s="42"/>
    </row>
    <row r="83" spans="1:13">
      <c r="C83" s="2" t="s">
        <v>81</v>
      </c>
      <c r="D83" s="15"/>
      <c r="E83" s="15"/>
      <c r="F83" s="15"/>
      <c r="K83" s="42"/>
      <c r="L83" s="42"/>
      <c r="M83" s="42"/>
    </row>
    <row r="84" spans="1:13" ht="15.75" customHeight="1">
      <c r="A84" s="4" t="s">
        <v>1262</v>
      </c>
      <c r="B84" t="s">
        <v>187</v>
      </c>
      <c r="C84" t="s">
        <v>1091</v>
      </c>
      <c r="D84" s="15">
        <v>5.5</v>
      </c>
      <c r="E84" s="15">
        <v>5.25</v>
      </c>
      <c r="F84" s="15">
        <f>D84-E84</f>
        <v>0.25</v>
      </c>
      <c r="G84" t="s">
        <v>155</v>
      </c>
      <c r="H84" t="s">
        <v>11</v>
      </c>
      <c r="I84" t="s">
        <v>12</v>
      </c>
      <c r="J84" t="s">
        <v>156</v>
      </c>
      <c r="K84" s="42">
        <v>0.14249999999999999</v>
      </c>
      <c r="L84" s="42"/>
      <c r="M84" s="42"/>
    </row>
    <row r="85" spans="1:13" ht="15.75" customHeight="1">
      <c r="B85" t="s">
        <v>627</v>
      </c>
      <c r="C85" t="s">
        <v>1093</v>
      </c>
      <c r="D85" s="15">
        <v>0</v>
      </c>
      <c r="E85" s="15">
        <v>0</v>
      </c>
      <c r="F85" s="15">
        <v>0</v>
      </c>
      <c r="G85" t="s">
        <v>155</v>
      </c>
      <c r="H85" t="s">
        <v>11</v>
      </c>
      <c r="I85" t="s">
        <v>12</v>
      </c>
      <c r="J85" t="s">
        <v>156</v>
      </c>
      <c r="K85" s="42"/>
      <c r="L85" s="42"/>
      <c r="M85" s="42"/>
    </row>
    <row r="86" spans="1:13">
      <c r="B86" t="s">
        <v>546</v>
      </c>
      <c r="C86" t="s">
        <v>1092</v>
      </c>
      <c r="D86" s="15">
        <v>0</v>
      </c>
      <c r="E86" s="15">
        <v>0</v>
      </c>
      <c r="F86" s="15">
        <v>0</v>
      </c>
      <c r="G86" t="s">
        <v>155</v>
      </c>
      <c r="H86" t="s">
        <v>11</v>
      </c>
      <c r="I86" t="s">
        <v>27</v>
      </c>
      <c r="J86" t="s">
        <v>156</v>
      </c>
      <c r="K86" s="42"/>
      <c r="L86" s="42"/>
      <c r="M86" s="42"/>
    </row>
    <row r="87" spans="1:13">
      <c r="B87" t="s">
        <v>189</v>
      </c>
      <c r="C87" t="s">
        <v>188</v>
      </c>
      <c r="D87" s="15">
        <v>9</v>
      </c>
      <c r="E87" s="15">
        <v>8.51</v>
      </c>
      <c r="F87" s="15">
        <f t="shared" ref="F87:F97" si="3">D87-E87</f>
        <v>0.49000000000000021</v>
      </c>
      <c r="G87" t="s">
        <v>155</v>
      </c>
      <c r="H87" t="s">
        <v>11</v>
      </c>
      <c r="I87" t="s">
        <v>12</v>
      </c>
      <c r="J87" t="s">
        <v>156</v>
      </c>
      <c r="K87" s="42">
        <v>0.22958333333333333</v>
      </c>
      <c r="L87" s="42"/>
      <c r="M87" s="42"/>
    </row>
    <row r="88" spans="1:13">
      <c r="B88" t="s">
        <v>512</v>
      </c>
      <c r="C88" t="s">
        <v>511</v>
      </c>
      <c r="D88" s="15">
        <v>22.8</v>
      </c>
      <c r="E88" s="15">
        <v>21.53</v>
      </c>
      <c r="F88" s="15">
        <f t="shared" si="3"/>
        <v>1.2699999999999996</v>
      </c>
      <c r="G88" t="s">
        <v>155</v>
      </c>
      <c r="H88" t="s">
        <v>11</v>
      </c>
      <c r="I88" t="s">
        <v>12</v>
      </c>
      <c r="J88" t="s">
        <v>156</v>
      </c>
      <c r="K88" s="42">
        <v>0.64916666666666667</v>
      </c>
      <c r="L88" s="42"/>
      <c r="M88" s="42"/>
    </row>
    <row r="89" spans="1:13">
      <c r="B89" t="s">
        <v>1165</v>
      </c>
      <c r="C89" t="s">
        <v>190</v>
      </c>
      <c r="D89" s="15">
        <v>0.9</v>
      </c>
      <c r="E89" s="15">
        <v>0.85</v>
      </c>
      <c r="F89" s="15">
        <f>D89-E89</f>
        <v>5.0000000000000044E-2</v>
      </c>
      <c r="G89" t="s">
        <v>155</v>
      </c>
      <c r="H89" t="s">
        <v>11</v>
      </c>
      <c r="I89" t="s">
        <v>12</v>
      </c>
      <c r="J89" t="s">
        <v>156</v>
      </c>
      <c r="K89" s="42">
        <v>0.02</v>
      </c>
      <c r="L89" s="42"/>
      <c r="M89" s="42"/>
    </row>
    <row r="90" spans="1:13">
      <c r="B90" t="s">
        <v>1442</v>
      </c>
      <c r="C90" t="s">
        <v>1441</v>
      </c>
      <c r="D90" s="15">
        <v>2</v>
      </c>
      <c r="E90" s="15">
        <v>1.89</v>
      </c>
      <c r="F90" s="15">
        <f>D90-E90</f>
        <v>0.1100000000000001</v>
      </c>
      <c r="G90" t="s">
        <v>155</v>
      </c>
      <c r="H90" t="s">
        <v>11</v>
      </c>
      <c r="I90" t="s">
        <v>12</v>
      </c>
      <c r="J90" t="s">
        <v>156</v>
      </c>
      <c r="K90" s="42">
        <v>0.05</v>
      </c>
      <c r="L90" s="42"/>
      <c r="M90" s="42"/>
    </row>
    <row r="91" spans="1:13">
      <c r="B91" t="s">
        <v>2089</v>
      </c>
      <c r="C91" t="s">
        <v>2086</v>
      </c>
      <c r="D91" s="15">
        <v>3.2</v>
      </c>
      <c r="E91" s="15">
        <v>3.05</v>
      </c>
      <c r="F91" s="15">
        <f>D91-E91</f>
        <v>0.15000000000000036</v>
      </c>
      <c r="G91" t="s">
        <v>155</v>
      </c>
      <c r="H91" t="s">
        <v>11</v>
      </c>
      <c r="I91" t="s">
        <v>19</v>
      </c>
      <c r="J91" t="s">
        <v>156</v>
      </c>
      <c r="K91" s="42">
        <v>0.05</v>
      </c>
      <c r="L91" s="42"/>
      <c r="M91" s="42"/>
    </row>
    <row r="92" spans="1:13">
      <c r="B92" t="s">
        <v>2090</v>
      </c>
      <c r="C92" t="s">
        <v>2087</v>
      </c>
      <c r="D92" s="15">
        <v>5.2</v>
      </c>
      <c r="E92" s="15">
        <v>4.9400000000000004</v>
      </c>
      <c r="F92" s="15">
        <f>D92-E92</f>
        <v>0.25999999999999979</v>
      </c>
      <c r="G92" t="s">
        <v>155</v>
      </c>
      <c r="H92" t="s">
        <v>11</v>
      </c>
      <c r="I92" t="s">
        <v>19</v>
      </c>
      <c r="J92" t="s">
        <v>156</v>
      </c>
      <c r="K92" s="42">
        <v>0.72</v>
      </c>
      <c r="L92" s="42"/>
      <c r="M92" s="42"/>
    </row>
    <row r="93" spans="1:13">
      <c r="B93" t="s">
        <v>2091</v>
      </c>
      <c r="C93" t="s">
        <v>2088</v>
      </c>
      <c r="D93" s="15">
        <v>3.2</v>
      </c>
      <c r="E93" s="15">
        <v>3.05</v>
      </c>
      <c r="F93" s="15">
        <f>D93-E93</f>
        <v>0.15000000000000036</v>
      </c>
      <c r="G93" t="s">
        <v>155</v>
      </c>
      <c r="H93" t="s">
        <v>11</v>
      </c>
      <c r="I93" t="s">
        <v>19</v>
      </c>
      <c r="J93" t="s">
        <v>156</v>
      </c>
      <c r="K93" s="42">
        <v>0.05</v>
      </c>
      <c r="L93" s="42"/>
      <c r="M93" s="42"/>
    </row>
    <row r="94" spans="1:13">
      <c r="B94" t="s">
        <v>421</v>
      </c>
      <c r="C94" t="s">
        <v>420</v>
      </c>
      <c r="D94" s="15">
        <v>22.8</v>
      </c>
      <c r="E94" s="15">
        <v>21.53</v>
      </c>
      <c r="F94" s="15">
        <f t="shared" si="3"/>
        <v>1.2699999999999996</v>
      </c>
      <c r="G94" t="s">
        <v>155</v>
      </c>
      <c r="H94" t="s">
        <v>11</v>
      </c>
      <c r="I94" t="s">
        <v>12</v>
      </c>
      <c r="J94" t="s">
        <v>156</v>
      </c>
      <c r="K94" s="42">
        <v>0.64916666666666667</v>
      </c>
      <c r="L94" s="42"/>
      <c r="M94" s="42"/>
    </row>
    <row r="95" spans="1:13">
      <c r="B95" t="s">
        <v>1164</v>
      </c>
      <c r="C95" t="s">
        <v>1163</v>
      </c>
      <c r="D95" s="15">
        <v>20.52</v>
      </c>
      <c r="E95" s="15">
        <v>20.52</v>
      </c>
      <c r="F95" s="15">
        <f t="shared" si="3"/>
        <v>0</v>
      </c>
      <c r="G95" t="s">
        <v>155</v>
      </c>
      <c r="H95" t="s">
        <v>11</v>
      </c>
      <c r="I95" t="s">
        <v>12</v>
      </c>
      <c r="J95" t="s">
        <v>156</v>
      </c>
      <c r="K95" s="42">
        <v>0.64916666666666667</v>
      </c>
      <c r="L95" s="42"/>
      <c r="M95" s="42"/>
    </row>
    <row r="96" spans="1:13">
      <c r="B96" t="s">
        <v>423</v>
      </c>
      <c r="C96" t="s">
        <v>422</v>
      </c>
      <c r="D96" s="15">
        <v>2.7</v>
      </c>
      <c r="E96" s="15">
        <v>2.52</v>
      </c>
      <c r="F96" s="15">
        <f t="shared" si="3"/>
        <v>0.18000000000000016</v>
      </c>
      <c r="G96" t="s">
        <v>155</v>
      </c>
      <c r="H96" t="s">
        <v>11</v>
      </c>
      <c r="I96" t="s">
        <v>12</v>
      </c>
      <c r="J96" t="s">
        <v>156</v>
      </c>
      <c r="K96" s="42">
        <v>6.3333333333333339E-2</v>
      </c>
      <c r="L96" s="42"/>
      <c r="M96" s="42"/>
    </row>
    <row r="97" spans="1:97">
      <c r="B97" t="s">
        <v>425</v>
      </c>
      <c r="C97" t="s">
        <v>424</v>
      </c>
      <c r="D97" s="15">
        <v>6.6</v>
      </c>
      <c r="E97" s="15">
        <v>6.2</v>
      </c>
      <c r="F97" s="15">
        <f t="shared" si="3"/>
        <v>0.39999999999999947</v>
      </c>
      <c r="G97" t="s">
        <v>155</v>
      </c>
      <c r="H97" t="s">
        <v>11</v>
      </c>
      <c r="I97" t="s">
        <v>12</v>
      </c>
      <c r="J97" t="s">
        <v>156</v>
      </c>
      <c r="K97" s="42">
        <v>0.10291666666666667</v>
      </c>
      <c r="L97" s="42"/>
      <c r="M97" s="42"/>
    </row>
    <row r="98" spans="1:97">
      <c r="D98" s="15"/>
      <c r="E98" s="15"/>
      <c r="F98" s="15"/>
      <c r="K98" s="42"/>
      <c r="L98" s="42"/>
      <c r="M98" s="42"/>
    </row>
    <row r="99" spans="1:97">
      <c r="C99" s="2" t="s">
        <v>236</v>
      </c>
      <c r="D99" s="15"/>
      <c r="E99" s="15"/>
      <c r="F99" s="15"/>
      <c r="K99" s="42"/>
      <c r="L99" s="42"/>
      <c r="M99" s="42"/>
    </row>
    <row r="100" spans="1:97">
      <c r="D100" s="15"/>
      <c r="E100" s="15"/>
      <c r="F100" s="15"/>
      <c r="K100" s="42"/>
      <c r="L100" s="42"/>
      <c r="M100" s="42"/>
    </row>
    <row r="101" spans="1:97">
      <c r="A101" s="4" t="s">
        <v>200</v>
      </c>
      <c r="C101" s="2" t="s">
        <v>191</v>
      </c>
      <c r="D101" s="15"/>
      <c r="E101" s="15"/>
      <c r="F101" s="15"/>
      <c r="K101" s="42"/>
      <c r="L101" s="42"/>
      <c r="M101" s="42"/>
    </row>
    <row r="102" spans="1:97">
      <c r="A102" s="4" t="s">
        <v>1256</v>
      </c>
      <c r="B102" t="s">
        <v>193</v>
      </c>
      <c r="C102" t="s">
        <v>192</v>
      </c>
      <c r="D102" s="15">
        <v>0.8</v>
      </c>
      <c r="E102" s="15">
        <v>0.76</v>
      </c>
      <c r="F102" s="15">
        <f>D102-E102</f>
        <v>4.0000000000000036E-2</v>
      </c>
      <c r="G102" t="s">
        <v>155</v>
      </c>
      <c r="H102" t="s">
        <v>11</v>
      </c>
      <c r="I102" t="s">
        <v>12</v>
      </c>
      <c r="J102" t="s">
        <v>156</v>
      </c>
      <c r="K102" s="42">
        <v>2.375E-2</v>
      </c>
      <c r="L102" s="42"/>
      <c r="M102" s="42"/>
    </row>
    <row r="103" spans="1:97">
      <c r="A103" s="4" t="s">
        <v>1263</v>
      </c>
      <c r="B103" t="s">
        <v>195</v>
      </c>
      <c r="C103" t="s">
        <v>194</v>
      </c>
      <c r="D103" s="15">
        <v>40</v>
      </c>
      <c r="E103" s="15">
        <v>37.799999999999997</v>
      </c>
      <c r="F103" s="15">
        <f>D103-E103</f>
        <v>2.2000000000000028</v>
      </c>
      <c r="G103" t="s">
        <v>155</v>
      </c>
      <c r="H103" t="s">
        <v>11</v>
      </c>
      <c r="I103" t="s">
        <v>12</v>
      </c>
      <c r="J103" t="s">
        <v>156</v>
      </c>
      <c r="K103" s="42">
        <v>1.1399999999999999</v>
      </c>
      <c r="L103" s="42"/>
      <c r="M103" s="42"/>
    </row>
    <row r="104" spans="1:97">
      <c r="D104" s="15"/>
      <c r="E104" s="15"/>
      <c r="F104" s="15"/>
      <c r="K104" s="42"/>
      <c r="L104" s="42"/>
      <c r="M104" s="42"/>
    </row>
    <row r="105" spans="1:97">
      <c r="A105" s="4" t="s">
        <v>201</v>
      </c>
      <c r="C105" s="2" t="s">
        <v>102</v>
      </c>
      <c r="D105" s="15"/>
      <c r="E105" s="15"/>
      <c r="F105" s="15"/>
      <c r="K105" s="42"/>
      <c r="L105" s="42"/>
      <c r="M105" s="42"/>
    </row>
    <row r="106" spans="1:97" s="11" customFormat="1">
      <c r="A106" s="4" t="s">
        <v>1264</v>
      </c>
      <c r="B106" t="s">
        <v>460</v>
      </c>
      <c r="C106" t="s">
        <v>823</v>
      </c>
      <c r="D106" s="15">
        <v>21</v>
      </c>
      <c r="E106" s="15">
        <v>19.850000000000001</v>
      </c>
      <c r="F106" s="15">
        <f>D106-E106</f>
        <v>1.1499999999999986</v>
      </c>
      <c r="G106" t="s">
        <v>155</v>
      </c>
      <c r="H106" t="s">
        <v>11</v>
      </c>
      <c r="I106" t="s">
        <v>12</v>
      </c>
      <c r="J106" t="s">
        <v>156</v>
      </c>
      <c r="K106" s="42">
        <v>0.89458333333333329</v>
      </c>
      <c r="L106" s="42"/>
      <c r="M106" s="42"/>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row>
    <row r="107" spans="1:97" s="11" customFormat="1">
      <c r="A107"/>
      <c r="B107"/>
      <c r="C107"/>
      <c r="D107" s="15"/>
      <c r="E107" s="15"/>
      <c r="F107" s="15"/>
      <c r="G107"/>
      <c r="H107"/>
      <c r="I107"/>
      <c r="J107"/>
      <c r="K107" s="42"/>
      <c r="L107" s="42"/>
      <c r="M107" s="42"/>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row>
    <row r="108" spans="1:97" s="11" customFormat="1">
      <c r="A108" s="14" t="s">
        <v>203</v>
      </c>
      <c r="B108"/>
      <c r="C108" s="17" t="s">
        <v>204</v>
      </c>
      <c r="D108" s="15"/>
      <c r="E108" s="15"/>
      <c r="F108" s="15"/>
      <c r="G108"/>
      <c r="H108"/>
      <c r="I108"/>
      <c r="J108"/>
      <c r="K108" s="42"/>
      <c r="L108" s="42"/>
      <c r="M108" s="42"/>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row>
    <row r="109" spans="1:97" s="11" customFormat="1">
      <c r="A109"/>
      <c r="B109" t="s">
        <v>461</v>
      </c>
      <c r="C109" t="s">
        <v>830</v>
      </c>
      <c r="D109" s="15">
        <v>2</v>
      </c>
      <c r="E109" s="15">
        <v>1.89</v>
      </c>
      <c r="F109" s="15">
        <f>D109-E109</f>
        <v>0.1100000000000001</v>
      </c>
      <c r="G109" t="s">
        <v>155</v>
      </c>
      <c r="H109" s="13" t="s">
        <v>11</v>
      </c>
      <c r="I109" s="13" t="s">
        <v>12</v>
      </c>
      <c r="J109" t="s">
        <v>156</v>
      </c>
      <c r="K109" s="42">
        <v>3.9583333333333331E-2</v>
      </c>
      <c r="L109" s="42"/>
      <c r="M109" s="42"/>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row>
    <row r="110" spans="1:97" s="11" customFormat="1">
      <c r="A110"/>
      <c r="B110" t="s">
        <v>2430</v>
      </c>
      <c r="C110" t="s">
        <v>2428</v>
      </c>
      <c r="D110" s="15">
        <v>1.6</v>
      </c>
      <c r="E110" s="15">
        <v>1.51</v>
      </c>
      <c r="F110" s="15">
        <f>D110-E110</f>
        <v>9.000000000000008E-2</v>
      </c>
      <c r="G110" t="s">
        <v>155</v>
      </c>
      <c r="H110" t="s">
        <v>11</v>
      </c>
      <c r="I110" t="s">
        <v>12</v>
      </c>
      <c r="J110" t="s">
        <v>156</v>
      </c>
      <c r="K110" s="42"/>
      <c r="L110" s="42"/>
      <c r="M110" s="42"/>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row>
    <row r="111" spans="1:97" s="11" customFormat="1">
      <c r="A111"/>
      <c r="B111" t="s">
        <v>2431</v>
      </c>
      <c r="C111" t="s">
        <v>2429</v>
      </c>
      <c r="D111" s="15">
        <v>4</v>
      </c>
      <c r="E111" s="15">
        <v>3.78</v>
      </c>
      <c r="F111" s="15">
        <f>D111-E111</f>
        <v>0.2200000000000002</v>
      </c>
      <c r="G111" t="s">
        <v>155</v>
      </c>
      <c r="H111" t="s">
        <v>11</v>
      </c>
      <c r="I111" t="s">
        <v>12</v>
      </c>
      <c r="J111" t="s">
        <v>156</v>
      </c>
      <c r="K111" s="42"/>
      <c r="L111" s="42"/>
      <c r="M111" s="42"/>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row>
    <row r="112" spans="1:97" s="11" customFormat="1">
      <c r="A112"/>
      <c r="B112" t="s">
        <v>2455</v>
      </c>
      <c r="C112" t="s">
        <v>2454</v>
      </c>
      <c r="D112" s="15">
        <v>1.2</v>
      </c>
      <c r="E112" s="15">
        <v>1.1299999999999999</v>
      </c>
      <c r="F112" s="15">
        <f>D112-E112</f>
        <v>7.0000000000000062E-2</v>
      </c>
      <c r="G112" t="s">
        <v>155</v>
      </c>
      <c r="H112" t="s">
        <v>11</v>
      </c>
      <c r="I112" t="s">
        <v>12</v>
      </c>
      <c r="J112" t="s">
        <v>156</v>
      </c>
      <c r="K112" s="42"/>
      <c r="L112" s="42"/>
      <c r="M112" s="4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row>
    <row r="113" spans="1:13">
      <c r="D113" s="15"/>
      <c r="E113" s="15"/>
      <c r="F113" s="15"/>
      <c r="K113" s="42"/>
      <c r="L113" s="42"/>
      <c r="M113" s="42"/>
    </row>
    <row r="114" spans="1:13">
      <c r="A114" s="4" t="s">
        <v>1265</v>
      </c>
      <c r="C114" s="2" t="s">
        <v>103</v>
      </c>
      <c r="D114" s="15"/>
      <c r="E114" s="15"/>
      <c r="F114" s="15"/>
      <c r="K114" s="42"/>
      <c r="L114" s="42"/>
      <c r="M114" s="42"/>
    </row>
    <row r="115" spans="1:13">
      <c r="B115" t="s">
        <v>196</v>
      </c>
      <c r="C115" t="s">
        <v>824</v>
      </c>
      <c r="D115" s="15">
        <v>23.8</v>
      </c>
      <c r="E115" s="15">
        <v>22.45</v>
      </c>
      <c r="F115" s="15">
        <f t="shared" ref="F115:F121" si="4">D115-E115</f>
        <v>1.3500000000000014</v>
      </c>
      <c r="G115" t="s">
        <v>155</v>
      </c>
      <c r="H115" t="s">
        <v>11</v>
      </c>
      <c r="I115" t="s">
        <v>12</v>
      </c>
      <c r="J115" t="s">
        <v>156</v>
      </c>
      <c r="K115" s="42">
        <v>1.0133333333333334</v>
      </c>
      <c r="L115" s="42"/>
      <c r="M115" s="42"/>
    </row>
    <row r="116" spans="1:13">
      <c r="B116" s="53" t="s">
        <v>1354</v>
      </c>
      <c r="C116" s="53" t="s">
        <v>1355</v>
      </c>
      <c r="D116" s="15">
        <v>0</v>
      </c>
      <c r="E116" s="15">
        <v>0</v>
      </c>
      <c r="F116" s="15">
        <v>0</v>
      </c>
      <c r="K116" s="42"/>
      <c r="L116" s="42"/>
      <c r="M116" s="42"/>
    </row>
    <row r="117" spans="1:13">
      <c r="B117" t="s">
        <v>826</v>
      </c>
      <c r="C117" t="s">
        <v>825</v>
      </c>
      <c r="D117" s="15">
        <v>16.3</v>
      </c>
      <c r="E117" s="15">
        <v>16.059999999999999</v>
      </c>
      <c r="F117" s="15">
        <f t="shared" si="4"/>
        <v>0.24000000000000199</v>
      </c>
      <c r="G117" t="s">
        <v>155</v>
      </c>
      <c r="H117" t="s">
        <v>11</v>
      </c>
      <c r="I117" t="s">
        <v>12</v>
      </c>
      <c r="J117" t="s">
        <v>156</v>
      </c>
      <c r="K117" s="42">
        <v>0.69666666666666666</v>
      </c>
      <c r="L117" s="42"/>
      <c r="M117" s="42"/>
    </row>
    <row r="118" spans="1:13">
      <c r="A118" s="4" t="s">
        <v>1266</v>
      </c>
      <c r="B118" t="s">
        <v>519</v>
      </c>
      <c r="C118" t="s">
        <v>827</v>
      </c>
      <c r="D118" s="15">
        <v>12.5</v>
      </c>
      <c r="E118" s="15">
        <v>11.81</v>
      </c>
      <c r="F118" s="15">
        <f t="shared" si="4"/>
        <v>0.6899999999999995</v>
      </c>
      <c r="G118" t="s">
        <v>155</v>
      </c>
      <c r="H118" t="s">
        <v>11</v>
      </c>
      <c r="I118" t="s">
        <v>12</v>
      </c>
      <c r="J118" t="s">
        <v>156</v>
      </c>
      <c r="K118" s="42">
        <v>0.53833333333333333</v>
      </c>
      <c r="L118" s="42"/>
      <c r="M118" s="42"/>
    </row>
    <row r="119" spans="1:13">
      <c r="B119" t="s">
        <v>738</v>
      </c>
      <c r="C119" t="s">
        <v>737</v>
      </c>
      <c r="D119" s="15">
        <v>5</v>
      </c>
      <c r="E119" s="15">
        <v>4.7249999999999996</v>
      </c>
      <c r="F119" s="15">
        <f t="shared" si="4"/>
        <v>0.27500000000000036</v>
      </c>
      <c r="G119" t="s">
        <v>155</v>
      </c>
      <c r="H119" t="s">
        <v>11</v>
      </c>
      <c r="I119" t="s">
        <v>12</v>
      </c>
      <c r="J119" t="s">
        <v>156</v>
      </c>
      <c r="K119" s="42">
        <v>0.21375000000000002</v>
      </c>
      <c r="L119" s="42"/>
      <c r="M119" s="42"/>
    </row>
    <row r="120" spans="1:13">
      <c r="B120" t="s">
        <v>740</v>
      </c>
      <c r="C120" t="s">
        <v>739</v>
      </c>
      <c r="D120" s="15">
        <v>5</v>
      </c>
      <c r="E120" s="15">
        <v>4.7249999999999996</v>
      </c>
      <c r="F120" s="15">
        <f t="shared" si="4"/>
        <v>0.27500000000000036</v>
      </c>
      <c r="G120" t="s">
        <v>155</v>
      </c>
      <c r="H120" t="s">
        <v>11</v>
      </c>
      <c r="I120" t="s">
        <v>12</v>
      </c>
      <c r="J120" t="s">
        <v>156</v>
      </c>
      <c r="K120" s="42">
        <v>0.21375000000000002</v>
      </c>
      <c r="L120" s="42"/>
      <c r="M120" s="42"/>
    </row>
    <row r="121" spans="1:13">
      <c r="B121" t="s">
        <v>1162</v>
      </c>
      <c r="C121" t="s">
        <v>1161</v>
      </c>
      <c r="D121" s="15">
        <v>33.799999999999997</v>
      </c>
      <c r="E121" s="15">
        <v>31.92</v>
      </c>
      <c r="F121" s="15">
        <f t="shared" si="4"/>
        <v>1.8799999999999955</v>
      </c>
      <c r="G121" t="s">
        <v>155</v>
      </c>
      <c r="H121" t="s">
        <v>11</v>
      </c>
      <c r="I121" t="s">
        <v>12</v>
      </c>
      <c r="J121" t="s">
        <v>156</v>
      </c>
      <c r="K121" s="42">
        <v>1.4408333333333334</v>
      </c>
      <c r="L121" s="42"/>
      <c r="M121" s="42"/>
    </row>
    <row r="122" spans="1:13">
      <c r="D122" s="15"/>
      <c r="E122" s="15"/>
      <c r="F122" s="15"/>
      <c r="K122" s="42"/>
      <c r="L122" s="42"/>
      <c r="M122" s="42"/>
    </row>
    <row r="123" spans="1:13">
      <c r="A123" s="4" t="s">
        <v>201</v>
      </c>
      <c r="C123" s="2" t="s">
        <v>730</v>
      </c>
      <c r="D123" s="15"/>
      <c r="E123" s="15"/>
      <c r="F123" s="15"/>
      <c r="K123" s="42"/>
      <c r="L123" s="42"/>
      <c r="M123" s="42"/>
    </row>
    <row r="124" spans="1:13">
      <c r="B124" t="s">
        <v>197</v>
      </c>
      <c r="C124" t="s">
        <v>750</v>
      </c>
      <c r="D124" s="15">
        <v>23.8</v>
      </c>
      <c r="E124" s="15">
        <v>22.47</v>
      </c>
      <c r="F124" s="15">
        <f>D124-E124</f>
        <v>1.3300000000000018</v>
      </c>
      <c r="G124" t="s">
        <v>155</v>
      </c>
      <c r="H124" t="s">
        <v>11</v>
      </c>
      <c r="I124" t="s">
        <v>12</v>
      </c>
      <c r="J124" t="s">
        <v>156</v>
      </c>
      <c r="K124" s="42">
        <v>1.0133333333333334</v>
      </c>
      <c r="L124" s="42"/>
      <c r="M124" s="42"/>
    </row>
    <row r="125" spans="1:13">
      <c r="B125" t="s">
        <v>616</v>
      </c>
      <c r="C125" t="s">
        <v>615</v>
      </c>
      <c r="D125" s="15">
        <v>42</v>
      </c>
      <c r="E125" s="15">
        <v>39.69</v>
      </c>
      <c r="F125" s="15">
        <f>D125-E125</f>
        <v>2.3100000000000023</v>
      </c>
      <c r="G125" t="s">
        <v>155</v>
      </c>
      <c r="H125" t="s">
        <v>11</v>
      </c>
      <c r="I125" t="s">
        <v>19</v>
      </c>
      <c r="J125" t="s">
        <v>156</v>
      </c>
      <c r="K125" s="42">
        <v>1.7970833333333334</v>
      </c>
      <c r="L125" s="42"/>
      <c r="M125" s="42"/>
    </row>
    <row r="126" spans="1:13">
      <c r="D126" s="15"/>
      <c r="E126" s="15"/>
      <c r="F126" s="15"/>
      <c r="K126" s="42"/>
      <c r="L126" s="42"/>
      <c r="M126" s="42"/>
    </row>
    <row r="127" spans="1:13">
      <c r="B127" t="s">
        <v>841</v>
      </c>
      <c r="C127" t="s">
        <v>2125</v>
      </c>
      <c r="D127" s="15">
        <v>18.8</v>
      </c>
      <c r="E127" s="15">
        <v>17.75</v>
      </c>
      <c r="F127" s="15">
        <f>D127-E127</f>
        <v>1.0500000000000007</v>
      </c>
      <c r="G127" t="s">
        <v>155</v>
      </c>
      <c r="H127" t="s">
        <v>11</v>
      </c>
      <c r="I127" t="s">
        <v>19</v>
      </c>
      <c r="J127" t="s">
        <v>156</v>
      </c>
      <c r="K127" s="42">
        <v>2.2483333333333335</v>
      </c>
      <c r="L127" s="42"/>
      <c r="M127" s="42"/>
    </row>
    <row r="128" spans="1:13">
      <c r="B128" t="s">
        <v>1969</v>
      </c>
      <c r="C128" t="s">
        <v>1965</v>
      </c>
      <c r="D128" s="15">
        <v>3.8</v>
      </c>
      <c r="E128" s="15">
        <v>3.57</v>
      </c>
      <c r="F128" s="15">
        <f t="shared" ref="F128:F131" si="5">D128-E128</f>
        <v>0.22999999999999998</v>
      </c>
      <c r="G128" t="s">
        <v>155</v>
      </c>
      <c r="H128" t="s">
        <v>11</v>
      </c>
      <c r="I128" t="s">
        <v>19</v>
      </c>
      <c r="J128" t="s">
        <v>156</v>
      </c>
      <c r="K128" s="42">
        <v>0.16</v>
      </c>
      <c r="L128" s="42"/>
      <c r="M128" s="42"/>
    </row>
    <row r="129" spans="2:13">
      <c r="B129" t="s">
        <v>1970</v>
      </c>
      <c r="C129" t="s">
        <v>1966</v>
      </c>
      <c r="D129" s="15">
        <v>22.5</v>
      </c>
      <c r="E129" s="15">
        <v>21.32</v>
      </c>
      <c r="F129" s="15">
        <f t="shared" si="5"/>
        <v>1.1799999999999997</v>
      </c>
      <c r="G129" t="s">
        <v>155</v>
      </c>
      <c r="H129" t="s">
        <v>11</v>
      </c>
      <c r="I129" t="s">
        <v>19</v>
      </c>
      <c r="J129" t="s">
        <v>156</v>
      </c>
      <c r="K129" s="42">
        <v>0.96</v>
      </c>
      <c r="L129" s="42"/>
      <c r="M129" s="42"/>
    </row>
    <row r="130" spans="2:13">
      <c r="B130" t="s">
        <v>1971</v>
      </c>
      <c r="C130" t="s">
        <v>1967</v>
      </c>
      <c r="D130" s="15">
        <v>31.3</v>
      </c>
      <c r="E130" s="15">
        <v>29.51</v>
      </c>
      <c r="F130" s="15">
        <f t="shared" si="5"/>
        <v>1.7899999999999991</v>
      </c>
      <c r="G130" t="s">
        <v>155</v>
      </c>
      <c r="H130" t="s">
        <v>11</v>
      </c>
      <c r="I130" t="s">
        <v>19</v>
      </c>
      <c r="J130" t="s">
        <v>156</v>
      </c>
      <c r="K130" s="42">
        <v>1.33</v>
      </c>
      <c r="L130" s="42"/>
      <c r="M130" s="42"/>
    </row>
    <row r="131" spans="2:13">
      <c r="B131" t="s">
        <v>1972</v>
      </c>
      <c r="C131" t="s">
        <v>1968</v>
      </c>
      <c r="D131" s="15">
        <v>18.8</v>
      </c>
      <c r="E131" s="15">
        <v>17.75</v>
      </c>
      <c r="F131" s="15">
        <f t="shared" si="5"/>
        <v>1.0500000000000007</v>
      </c>
      <c r="G131" t="s">
        <v>155</v>
      </c>
      <c r="H131" t="s">
        <v>11</v>
      </c>
      <c r="I131" t="s">
        <v>19</v>
      </c>
      <c r="J131" t="s">
        <v>156</v>
      </c>
      <c r="K131" s="42">
        <v>0.8</v>
      </c>
      <c r="L131" s="42"/>
      <c r="M131" s="42"/>
    </row>
    <row r="132" spans="2:13">
      <c r="D132" s="15"/>
      <c r="E132" s="15"/>
      <c r="F132" s="15"/>
      <c r="K132" s="42"/>
      <c r="L132" s="42"/>
      <c r="M132" s="42"/>
    </row>
    <row r="133" spans="2:13">
      <c r="B133" t="s">
        <v>732</v>
      </c>
      <c r="C133" t="s">
        <v>731</v>
      </c>
      <c r="D133" s="15">
        <v>5</v>
      </c>
      <c r="E133" s="15">
        <v>4.7249999999999996</v>
      </c>
      <c r="F133" s="15">
        <f>D133-E133</f>
        <v>0.27500000000000036</v>
      </c>
      <c r="G133" t="s">
        <v>155</v>
      </c>
      <c r="H133" t="s">
        <v>11</v>
      </c>
      <c r="I133" t="s">
        <v>12</v>
      </c>
      <c r="J133" t="s">
        <v>156</v>
      </c>
      <c r="K133" s="42">
        <v>0.21375000000000002</v>
      </c>
      <c r="L133" s="42"/>
      <c r="M133" s="42"/>
    </row>
    <row r="134" spans="2:13">
      <c r="B134" t="s">
        <v>734</v>
      </c>
      <c r="C134" t="s">
        <v>733</v>
      </c>
      <c r="D134" s="15">
        <v>5</v>
      </c>
      <c r="E134" s="15">
        <v>4.7249999999999996</v>
      </c>
      <c r="F134" s="15">
        <f>D134-E134</f>
        <v>0.27500000000000036</v>
      </c>
      <c r="G134" t="s">
        <v>155</v>
      </c>
      <c r="H134" t="s">
        <v>11</v>
      </c>
      <c r="I134" t="s">
        <v>12</v>
      </c>
      <c r="J134" t="s">
        <v>156</v>
      </c>
      <c r="K134" s="42">
        <v>0.21375000000000002</v>
      </c>
      <c r="L134" s="42"/>
      <c r="M134" s="42"/>
    </row>
    <row r="135" spans="2:13">
      <c r="D135" s="15"/>
      <c r="E135" s="15"/>
      <c r="F135" s="15"/>
      <c r="K135" s="42"/>
      <c r="L135" s="42"/>
      <c r="M135" s="42"/>
    </row>
    <row r="136" spans="2:13">
      <c r="B136" t="s">
        <v>1715</v>
      </c>
      <c r="C136" t="s">
        <v>1714</v>
      </c>
      <c r="D136" s="15">
        <v>320</v>
      </c>
      <c r="E136" s="15">
        <v>302</v>
      </c>
      <c r="F136" s="15">
        <f>D136-E136</f>
        <v>18</v>
      </c>
      <c r="G136" t="s">
        <v>155</v>
      </c>
      <c r="H136" t="s">
        <v>11</v>
      </c>
      <c r="I136" t="s">
        <v>19</v>
      </c>
      <c r="J136" t="s">
        <v>156</v>
      </c>
      <c r="K136" s="42">
        <v>13.68</v>
      </c>
      <c r="L136" s="42"/>
      <c r="M136" s="42"/>
    </row>
    <row r="137" spans="2:13">
      <c r="B137" t="s">
        <v>2133</v>
      </c>
      <c r="C137" t="s">
        <v>2132</v>
      </c>
      <c r="D137" s="15">
        <v>125</v>
      </c>
      <c r="E137" s="15">
        <v>118.13</v>
      </c>
      <c r="F137" s="15">
        <f>D137-E137</f>
        <v>6.8700000000000045</v>
      </c>
      <c r="G137" t="s">
        <v>155</v>
      </c>
      <c r="H137" t="s">
        <v>11</v>
      </c>
      <c r="I137" t="s">
        <v>12</v>
      </c>
      <c r="J137" t="s">
        <v>156</v>
      </c>
      <c r="K137" s="42"/>
      <c r="L137" s="42"/>
      <c r="M137" s="42"/>
    </row>
    <row r="138" spans="2:13">
      <c r="D138" s="15"/>
      <c r="E138" s="15"/>
      <c r="F138" s="15"/>
      <c r="K138" s="42"/>
      <c r="L138" s="42"/>
      <c r="M138" s="42"/>
    </row>
    <row r="139" spans="2:13">
      <c r="C139" s="2" t="s">
        <v>116</v>
      </c>
      <c r="D139" s="15"/>
      <c r="E139" s="15"/>
      <c r="F139" s="15"/>
      <c r="K139" s="42"/>
      <c r="L139" s="42"/>
      <c r="M139" s="42"/>
    </row>
    <row r="140" spans="2:13">
      <c r="B140" t="s">
        <v>736</v>
      </c>
      <c r="C140" t="s">
        <v>735</v>
      </c>
      <c r="D140" s="15">
        <v>5</v>
      </c>
      <c r="E140" s="15">
        <v>4.7249999999999996</v>
      </c>
      <c r="F140" s="15">
        <f>D140-E140</f>
        <v>0.27500000000000036</v>
      </c>
      <c r="G140" t="s">
        <v>155</v>
      </c>
      <c r="H140" t="s">
        <v>11</v>
      </c>
      <c r="I140" t="s">
        <v>12</v>
      </c>
      <c r="J140" t="s">
        <v>156</v>
      </c>
      <c r="K140" s="42">
        <v>0.21375000000000002</v>
      </c>
      <c r="L140" s="42"/>
      <c r="M140" s="42"/>
    </row>
    <row r="141" spans="2:13">
      <c r="B141" s="53" t="s">
        <v>1416</v>
      </c>
      <c r="C141" s="53" t="s">
        <v>1415</v>
      </c>
      <c r="D141" s="15">
        <v>40</v>
      </c>
      <c r="E141" s="15">
        <v>37.799999999999997</v>
      </c>
      <c r="F141" s="15">
        <f>D141-E141</f>
        <v>2.2000000000000028</v>
      </c>
      <c r="G141" s="53" t="s">
        <v>155</v>
      </c>
      <c r="H141" t="s">
        <v>11</v>
      </c>
      <c r="I141" t="s">
        <v>12</v>
      </c>
      <c r="J141" t="s">
        <v>156</v>
      </c>
      <c r="K141" s="42">
        <v>1.5</v>
      </c>
      <c r="L141" s="42"/>
      <c r="M141" s="42"/>
    </row>
    <row r="142" spans="2:13">
      <c r="D142" s="15"/>
      <c r="E142" s="15"/>
      <c r="F142" s="15"/>
      <c r="G142" s="53"/>
      <c r="K142" s="42"/>
      <c r="L142" s="42"/>
      <c r="M142" s="42"/>
    </row>
    <row r="143" spans="2:13">
      <c r="B143" s="53" t="s">
        <v>1417</v>
      </c>
      <c r="C143" s="53" t="s">
        <v>1837</v>
      </c>
      <c r="D143" s="15">
        <v>1.6</v>
      </c>
      <c r="E143" s="15">
        <v>1.51</v>
      </c>
      <c r="F143" s="15">
        <f t="shared" ref="F143:F150" si="6">D143-E143</f>
        <v>9.000000000000008E-2</v>
      </c>
      <c r="G143" s="53" t="s">
        <v>155</v>
      </c>
      <c r="H143" t="s">
        <v>11</v>
      </c>
      <c r="I143" t="s">
        <v>19</v>
      </c>
      <c r="J143" t="s">
        <v>156</v>
      </c>
      <c r="K143" s="42"/>
      <c r="L143" s="42"/>
      <c r="M143" s="42"/>
    </row>
    <row r="144" spans="2:13">
      <c r="B144" s="53" t="s">
        <v>1852</v>
      </c>
      <c r="C144" s="32" t="s">
        <v>1851</v>
      </c>
      <c r="D144" s="15">
        <v>1250</v>
      </c>
      <c r="E144" s="15">
        <v>1181.25</v>
      </c>
      <c r="F144" s="15">
        <f t="shared" si="6"/>
        <v>68.75</v>
      </c>
      <c r="G144" s="53" t="s">
        <v>155</v>
      </c>
      <c r="H144" t="s">
        <v>11</v>
      </c>
      <c r="I144" t="s">
        <v>12</v>
      </c>
      <c r="J144" t="s">
        <v>156</v>
      </c>
      <c r="K144" s="42">
        <v>7.0000000000000007E-2</v>
      </c>
      <c r="L144" s="42"/>
      <c r="M144" s="42"/>
    </row>
    <row r="145" spans="1:13">
      <c r="B145" s="53" t="s">
        <v>2313</v>
      </c>
      <c r="C145" s="53" t="s">
        <v>2312</v>
      </c>
      <c r="D145" s="15">
        <v>1.5</v>
      </c>
      <c r="E145" s="15">
        <v>1.42</v>
      </c>
      <c r="F145" s="15">
        <f t="shared" si="6"/>
        <v>8.0000000000000071E-2</v>
      </c>
      <c r="G145" s="53" t="s">
        <v>155</v>
      </c>
      <c r="H145" t="s">
        <v>11</v>
      </c>
      <c r="I145" t="s">
        <v>12</v>
      </c>
      <c r="J145" t="s">
        <v>156</v>
      </c>
      <c r="K145" s="42"/>
      <c r="L145" s="42"/>
      <c r="M145" s="42"/>
    </row>
    <row r="146" spans="1:13">
      <c r="B146" s="53" t="s">
        <v>1853</v>
      </c>
      <c r="C146" t="s">
        <v>1854</v>
      </c>
      <c r="D146" s="15">
        <v>1</v>
      </c>
      <c r="E146" s="15">
        <v>0.95</v>
      </c>
      <c r="F146" s="15">
        <f t="shared" si="6"/>
        <v>5.0000000000000044E-2</v>
      </c>
      <c r="G146" s="53" t="s">
        <v>155</v>
      </c>
      <c r="H146" t="s">
        <v>11</v>
      </c>
      <c r="I146" t="s">
        <v>19</v>
      </c>
      <c r="J146" t="s">
        <v>156</v>
      </c>
      <c r="K146" s="42"/>
      <c r="L146" s="42"/>
      <c r="M146" s="42"/>
    </row>
    <row r="147" spans="1:13">
      <c r="B147" s="53" t="s">
        <v>1981</v>
      </c>
      <c r="C147" s="53" t="s">
        <v>1979</v>
      </c>
      <c r="D147" s="15">
        <v>2.2999999999999998</v>
      </c>
      <c r="E147" s="15">
        <v>2.21</v>
      </c>
      <c r="F147" s="15">
        <f t="shared" si="6"/>
        <v>8.9999999999999858E-2</v>
      </c>
      <c r="G147" s="53" t="s">
        <v>155</v>
      </c>
      <c r="H147" s="53" t="s">
        <v>11</v>
      </c>
      <c r="I147" s="53" t="s">
        <v>12</v>
      </c>
      <c r="J147" s="53" t="s">
        <v>156</v>
      </c>
      <c r="K147" s="42">
        <v>0.05</v>
      </c>
      <c r="L147" s="42"/>
      <c r="M147" s="42"/>
    </row>
    <row r="148" spans="1:13">
      <c r="B148" s="53" t="s">
        <v>1982</v>
      </c>
      <c r="C148" s="53" t="s">
        <v>1980</v>
      </c>
      <c r="D148" s="15">
        <v>1</v>
      </c>
      <c r="E148" s="15">
        <v>0.95</v>
      </c>
      <c r="F148" s="15">
        <f t="shared" si="6"/>
        <v>5.0000000000000044E-2</v>
      </c>
      <c r="G148" s="53" t="s">
        <v>155</v>
      </c>
      <c r="H148" s="53" t="s">
        <v>11</v>
      </c>
      <c r="I148" s="53" t="s">
        <v>12</v>
      </c>
      <c r="J148" s="53" t="s">
        <v>156</v>
      </c>
      <c r="K148" s="42">
        <v>0.02</v>
      </c>
      <c r="L148" s="42"/>
      <c r="M148" s="42"/>
    </row>
    <row r="149" spans="1:13">
      <c r="B149" t="s">
        <v>2352</v>
      </c>
      <c r="C149" t="s">
        <v>2350</v>
      </c>
      <c r="D149" s="15">
        <v>10</v>
      </c>
      <c r="E149" s="15">
        <v>9.4499999999999993</v>
      </c>
      <c r="F149" s="15">
        <f t="shared" si="6"/>
        <v>0.55000000000000071</v>
      </c>
      <c r="G149" s="53" t="s">
        <v>155</v>
      </c>
      <c r="H149" s="53" t="s">
        <v>11</v>
      </c>
      <c r="I149" s="53" t="s">
        <v>12</v>
      </c>
      <c r="J149" s="53" t="s">
        <v>156</v>
      </c>
      <c r="K149" s="42"/>
      <c r="L149" s="42"/>
      <c r="M149" s="42"/>
    </row>
    <row r="150" spans="1:13">
      <c r="B150" t="s">
        <v>2353</v>
      </c>
      <c r="C150" t="s">
        <v>2351</v>
      </c>
      <c r="D150" s="15">
        <v>0</v>
      </c>
      <c r="E150" s="15">
        <v>0</v>
      </c>
      <c r="F150" s="15">
        <f t="shared" si="6"/>
        <v>0</v>
      </c>
      <c r="G150" s="53" t="s">
        <v>155</v>
      </c>
      <c r="H150" s="53" t="s">
        <v>11</v>
      </c>
      <c r="I150" s="53" t="s">
        <v>27</v>
      </c>
      <c r="J150" s="53" t="s">
        <v>156</v>
      </c>
      <c r="K150" s="42"/>
      <c r="L150" s="42"/>
      <c r="M150" s="42"/>
    </row>
    <row r="151" spans="1:13">
      <c r="B151" s="32"/>
      <c r="C151" s="32"/>
      <c r="D151" s="15"/>
      <c r="E151"/>
      <c r="F151"/>
      <c r="I151" s="53"/>
      <c r="K151" s="42"/>
      <c r="L151" s="42"/>
      <c r="M151" s="42"/>
    </row>
    <row r="152" spans="1:13">
      <c r="A152" s="4" t="s">
        <v>201</v>
      </c>
      <c r="C152" s="2" t="s">
        <v>501</v>
      </c>
      <c r="D152" s="15"/>
      <c r="E152" s="15"/>
      <c r="F152" s="15"/>
      <c r="K152" s="42"/>
      <c r="L152" s="42"/>
      <c r="M152" s="42"/>
    </row>
    <row r="153" spans="1:13">
      <c r="B153" t="s">
        <v>502</v>
      </c>
      <c r="C153" t="s">
        <v>751</v>
      </c>
      <c r="D153" s="15">
        <v>23.8</v>
      </c>
      <c r="E153" s="15">
        <v>22.47</v>
      </c>
      <c r="F153" s="15">
        <f t="shared" ref="F153:F155" si="7">D153-E153</f>
        <v>1.3300000000000018</v>
      </c>
      <c r="G153" t="s">
        <v>155</v>
      </c>
      <c r="H153" t="s">
        <v>11</v>
      </c>
      <c r="I153" t="s">
        <v>12</v>
      </c>
      <c r="J153" t="s">
        <v>156</v>
      </c>
      <c r="K153" s="42">
        <v>1.02125</v>
      </c>
      <c r="L153" s="42"/>
      <c r="M153" s="42"/>
    </row>
    <row r="154" spans="1:13">
      <c r="B154" t="s">
        <v>514</v>
      </c>
      <c r="C154" t="s">
        <v>513</v>
      </c>
      <c r="D154" s="15">
        <v>12.5</v>
      </c>
      <c r="E154" s="15">
        <v>11.81</v>
      </c>
      <c r="F154" s="15">
        <f t="shared" si="7"/>
        <v>0.6899999999999995</v>
      </c>
      <c r="G154" t="s">
        <v>155</v>
      </c>
      <c r="H154" t="s">
        <v>11</v>
      </c>
      <c r="I154" t="s">
        <v>12</v>
      </c>
      <c r="J154" t="s">
        <v>156</v>
      </c>
      <c r="K154" s="42">
        <v>0.53833333333333333</v>
      </c>
      <c r="L154" s="42"/>
      <c r="M154" s="42"/>
    </row>
    <row r="155" spans="1:13">
      <c r="B155" t="s">
        <v>504</v>
      </c>
      <c r="C155" t="s">
        <v>503</v>
      </c>
      <c r="D155" s="15">
        <v>23.8</v>
      </c>
      <c r="E155" s="15">
        <v>22.45</v>
      </c>
      <c r="F155" s="15">
        <f t="shared" si="7"/>
        <v>1.3500000000000014</v>
      </c>
      <c r="G155" t="s">
        <v>155</v>
      </c>
      <c r="H155" t="s">
        <v>11</v>
      </c>
      <c r="I155" t="s">
        <v>12</v>
      </c>
      <c r="J155" t="s">
        <v>156</v>
      </c>
      <c r="K155" s="42">
        <v>1.02125</v>
      </c>
      <c r="L155" s="42"/>
      <c r="M155" s="42"/>
    </row>
    <row r="156" spans="1:13">
      <c r="C156" s="3"/>
      <c r="D156" s="15"/>
      <c r="E156" s="15"/>
      <c r="F156" s="15"/>
      <c r="G156" s="3"/>
      <c r="I156" s="3"/>
      <c r="K156" s="42"/>
      <c r="L156" s="42"/>
      <c r="M156" s="42"/>
    </row>
    <row r="157" spans="1:13">
      <c r="A157" s="4" t="s">
        <v>1268</v>
      </c>
      <c r="C157" s="2" t="s">
        <v>45</v>
      </c>
      <c r="D157" s="15"/>
      <c r="E157" s="15"/>
      <c r="F157" s="15"/>
      <c r="K157" s="42"/>
      <c r="L157" s="42"/>
      <c r="M157" s="42"/>
    </row>
    <row r="158" spans="1:13">
      <c r="B158" t="s">
        <v>411</v>
      </c>
      <c r="C158" t="s">
        <v>410</v>
      </c>
      <c r="D158" s="15">
        <v>998</v>
      </c>
      <c r="E158" s="15">
        <v>943.11</v>
      </c>
      <c r="F158" s="15">
        <f>D158-E158</f>
        <v>54.889999999999986</v>
      </c>
      <c r="G158" t="s">
        <v>155</v>
      </c>
      <c r="H158" t="s">
        <v>11</v>
      </c>
      <c r="I158" t="s">
        <v>12</v>
      </c>
      <c r="J158" t="s">
        <v>156</v>
      </c>
      <c r="K158" s="42">
        <v>42.662916666666668</v>
      </c>
      <c r="L158" s="42"/>
      <c r="M158" s="42"/>
    </row>
    <row r="159" spans="1:13">
      <c r="B159" t="s">
        <v>413</v>
      </c>
      <c r="C159" t="s">
        <v>412</v>
      </c>
      <c r="D159" s="15">
        <v>1998</v>
      </c>
      <c r="E159" s="15">
        <v>1888.1100000000001</v>
      </c>
      <c r="F159" s="15">
        <f>D159-E159</f>
        <v>109.88999999999987</v>
      </c>
      <c r="G159" t="s">
        <v>155</v>
      </c>
      <c r="H159" t="s">
        <v>11</v>
      </c>
      <c r="I159" t="s">
        <v>12</v>
      </c>
      <c r="J159" t="s">
        <v>156</v>
      </c>
      <c r="K159" s="42">
        <v>85.412916666666661</v>
      </c>
      <c r="L159" s="42"/>
      <c r="M159" s="42"/>
    </row>
    <row r="160" spans="1:13">
      <c r="B160" t="s">
        <v>415</v>
      </c>
      <c r="C160" t="s">
        <v>414</v>
      </c>
      <c r="D160" s="15">
        <v>3998</v>
      </c>
      <c r="E160" s="15">
        <v>3778.1099999999997</v>
      </c>
      <c r="F160" s="15">
        <f>D160-E160</f>
        <v>219.89000000000033</v>
      </c>
      <c r="G160" t="s">
        <v>155</v>
      </c>
      <c r="H160" t="s">
        <v>11</v>
      </c>
      <c r="I160" t="s">
        <v>12</v>
      </c>
      <c r="J160" t="s">
        <v>156</v>
      </c>
      <c r="K160" s="42">
        <v>170.91291666666663</v>
      </c>
      <c r="L160" s="42"/>
      <c r="M160" s="42"/>
    </row>
    <row r="161" spans="1:13">
      <c r="B161" t="s">
        <v>417</v>
      </c>
      <c r="C161" t="s">
        <v>416</v>
      </c>
      <c r="D161" s="15">
        <v>7998</v>
      </c>
      <c r="E161" s="15">
        <v>7558.11</v>
      </c>
      <c r="F161" s="15">
        <f>D161-E161</f>
        <v>439.89000000000033</v>
      </c>
      <c r="G161" t="s">
        <v>155</v>
      </c>
      <c r="H161" t="s">
        <v>11</v>
      </c>
      <c r="I161" t="s">
        <v>12</v>
      </c>
      <c r="J161" t="s">
        <v>156</v>
      </c>
      <c r="K161" s="42">
        <v>341.91291666666666</v>
      </c>
      <c r="L161" s="42"/>
      <c r="M161" s="42"/>
    </row>
    <row r="162" spans="1:13">
      <c r="B162" t="s">
        <v>419</v>
      </c>
      <c r="C162" t="s">
        <v>418</v>
      </c>
      <c r="D162" s="15">
        <v>3</v>
      </c>
      <c r="E162" s="15">
        <v>2.835</v>
      </c>
      <c r="F162" s="15">
        <f>D162-E162</f>
        <v>0.16500000000000004</v>
      </c>
      <c r="G162" t="s">
        <v>155</v>
      </c>
      <c r="H162" t="s">
        <v>11</v>
      </c>
      <c r="I162" t="s">
        <v>12</v>
      </c>
      <c r="J162" t="s">
        <v>156</v>
      </c>
      <c r="K162" s="42">
        <v>0.12666666666666668</v>
      </c>
      <c r="L162" s="42"/>
      <c r="M162" s="42"/>
    </row>
    <row r="163" spans="1:13">
      <c r="B163" t="s">
        <v>1691</v>
      </c>
      <c r="C163" t="s">
        <v>1688</v>
      </c>
      <c r="D163" s="15">
        <v>8</v>
      </c>
      <c r="E163" s="15">
        <v>7.5600000000000005</v>
      </c>
      <c r="F163" s="15">
        <f t="shared" ref="F163:F165" si="8">D163-E163</f>
        <v>0.4399999999999995</v>
      </c>
      <c r="G163" t="s">
        <v>155</v>
      </c>
      <c r="H163" t="s">
        <v>11</v>
      </c>
      <c r="I163" t="s">
        <v>12</v>
      </c>
      <c r="J163" t="s">
        <v>156</v>
      </c>
      <c r="K163" s="42">
        <v>0.28800000000000003</v>
      </c>
      <c r="L163" s="42"/>
      <c r="M163" s="42"/>
    </row>
    <row r="164" spans="1:13">
      <c r="B164" t="s">
        <v>1692</v>
      </c>
      <c r="C164" t="s">
        <v>1689</v>
      </c>
      <c r="D164" s="15">
        <v>4</v>
      </c>
      <c r="E164" s="15">
        <v>3.7800000000000002</v>
      </c>
      <c r="F164" s="15">
        <f t="shared" si="8"/>
        <v>0.21999999999999975</v>
      </c>
      <c r="G164" t="s">
        <v>155</v>
      </c>
      <c r="H164" t="s">
        <v>11</v>
      </c>
      <c r="I164" t="s">
        <v>19</v>
      </c>
      <c r="J164" t="s">
        <v>156</v>
      </c>
      <c r="K164" s="42">
        <v>0.14400000000000002</v>
      </c>
      <c r="L164" s="42"/>
      <c r="M164" s="42"/>
    </row>
    <row r="165" spans="1:13">
      <c r="B165" t="s">
        <v>1693</v>
      </c>
      <c r="C165" t="s">
        <v>1690</v>
      </c>
      <c r="D165" s="15">
        <v>4</v>
      </c>
      <c r="E165" s="15">
        <v>3.7800000000000002</v>
      </c>
      <c r="F165" s="15">
        <f t="shared" si="8"/>
        <v>0.21999999999999975</v>
      </c>
      <c r="G165" t="s">
        <v>155</v>
      </c>
      <c r="H165" t="s">
        <v>11</v>
      </c>
      <c r="I165" t="s">
        <v>19</v>
      </c>
      <c r="J165" t="s">
        <v>156</v>
      </c>
      <c r="K165" s="42">
        <v>0.14400000000000002</v>
      </c>
      <c r="L165" s="42"/>
      <c r="M165" s="42"/>
    </row>
    <row r="166" spans="1:13">
      <c r="D166" s="15"/>
      <c r="E166" s="15"/>
      <c r="F166" s="15"/>
      <c r="K166" s="42"/>
      <c r="L166" s="42"/>
      <c r="M166" s="42"/>
    </row>
    <row r="167" spans="1:13">
      <c r="A167" s="4" t="s">
        <v>1267</v>
      </c>
      <c r="C167" s="2" t="s">
        <v>439</v>
      </c>
      <c r="D167" s="15"/>
      <c r="E167" s="15"/>
      <c r="F167" s="15"/>
      <c r="K167" s="42"/>
      <c r="L167" s="42"/>
      <c r="M167" s="42"/>
    </row>
    <row r="168" spans="1:13">
      <c r="B168" t="s">
        <v>441</v>
      </c>
      <c r="C168" t="s">
        <v>440</v>
      </c>
      <c r="D168" s="15">
        <v>28</v>
      </c>
      <c r="E168" s="15">
        <v>26.46</v>
      </c>
      <c r="F168" s="15">
        <f t="shared" ref="F168:F180" si="9">D168-E168</f>
        <v>1.5399999999999991</v>
      </c>
      <c r="G168" t="s">
        <v>155</v>
      </c>
      <c r="H168" t="s">
        <v>11</v>
      </c>
      <c r="I168" t="s">
        <v>12</v>
      </c>
      <c r="J168" t="s">
        <v>156</v>
      </c>
      <c r="K168" s="42">
        <v>1.1954166666666666</v>
      </c>
      <c r="L168" s="42">
        <v>1.26</v>
      </c>
      <c r="M168" s="42"/>
    </row>
    <row r="169" spans="1:13">
      <c r="B169" t="s">
        <v>2540</v>
      </c>
      <c r="C169" t="s">
        <v>2541</v>
      </c>
      <c r="D169" s="15">
        <v>8</v>
      </c>
      <c r="E169" s="15">
        <v>7.56</v>
      </c>
      <c r="F169" s="15">
        <f t="shared" si="9"/>
        <v>0.44000000000000039</v>
      </c>
      <c r="G169" t="s">
        <v>155</v>
      </c>
      <c r="H169" t="s">
        <v>11</v>
      </c>
      <c r="I169" t="s">
        <v>12</v>
      </c>
      <c r="J169" t="s">
        <v>156</v>
      </c>
      <c r="K169" s="42"/>
      <c r="L169" s="42"/>
      <c r="M169" s="42"/>
    </row>
    <row r="170" spans="1:13">
      <c r="B170" t="s">
        <v>443</v>
      </c>
      <c r="C170" t="s">
        <v>442</v>
      </c>
      <c r="D170" s="15">
        <v>40</v>
      </c>
      <c r="E170" s="15">
        <v>37.799999999999997</v>
      </c>
      <c r="F170" s="15">
        <f t="shared" si="9"/>
        <v>2.2000000000000028</v>
      </c>
      <c r="G170" t="s">
        <v>155</v>
      </c>
      <c r="H170" t="s">
        <v>11</v>
      </c>
      <c r="I170" t="s">
        <v>12</v>
      </c>
      <c r="J170" t="s">
        <v>156</v>
      </c>
      <c r="K170" s="42">
        <v>1.7100000000000002</v>
      </c>
      <c r="L170" s="42">
        <v>1.8</v>
      </c>
      <c r="M170" s="42"/>
    </row>
    <row r="171" spans="1:13">
      <c r="B171" t="s">
        <v>445</v>
      </c>
      <c r="C171" t="s">
        <v>444</v>
      </c>
      <c r="D171" s="15">
        <v>3.2</v>
      </c>
      <c r="E171" s="15">
        <v>3.024</v>
      </c>
      <c r="F171" s="15">
        <f t="shared" si="9"/>
        <v>0.17600000000000016</v>
      </c>
      <c r="G171" t="s">
        <v>155</v>
      </c>
      <c r="H171" t="s">
        <v>11</v>
      </c>
      <c r="I171" t="s">
        <v>12</v>
      </c>
      <c r="J171" t="s">
        <v>156</v>
      </c>
      <c r="K171" s="42">
        <v>0.13458333333333333</v>
      </c>
      <c r="L171" s="42">
        <v>0.15</v>
      </c>
      <c r="M171" s="42"/>
    </row>
    <row r="172" spans="1:13">
      <c r="B172" t="s">
        <v>488</v>
      </c>
      <c r="C172" t="s">
        <v>487</v>
      </c>
      <c r="D172" s="15">
        <v>2</v>
      </c>
      <c r="E172" s="15">
        <v>1.89</v>
      </c>
      <c r="F172" s="15">
        <f t="shared" si="9"/>
        <v>0.1100000000000001</v>
      </c>
      <c r="G172" t="s">
        <v>155</v>
      </c>
      <c r="H172" t="s">
        <v>11</v>
      </c>
      <c r="I172" t="s">
        <v>12</v>
      </c>
      <c r="J172" t="s">
        <v>156</v>
      </c>
      <c r="K172" s="42">
        <v>8.7083333333333332E-2</v>
      </c>
      <c r="L172" s="42"/>
      <c r="M172" s="42"/>
    </row>
    <row r="173" spans="1:13">
      <c r="B173" t="s">
        <v>1053</v>
      </c>
      <c r="C173" t="s">
        <v>1052</v>
      </c>
      <c r="D173" s="15">
        <v>4</v>
      </c>
      <c r="E173" s="15">
        <v>3.78</v>
      </c>
      <c r="F173" s="15">
        <f t="shared" si="9"/>
        <v>0.2200000000000002</v>
      </c>
      <c r="G173" t="s">
        <v>155</v>
      </c>
      <c r="H173" t="s">
        <v>11</v>
      </c>
      <c r="I173" t="s">
        <v>19</v>
      </c>
      <c r="J173" t="s">
        <v>156</v>
      </c>
      <c r="K173" s="42">
        <v>0.6808333333333334</v>
      </c>
      <c r="L173" s="42">
        <v>0.72</v>
      </c>
      <c r="M173" s="42"/>
    </row>
    <row r="174" spans="1:13">
      <c r="B174" t="s">
        <v>1322</v>
      </c>
      <c r="C174" t="s">
        <v>1321</v>
      </c>
      <c r="D174" s="15">
        <v>120</v>
      </c>
      <c r="E174" s="15">
        <v>113.4</v>
      </c>
      <c r="F174" s="15">
        <f t="shared" si="9"/>
        <v>6.5999999999999943</v>
      </c>
      <c r="G174" s="50" t="s">
        <v>155</v>
      </c>
      <c r="H174" s="50" t="s">
        <v>11</v>
      </c>
      <c r="I174" s="50" t="s">
        <v>19</v>
      </c>
      <c r="J174" s="50" t="s">
        <v>156</v>
      </c>
      <c r="K174" s="42">
        <v>8.5500000000000007</v>
      </c>
      <c r="L174" s="42">
        <v>9</v>
      </c>
      <c r="M174" s="42"/>
    </row>
    <row r="175" spans="1:13">
      <c r="B175" t="s">
        <v>1737</v>
      </c>
      <c r="C175" t="s">
        <v>1738</v>
      </c>
      <c r="D175" s="15">
        <v>200</v>
      </c>
      <c r="E175" s="15">
        <v>189</v>
      </c>
      <c r="F175" s="15">
        <f t="shared" si="9"/>
        <v>11</v>
      </c>
      <c r="G175" s="50" t="s">
        <v>155</v>
      </c>
      <c r="H175" s="50" t="s">
        <v>11</v>
      </c>
      <c r="I175" s="50" t="s">
        <v>19</v>
      </c>
      <c r="J175" s="50" t="s">
        <v>156</v>
      </c>
      <c r="K175" s="42">
        <v>8.5500000000000007</v>
      </c>
      <c r="L175" s="42"/>
      <c r="M175" s="42"/>
    </row>
    <row r="176" spans="1:13">
      <c r="B176" t="s">
        <v>1739</v>
      </c>
      <c r="C176" t="s">
        <v>1740</v>
      </c>
      <c r="D176" s="15">
        <v>2</v>
      </c>
      <c r="E176" s="15">
        <v>1.8900000000000001</v>
      </c>
      <c r="F176" s="15">
        <f t="shared" si="9"/>
        <v>0.10999999999999988</v>
      </c>
      <c r="G176" s="50" t="s">
        <v>155</v>
      </c>
      <c r="H176" s="50" t="s">
        <v>11</v>
      </c>
      <c r="I176" s="50" t="s">
        <v>19</v>
      </c>
      <c r="J176" s="50" t="s">
        <v>156</v>
      </c>
      <c r="K176" s="42">
        <v>0.09</v>
      </c>
      <c r="L176" s="42"/>
      <c r="M176" s="42"/>
    </row>
    <row r="177" spans="1:13">
      <c r="B177" t="s">
        <v>2050</v>
      </c>
      <c r="C177" t="s">
        <v>2046</v>
      </c>
      <c r="D177" s="15">
        <v>0</v>
      </c>
      <c r="E177" s="15">
        <v>0</v>
      </c>
      <c r="F177" s="15">
        <f t="shared" si="9"/>
        <v>0</v>
      </c>
      <c r="G177" s="50" t="s">
        <v>155</v>
      </c>
      <c r="H177" s="50" t="s">
        <v>11</v>
      </c>
      <c r="I177" s="50" t="s">
        <v>12</v>
      </c>
      <c r="J177" s="50" t="s">
        <v>156</v>
      </c>
      <c r="K177" s="42"/>
      <c r="L177" s="42"/>
      <c r="M177" s="42"/>
    </row>
    <row r="178" spans="1:13">
      <c r="B178" t="s">
        <v>2051</v>
      </c>
      <c r="C178" t="s">
        <v>2047</v>
      </c>
      <c r="D178" s="15">
        <v>16</v>
      </c>
      <c r="E178" s="15">
        <v>15.12</v>
      </c>
      <c r="F178" s="15">
        <f t="shared" si="9"/>
        <v>0.88000000000000078</v>
      </c>
      <c r="G178" s="50" t="s">
        <v>155</v>
      </c>
      <c r="H178" s="50" t="s">
        <v>11</v>
      </c>
      <c r="I178" s="50" t="s">
        <v>12</v>
      </c>
      <c r="J178" s="50" t="s">
        <v>156</v>
      </c>
      <c r="K178" s="42"/>
      <c r="L178" s="42"/>
      <c r="M178" s="42"/>
    </row>
    <row r="179" spans="1:13">
      <c r="B179" t="s">
        <v>2052</v>
      </c>
      <c r="C179" t="s">
        <v>2048</v>
      </c>
      <c r="D179" s="15">
        <v>0</v>
      </c>
      <c r="E179" s="15">
        <v>0</v>
      </c>
      <c r="F179" s="15">
        <f t="shared" si="9"/>
        <v>0</v>
      </c>
      <c r="G179" s="50" t="s">
        <v>155</v>
      </c>
      <c r="H179" s="50" t="s">
        <v>11</v>
      </c>
      <c r="I179" s="50" t="s">
        <v>12</v>
      </c>
      <c r="J179" s="50" t="s">
        <v>156</v>
      </c>
      <c r="K179" s="42"/>
      <c r="L179" s="42"/>
      <c r="M179" s="42"/>
    </row>
    <row r="180" spans="1:13">
      <c r="B180" t="s">
        <v>2053</v>
      </c>
      <c r="C180" t="s">
        <v>2049</v>
      </c>
      <c r="D180" s="15">
        <v>16</v>
      </c>
      <c r="E180" s="15">
        <v>15.12</v>
      </c>
      <c r="F180" s="15">
        <f t="shared" si="9"/>
        <v>0.88000000000000078</v>
      </c>
      <c r="G180" s="50" t="s">
        <v>155</v>
      </c>
      <c r="H180" s="50" t="s">
        <v>11</v>
      </c>
      <c r="I180" s="50" t="s">
        <v>12</v>
      </c>
      <c r="J180" s="50" t="s">
        <v>156</v>
      </c>
      <c r="K180" s="42"/>
      <c r="L180" s="42"/>
      <c r="M180" s="42"/>
    </row>
    <row r="181" spans="1:13">
      <c r="D181" s="15"/>
      <c r="E181" s="15"/>
      <c r="F181" s="15"/>
      <c r="K181" s="42"/>
      <c r="L181" s="42"/>
      <c r="M181" s="42"/>
    </row>
    <row r="182" spans="1:13">
      <c r="A182" s="4" t="s">
        <v>124</v>
      </c>
      <c r="C182" s="2" t="s">
        <v>235</v>
      </c>
      <c r="D182" s="15"/>
      <c r="E182" s="15"/>
      <c r="F182" s="15"/>
      <c r="K182" s="42"/>
      <c r="L182" s="42"/>
      <c r="M182" s="42"/>
    </row>
    <row r="183" spans="1:13">
      <c r="B183" t="s">
        <v>746</v>
      </c>
      <c r="C183" t="s">
        <v>745</v>
      </c>
      <c r="D183" s="15">
        <v>35</v>
      </c>
      <c r="E183" s="15">
        <v>33.075000000000003</v>
      </c>
      <c r="F183" s="15">
        <f t="shared" ref="F183:F190" si="10">D183-E183</f>
        <v>1.9249999999999972</v>
      </c>
      <c r="G183" t="s">
        <v>155</v>
      </c>
      <c r="H183" t="s">
        <v>11</v>
      </c>
      <c r="I183" t="s">
        <v>12</v>
      </c>
      <c r="J183" t="s">
        <v>156</v>
      </c>
      <c r="K183" s="42">
        <v>0.99749999999999994</v>
      </c>
      <c r="L183" s="42"/>
      <c r="M183" s="42"/>
    </row>
    <row r="184" spans="1:13">
      <c r="B184" t="s">
        <v>1856</v>
      </c>
      <c r="C184" t="s">
        <v>1855</v>
      </c>
      <c r="D184" s="15">
        <v>2.5</v>
      </c>
      <c r="E184" s="15">
        <v>2.42</v>
      </c>
      <c r="F184" s="15">
        <f t="shared" si="10"/>
        <v>8.0000000000000071E-2</v>
      </c>
      <c r="G184" t="s">
        <v>155</v>
      </c>
      <c r="H184" t="s">
        <v>11</v>
      </c>
      <c r="I184" t="s">
        <v>12</v>
      </c>
      <c r="J184" t="s">
        <v>156</v>
      </c>
      <c r="K184" s="42">
        <v>0.11</v>
      </c>
      <c r="L184" s="42"/>
      <c r="M184" s="42"/>
    </row>
    <row r="185" spans="1:13">
      <c r="B185" t="s">
        <v>748</v>
      </c>
      <c r="C185" t="s">
        <v>747</v>
      </c>
      <c r="D185" s="15">
        <v>5</v>
      </c>
      <c r="E185" s="15">
        <v>4.7300000000000004</v>
      </c>
      <c r="F185" s="15">
        <f t="shared" si="10"/>
        <v>0.26999999999999957</v>
      </c>
      <c r="G185" t="s">
        <v>155</v>
      </c>
      <c r="H185" t="s">
        <v>11</v>
      </c>
      <c r="I185" t="s">
        <v>12</v>
      </c>
      <c r="J185" t="s">
        <v>156</v>
      </c>
      <c r="K185" s="42">
        <v>0.28499999999999998</v>
      </c>
      <c r="L185" s="42"/>
      <c r="M185" s="42"/>
    </row>
    <row r="186" spans="1:13">
      <c r="B186" t="s">
        <v>749</v>
      </c>
      <c r="C186" t="s">
        <v>2579</v>
      </c>
      <c r="D186" s="15">
        <v>350</v>
      </c>
      <c r="E186" s="15">
        <v>350</v>
      </c>
      <c r="F186" s="15">
        <f t="shared" si="10"/>
        <v>0</v>
      </c>
      <c r="G186" t="s">
        <v>155</v>
      </c>
      <c r="H186" t="s">
        <v>11</v>
      </c>
      <c r="I186" t="s">
        <v>12</v>
      </c>
      <c r="J186" t="s">
        <v>156</v>
      </c>
      <c r="K186" s="42">
        <v>14.9625</v>
      </c>
      <c r="L186" s="42"/>
      <c r="M186" s="42"/>
    </row>
    <row r="187" spans="1:13">
      <c r="B187" t="s">
        <v>1098</v>
      </c>
      <c r="C187" t="s">
        <v>2499</v>
      </c>
      <c r="D187" s="15">
        <v>3.8</v>
      </c>
      <c r="E187" s="15">
        <v>3.57</v>
      </c>
      <c r="F187" s="15">
        <f t="shared" si="10"/>
        <v>0.22999999999999998</v>
      </c>
      <c r="G187" t="s">
        <v>155</v>
      </c>
      <c r="H187" t="s">
        <v>11</v>
      </c>
      <c r="I187" t="s">
        <v>12</v>
      </c>
      <c r="J187" t="s">
        <v>156</v>
      </c>
      <c r="K187" s="42">
        <v>0.42750000000000005</v>
      </c>
      <c r="L187" s="42"/>
      <c r="M187" s="42"/>
    </row>
    <row r="188" spans="1:13">
      <c r="B188" t="s">
        <v>1100</v>
      </c>
      <c r="C188" t="s">
        <v>1099</v>
      </c>
      <c r="D188" s="15">
        <v>37.5</v>
      </c>
      <c r="E188" s="15">
        <v>35.49</v>
      </c>
      <c r="F188" s="15">
        <f t="shared" si="10"/>
        <v>2.009999999999998</v>
      </c>
      <c r="G188" t="s">
        <v>155</v>
      </c>
      <c r="H188" t="s">
        <v>11</v>
      </c>
      <c r="I188" t="s">
        <v>19</v>
      </c>
      <c r="J188" t="s">
        <v>156</v>
      </c>
      <c r="K188" s="42">
        <v>1.3379166666666666</v>
      </c>
      <c r="L188" s="42"/>
      <c r="M188" s="42"/>
    </row>
    <row r="189" spans="1:13">
      <c r="B189" t="s">
        <v>2497</v>
      </c>
      <c r="C189" t="s">
        <v>2495</v>
      </c>
      <c r="D189" s="15">
        <v>60</v>
      </c>
      <c r="E189" s="15">
        <v>56.7</v>
      </c>
      <c r="F189" s="15">
        <f t="shared" si="10"/>
        <v>3.2999999999999972</v>
      </c>
      <c r="G189" t="s">
        <v>155</v>
      </c>
      <c r="H189" t="s">
        <v>11</v>
      </c>
      <c r="I189" t="s">
        <v>12</v>
      </c>
      <c r="J189" t="s">
        <v>156</v>
      </c>
      <c r="K189" s="42"/>
      <c r="L189" s="42"/>
      <c r="M189" s="42"/>
    </row>
    <row r="190" spans="1:13">
      <c r="B190" t="s">
        <v>2498</v>
      </c>
      <c r="C190" t="s">
        <v>2496</v>
      </c>
      <c r="D190" s="15">
        <v>2000</v>
      </c>
      <c r="E190" s="15">
        <v>1890</v>
      </c>
      <c r="F190" s="15">
        <f t="shared" si="10"/>
        <v>110</v>
      </c>
      <c r="G190" t="s">
        <v>155</v>
      </c>
      <c r="H190" t="s">
        <v>11</v>
      </c>
      <c r="I190" t="s">
        <v>12</v>
      </c>
      <c r="J190" t="s">
        <v>156</v>
      </c>
      <c r="K190" s="42"/>
      <c r="L190" s="42"/>
      <c r="M190" s="42"/>
    </row>
    <row r="191" spans="1:13">
      <c r="D191" s="15"/>
      <c r="E191" s="15"/>
      <c r="F191" s="15"/>
      <c r="K191" s="42"/>
      <c r="L191" s="42"/>
      <c r="M191" s="42"/>
    </row>
    <row r="192" spans="1:13">
      <c r="A192" s="4" t="s">
        <v>757</v>
      </c>
      <c r="C192" s="2" t="s">
        <v>577</v>
      </c>
      <c r="D192" s="15"/>
      <c r="E192" s="15"/>
      <c r="F192" s="15"/>
      <c r="K192" s="42"/>
      <c r="L192" s="42"/>
      <c r="M192" s="42"/>
    </row>
    <row r="193" spans="2:13">
      <c r="B193" t="s">
        <v>2549</v>
      </c>
      <c r="C193" t="s">
        <v>574</v>
      </c>
      <c r="D193" s="15">
        <v>8</v>
      </c>
      <c r="E193" s="15">
        <v>7.5600000000000005</v>
      </c>
      <c r="F193" s="15">
        <f>D193-E193</f>
        <v>0.4399999999999995</v>
      </c>
      <c r="G193" t="s">
        <v>155</v>
      </c>
      <c r="H193" t="s">
        <v>11</v>
      </c>
      <c r="I193" t="s">
        <v>12</v>
      </c>
      <c r="J193" t="s">
        <v>156</v>
      </c>
      <c r="K193" s="42"/>
      <c r="L193" s="42"/>
      <c r="M193" s="42"/>
    </row>
    <row r="194" spans="2:13">
      <c r="B194" t="s">
        <v>2550</v>
      </c>
      <c r="C194" t="s">
        <v>608</v>
      </c>
      <c r="D194" s="15">
        <v>425</v>
      </c>
      <c r="E194" s="15">
        <v>401.625</v>
      </c>
      <c r="F194" s="15">
        <f t="shared" ref="F194:F201" si="11">D194-E194</f>
        <v>23.375</v>
      </c>
      <c r="G194" t="s">
        <v>155</v>
      </c>
      <c r="H194" t="s">
        <v>11</v>
      </c>
      <c r="I194" t="s">
        <v>12</v>
      </c>
      <c r="J194" t="s">
        <v>156</v>
      </c>
      <c r="K194" s="42"/>
      <c r="L194" s="42"/>
      <c r="M194" s="42"/>
    </row>
    <row r="195" spans="2:13">
      <c r="B195" t="s">
        <v>2551</v>
      </c>
      <c r="C195" t="s">
        <v>2542</v>
      </c>
      <c r="D195" s="15">
        <v>250</v>
      </c>
      <c r="E195" s="15">
        <v>236.25</v>
      </c>
      <c r="F195" s="15">
        <f t="shared" si="11"/>
        <v>13.75</v>
      </c>
      <c r="G195" t="s">
        <v>155</v>
      </c>
      <c r="H195" t="s">
        <v>11</v>
      </c>
      <c r="I195" t="s">
        <v>19</v>
      </c>
      <c r="J195" t="s">
        <v>156</v>
      </c>
      <c r="K195" s="42"/>
      <c r="L195" s="42"/>
      <c r="M195" s="42"/>
    </row>
    <row r="196" spans="2:13">
      <c r="B196" t="s">
        <v>2552</v>
      </c>
      <c r="C196" t="s">
        <v>2543</v>
      </c>
      <c r="D196" s="15">
        <v>500</v>
      </c>
      <c r="E196" s="15">
        <v>472.5</v>
      </c>
      <c r="F196" s="15">
        <f t="shared" si="11"/>
        <v>27.5</v>
      </c>
      <c r="G196" t="s">
        <v>155</v>
      </c>
      <c r="H196" t="s">
        <v>11</v>
      </c>
      <c r="I196" t="s">
        <v>19</v>
      </c>
      <c r="J196" t="s">
        <v>156</v>
      </c>
      <c r="K196" s="42"/>
      <c r="L196" s="42"/>
      <c r="M196" s="42"/>
    </row>
    <row r="197" spans="2:13">
      <c r="B197" t="s">
        <v>2553</v>
      </c>
      <c r="C197" t="s">
        <v>2544</v>
      </c>
      <c r="D197" s="15">
        <v>375</v>
      </c>
      <c r="E197" s="15">
        <v>354.375</v>
      </c>
      <c r="F197" s="15">
        <f t="shared" si="11"/>
        <v>20.625</v>
      </c>
      <c r="G197" t="s">
        <v>155</v>
      </c>
      <c r="H197" t="s">
        <v>11</v>
      </c>
      <c r="I197" t="s">
        <v>19</v>
      </c>
      <c r="J197" t="s">
        <v>156</v>
      </c>
      <c r="K197" s="42"/>
      <c r="L197" s="42"/>
      <c r="M197" s="42"/>
    </row>
    <row r="198" spans="2:13">
      <c r="B198" t="s">
        <v>2554</v>
      </c>
      <c r="C198" t="s">
        <v>2545</v>
      </c>
      <c r="D198" s="15">
        <v>250</v>
      </c>
      <c r="E198" s="15">
        <v>236.25</v>
      </c>
      <c r="F198" s="15">
        <f t="shared" si="11"/>
        <v>13.75</v>
      </c>
      <c r="G198" t="s">
        <v>155</v>
      </c>
      <c r="H198" t="s">
        <v>11</v>
      </c>
      <c r="I198" t="s">
        <v>19</v>
      </c>
      <c r="J198" t="s">
        <v>156</v>
      </c>
      <c r="K198" s="42"/>
      <c r="L198" s="42"/>
      <c r="M198" s="42"/>
    </row>
    <row r="199" spans="2:13">
      <c r="B199" t="s">
        <v>2555</v>
      </c>
      <c r="C199" t="s">
        <v>2546</v>
      </c>
      <c r="D199" s="15">
        <v>62.5</v>
      </c>
      <c r="E199" s="15">
        <v>59.114999999999995</v>
      </c>
      <c r="F199" s="15">
        <f t="shared" si="11"/>
        <v>3.3850000000000051</v>
      </c>
      <c r="G199" t="s">
        <v>155</v>
      </c>
      <c r="H199" t="s">
        <v>11</v>
      </c>
      <c r="I199" t="s">
        <v>19</v>
      </c>
      <c r="J199" t="s">
        <v>156</v>
      </c>
      <c r="K199" s="42"/>
      <c r="L199" s="42"/>
      <c r="M199" s="42"/>
    </row>
    <row r="200" spans="2:13">
      <c r="B200" t="s">
        <v>2556</v>
      </c>
      <c r="C200" t="s">
        <v>2547</v>
      </c>
      <c r="D200" s="15">
        <v>75</v>
      </c>
      <c r="E200" s="15">
        <v>70.875</v>
      </c>
      <c r="F200" s="15">
        <f t="shared" si="11"/>
        <v>4.125</v>
      </c>
      <c r="G200" t="s">
        <v>155</v>
      </c>
      <c r="H200" t="s">
        <v>11</v>
      </c>
      <c r="I200" t="s">
        <v>19</v>
      </c>
      <c r="J200" t="s">
        <v>156</v>
      </c>
      <c r="K200" s="42"/>
      <c r="L200" s="42"/>
      <c r="M200" s="42"/>
    </row>
    <row r="201" spans="2:13">
      <c r="B201" t="s">
        <v>2557</v>
      </c>
      <c r="C201" t="s">
        <v>2548</v>
      </c>
      <c r="D201" s="15">
        <v>125</v>
      </c>
      <c r="E201" s="15">
        <v>118.125</v>
      </c>
      <c r="F201" s="15">
        <f t="shared" si="11"/>
        <v>6.875</v>
      </c>
      <c r="G201" t="s">
        <v>155</v>
      </c>
      <c r="H201" t="s">
        <v>11</v>
      </c>
      <c r="I201" t="s">
        <v>12</v>
      </c>
      <c r="J201" t="s">
        <v>156</v>
      </c>
      <c r="K201" s="42"/>
      <c r="L201" s="42"/>
      <c r="M201" s="42"/>
    </row>
    <row r="202" spans="2:13">
      <c r="D202" s="15"/>
      <c r="E202" s="15"/>
      <c r="F202" s="15"/>
      <c r="K202" s="42"/>
      <c r="L202" s="42"/>
      <c r="M202" s="42"/>
    </row>
    <row r="203" spans="2:13">
      <c r="C203" s="2" t="s">
        <v>628</v>
      </c>
      <c r="D203" s="15"/>
      <c r="E203" s="15"/>
      <c r="F203" s="15"/>
      <c r="K203" s="42"/>
      <c r="L203" s="42"/>
      <c r="M203" s="42"/>
    </row>
    <row r="204" spans="2:13">
      <c r="B204" t="s">
        <v>742</v>
      </c>
      <c r="C204" t="s">
        <v>741</v>
      </c>
      <c r="D204" s="15">
        <v>25</v>
      </c>
      <c r="E204" s="15">
        <v>23.625</v>
      </c>
      <c r="F204" s="15">
        <f>D204-E204</f>
        <v>1.375</v>
      </c>
      <c r="G204" t="s">
        <v>155</v>
      </c>
      <c r="H204" t="s">
        <v>11</v>
      </c>
      <c r="I204" t="s">
        <v>12</v>
      </c>
      <c r="J204" t="s">
        <v>156</v>
      </c>
      <c r="K204" s="42">
        <v>0.71250000000000002</v>
      </c>
      <c r="L204" s="42"/>
      <c r="M204" s="42"/>
    </row>
    <row r="205" spans="2:13">
      <c r="B205" t="s">
        <v>744</v>
      </c>
      <c r="C205" t="s">
        <v>743</v>
      </c>
      <c r="D205" s="15">
        <v>3.8</v>
      </c>
      <c r="E205" s="15">
        <v>3.57</v>
      </c>
      <c r="F205" s="15">
        <f>D205-E205</f>
        <v>0.22999999999999998</v>
      </c>
      <c r="G205" t="s">
        <v>155</v>
      </c>
      <c r="H205" t="s">
        <v>11</v>
      </c>
      <c r="I205" t="s">
        <v>12</v>
      </c>
      <c r="J205" t="s">
        <v>156</v>
      </c>
      <c r="K205" s="42">
        <v>0.11083333333333334</v>
      </c>
      <c r="L205" s="42"/>
      <c r="M205" s="42"/>
    </row>
    <row r="206" spans="2:13">
      <c r="B206" t="s">
        <v>2381</v>
      </c>
      <c r="C206" t="s">
        <v>2375</v>
      </c>
      <c r="D206" s="15">
        <v>1.2</v>
      </c>
      <c r="E206" s="15">
        <v>1.1340000000000001</v>
      </c>
      <c r="F206" s="15">
        <f>D206-E206</f>
        <v>6.5999999999999837E-2</v>
      </c>
      <c r="G206" t="s">
        <v>155</v>
      </c>
      <c r="H206" t="s">
        <v>11</v>
      </c>
      <c r="I206" t="s">
        <v>19</v>
      </c>
      <c r="J206" t="s">
        <v>156</v>
      </c>
      <c r="K206" s="42"/>
      <c r="L206" s="42"/>
      <c r="M206" s="42"/>
    </row>
    <row r="207" spans="2:13">
      <c r="B207" t="s">
        <v>2382</v>
      </c>
      <c r="C207" t="s">
        <v>2376</v>
      </c>
      <c r="D207" s="15">
        <v>18.8</v>
      </c>
      <c r="E207" s="15">
        <v>17.744999999999997</v>
      </c>
      <c r="F207" s="15">
        <f t="shared" ref="F207:F212" si="12">D207-E207</f>
        <v>1.0550000000000033</v>
      </c>
      <c r="G207" t="s">
        <v>155</v>
      </c>
      <c r="H207" t="s">
        <v>11</v>
      </c>
      <c r="I207" t="s">
        <v>12</v>
      </c>
      <c r="J207" t="s">
        <v>156</v>
      </c>
      <c r="K207" s="42"/>
      <c r="L207" s="42"/>
      <c r="M207" s="42"/>
    </row>
    <row r="208" spans="2:13">
      <c r="B208" t="s">
        <v>2383</v>
      </c>
      <c r="C208" t="s">
        <v>2377</v>
      </c>
      <c r="D208" s="15">
        <v>9.4</v>
      </c>
      <c r="E208" s="15">
        <v>8.82</v>
      </c>
      <c r="F208" s="15">
        <f t="shared" si="12"/>
        <v>0.58000000000000007</v>
      </c>
      <c r="G208" t="s">
        <v>155</v>
      </c>
      <c r="H208" t="s">
        <v>11</v>
      </c>
      <c r="I208" t="s">
        <v>12</v>
      </c>
      <c r="J208" t="s">
        <v>156</v>
      </c>
      <c r="K208" s="42"/>
      <c r="L208" s="42"/>
      <c r="M208" s="42"/>
    </row>
    <row r="209" spans="2:13">
      <c r="B209" t="s">
        <v>2384</v>
      </c>
      <c r="C209" t="s">
        <v>2378</v>
      </c>
      <c r="D209" s="15">
        <v>6.3</v>
      </c>
      <c r="E209" s="15">
        <v>5.88</v>
      </c>
      <c r="F209" s="15">
        <f t="shared" si="12"/>
        <v>0.41999999999999993</v>
      </c>
      <c r="G209" t="s">
        <v>155</v>
      </c>
      <c r="H209" t="s">
        <v>11</v>
      </c>
      <c r="I209" t="s">
        <v>12</v>
      </c>
      <c r="J209" t="s">
        <v>156</v>
      </c>
      <c r="K209" s="42"/>
      <c r="L209" s="42"/>
      <c r="M209" s="42"/>
    </row>
    <row r="210" spans="2:13">
      <c r="B210" t="s">
        <v>2385</v>
      </c>
      <c r="C210" t="s">
        <v>2379</v>
      </c>
      <c r="D210" s="15">
        <v>50</v>
      </c>
      <c r="E210" s="15">
        <v>47.25</v>
      </c>
      <c r="F210" s="15">
        <f t="shared" si="12"/>
        <v>2.75</v>
      </c>
      <c r="G210" t="s">
        <v>155</v>
      </c>
      <c r="H210" t="s">
        <v>11</v>
      </c>
      <c r="I210" t="s">
        <v>12</v>
      </c>
      <c r="J210" t="s">
        <v>156</v>
      </c>
      <c r="K210" s="42"/>
      <c r="L210" s="42"/>
      <c r="M210" s="42"/>
    </row>
    <row r="211" spans="2:13">
      <c r="B211" t="s">
        <v>2386</v>
      </c>
      <c r="C211" t="s">
        <v>2380</v>
      </c>
      <c r="D211" s="15">
        <v>30</v>
      </c>
      <c r="E211" s="15">
        <v>28.35</v>
      </c>
      <c r="F211" s="15">
        <f t="shared" si="12"/>
        <v>1.6499999999999986</v>
      </c>
      <c r="G211" t="s">
        <v>155</v>
      </c>
      <c r="H211" t="s">
        <v>11</v>
      </c>
      <c r="I211" t="s">
        <v>12</v>
      </c>
      <c r="J211" t="s">
        <v>156</v>
      </c>
      <c r="K211" s="42"/>
      <c r="L211" s="42"/>
      <c r="M211" s="42"/>
    </row>
    <row r="212" spans="2:13">
      <c r="B212" t="s">
        <v>2316</v>
      </c>
      <c r="C212" t="s">
        <v>2314</v>
      </c>
      <c r="D212" s="15">
        <v>1.6</v>
      </c>
      <c r="E212" s="15">
        <v>1.512</v>
      </c>
      <c r="F212" s="15">
        <f t="shared" si="12"/>
        <v>8.8000000000000078E-2</v>
      </c>
      <c r="G212" t="s">
        <v>155</v>
      </c>
      <c r="H212" t="s">
        <v>11</v>
      </c>
      <c r="I212" t="s">
        <v>12</v>
      </c>
      <c r="J212" t="s">
        <v>156</v>
      </c>
      <c r="K212" s="42"/>
      <c r="L212" s="42"/>
      <c r="M212" s="42"/>
    </row>
    <row r="213" spans="2:13">
      <c r="D213" s="15"/>
      <c r="E213" s="15"/>
      <c r="K213" s="42"/>
      <c r="L213" s="42"/>
      <c r="M213" s="42"/>
    </row>
    <row r="214" spans="2:13">
      <c r="B214" t="s">
        <v>927</v>
      </c>
      <c r="C214" t="s">
        <v>926</v>
      </c>
      <c r="D214" s="13">
        <v>250</v>
      </c>
      <c r="E214" s="13">
        <v>240.75</v>
      </c>
      <c r="F214" s="13">
        <f>D214-E214</f>
        <v>9.25</v>
      </c>
      <c r="G214" t="s">
        <v>155</v>
      </c>
      <c r="H214" t="s">
        <v>11</v>
      </c>
      <c r="I214" t="s">
        <v>12</v>
      </c>
      <c r="J214" t="s">
        <v>156</v>
      </c>
      <c r="K214" s="42">
        <v>7.125</v>
      </c>
      <c r="L214" s="42"/>
      <c r="M214" s="42"/>
    </row>
    <row r="215" spans="2:13">
      <c r="B215" t="s">
        <v>974</v>
      </c>
      <c r="C215" t="s">
        <v>973</v>
      </c>
      <c r="D215" s="13">
        <v>0</v>
      </c>
      <c r="E215" s="13">
        <v>0</v>
      </c>
      <c r="F215" s="13">
        <v>0</v>
      </c>
      <c r="G215" t="s">
        <v>155</v>
      </c>
      <c r="H215" t="s">
        <v>11</v>
      </c>
      <c r="I215" t="s">
        <v>19</v>
      </c>
      <c r="J215" t="s">
        <v>156</v>
      </c>
      <c r="K215" s="42"/>
      <c r="L215" s="42"/>
      <c r="M215" s="42"/>
    </row>
    <row r="216" spans="2:13">
      <c r="B216" t="s">
        <v>2093</v>
      </c>
      <c r="C216" t="s">
        <v>2092</v>
      </c>
      <c r="D216" s="13">
        <v>50</v>
      </c>
      <c r="E216" s="13">
        <v>47.25</v>
      </c>
      <c r="F216" s="13">
        <f>D216-E216</f>
        <v>2.75</v>
      </c>
      <c r="G216" t="s">
        <v>155</v>
      </c>
      <c r="H216" t="s">
        <v>11</v>
      </c>
      <c r="I216" t="s">
        <v>12</v>
      </c>
      <c r="J216" t="s">
        <v>156</v>
      </c>
      <c r="K216" s="42">
        <v>1.1299999999999999</v>
      </c>
      <c r="L216" s="42"/>
      <c r="M216" s="42"/>
    </row>
    <row r="217" spans="2:13">
      <c r="B217" t="s">
        <v>1713</v>
      </c>
      <c r="C217" t="s">
        <v>1712</v>
      </c>
      <c r="D217" s="13">
        <v>112.5</v>
      </c>
      <c r="E217" s="13">
        <v>106.37</v>
      </c>
      <c r="F217" s="13">
        <f>D217-E217</f>
        <v>6.1299999999999955</v>
      </c>
      <c r="G217" t="s">
        <v>155</v>
      </c>
      <c r="H217" t="s">
        <v>11</v>
      </c>
      <c r="I217" t="s">
        <v>19</v>
      </c>
      <c r="J217" t="s">
        <v>156</v>
      </c>
      <c r="K217" s="42">
        <v>4.8099999999999996</v>
      </c>
      <c r="L217" s="42"/>
      <c r="M217" s="42"/>
    </row>
    <row r="218" spans="2:13">
      <c r="B218" t="s">
        <v>2085</v>
      </c>
      <c r="C218" t="s">
        <v>2084</v>
      </c>
      <c r="D218" s="13">
        <v>22.5</v>
      </c>
      <c r="E218" s="13">
        <v>21.32</v>
      </c>
      <c r="F218" s="13">
        <f>D218-E218</f>
        <v>1.1799999999999997</v>
      </c>
      <c r="G218" t="s">
        <v>155</v>
      </c>
      <c r="H218" t="s">
        <v>11</v>
      </c>
      <c r="I218" t="s">
        <v>19</v>
      </c>
      <c r="J218" t="s">
        <v>156</v>
      </c>
      <c r="K218" s="42">
        <v>0.81</v>
      </c>
      <c r="L218" s="42"/>
      <c r="M218" s="42"/>
    </row>
    <row r="219" spans="2:13">
      <c r="K219" s="42"/>
      <c r="L219" s="42"/>
      <c r="M219" s="42"/>
    </row>
    <row r="220" spans="2:13">
      <c r="B220" t="s">
        <v>1724</v>
      </c>
      <c r="C220" t="s">
        <v>1723</v>
      </c>
      <c r="D220" s="13">
        <v>2.5</v>
      </c>
      <c r="E220" s="13">
        <v>2.42</v>
      </c>
      <c r="F220" s="13">
        <f>D220-E220</f>
        <v>8.0000000000000071E-2</v>
      </c>
      <c r="G220" t="s">
        <v>155</v>
      </c>
      <c r="H220" t="s">
        <v>11</v>
      </c>
      <c r="I220" t="s">
        <v>19</v>
      </c>
      <c r="J220" t="s">
        <v>156</v>
      </c>
      <c r="K220" s="42">
        <v>0.11</v>
      </c>
      <c r="L220" s="42"/>
      <c r="M220" s="42"/>
    </row>
    <row r="221" spans="2:13">
      <c r="K221" s="42"/>
      <c r="L221" s="42"/>
      <c r="M221" s="42"/>
    </row>
    <row r="222" spans="2:13">
      <c r="K222" s="42"/>
      <c r="L222" s="42"/>
      <c r="M222" s="42"/>
    </row>
    <row r="223" spans="2:13">
      <c r="B223" t="s">
        <v>2072</v>
      </c>
      <c r="C223" t="s">
        <v>2071</v>
      </c>
      <c r="D223" s="13">
        <v>2</v>
      </c>
      <c r="E223" s="13">
        <v>1.89</v>
      </c>
      <c r="F223" s="13">
        <f>D223-E223</f>
        <v>0.1100000000000001</v>
      </c>
      <c r="G223" t="s">
        <v>155</v>
      </c>
      <c r="H223" t="s">
        <v>11</v>
      </c>
      <c r="I223" t="s">
        <v>19</v>
      </c>
      <c r="J223" t="s">
        <v>156</v>
      </c>
      <c r="K223" s="42"/>
      <c r="L223" s="42"/>
      <c r="M223" s="42"/>
    </row>
    <row r="224" spans="2:13">
      <c r="K224" s="42"/>
      <c r="L224" s="42"/>
      <c r="M224" s="42"/>
    </row>
    <row r="225" spans="2:13">
      <c r="C225" s="2" t="s">
        <v>2134</v>
      </c>
      <c r="K225" s="42"/>
      <c r="L225" s="42"/>
      <c r="M225" s="42"/>
    </row>
    <row r="226" spans="2:13">
      <c r="B226" t="s">
        <v>2184</v>
      </c>
      <c r="C226" t="s">
        <v>2135</v>
      </c>
      <c r="D226" s="13">
        <v>72</v>
      </c>
      <c r="E226" s="13">
        <v>68.039999999999992</v>
      </c>
      <c r="F226" s="13">
        <f>D226-E226</f>
        <v>3.960000000000008</v>
      </c>
      <c r="G226" t="s">
        <v>155</v>
      </c>
      <c r="H226" t="s">
        <v>11</v>
      </c>
      <c r="I226" t="s">
        <v>12</v>
      </c>
      <c r="J226" t="s">
        <v>156</v>
      </c>
      <c r="K226" s="42">
        <v>1.944</v>
      </c>
      <c r="L226" s="42"/>
      <c r="M226" s="42"/>
    </row>
    <row r="227" spans="2:13">
      <c r="B227" t="s">
        <v>2185</v>
      </c>
      <c r="C227" t="s">
        <v>2136</v>
      </c>
      <c r="D227" s="13">
        <v>15</v>
      </c>
      <c r="E227" s="13">
        <v>14.175000000000001</v>
      </c>
      <c r="F227" s="13">
        <f t="shared" ref="F227:F274" si="13">D227-E227</f>
        <v>0.82499999999999929</v>
      </c>
      <c r="G227" t="s">
        <v>155</v>
      </c>
      <c r="H227" t="s">
        <v>11</v>
      </c>
      <c r="I227" t="s">
        <v>12</v>
      </c>
      <c r="J227" t="s">
        <v>156</v>
      </c>
      <c r="K227" s="42">
        <v>0.40499999999999997</v>
      </c>
      <c r="L227" s="42"/>
      <c r="M227" s="42"/>
    </row>
    <row r="228" spans="2:13">
      <c r="B228" t="s">
        <v>2186</v>
      </c>
      <c r="C228" t="s">
        <v>2137</v>
      </c>
      <c r="D228" s="13">
        <v>15</v>
      </c>
      <c r="E228" s="13">
        <v>14.175000000000001</v>
      </c>
      <c r="F228" s="13">
        <f t="shared" si="13"/>
        <v>0.82499999999999929</v>
      </c>
      <c r="G228" t="s">
        <v>155</v>
      </c>
      <c r="H228" t="s">
        <v>11</v>
      </c>
      <c r="I228" t="s">
        <v>12</v>
      </c>
      <c r="J228" t="s">
        <v>156</v>
      </c>
      <c r="K228" s="42">
        <v>0.40499999999999997</v>
      </c>
      <c r="L228" s="42"/>
      <c r="M228" s="42"/>
    </row>
    <row r="229" spans="2:13">
      <c r="B229" t="s">
        <v>2187</v>
      </c>
      <c r="C229" t="s">
        <v>2138</v>
      </c>
      <c r="D229" s="13">
        <v>375</v>
      </c>
      <c r="E229" s="13">
        <v>354.375</v>
      </c>
      <c r="F229" s="13">
        <f t="shared" si="13"/>
        <v>20.625</v>
      </c>
      <c r="G229" t="s">
        <v>155</v>
      </c>
      <c r="H229" t="s">
        <v>11</v>
      </c>
      <c r="I229" t="s">
        <v>19</v>
      </c>
      <c r="J229" t="s">
        <v>156</v>
      </c>
      <c r="K229" s="42">
        <v>10.125</v>
      </c>
      <c r="L229" s="42"/>
      <c r="M229" s="42"/>
    </row>
    <row r="230" spans="2:13">
      <c r="B230" t="s">
        <v>2188</v>
      </c>
      <c r="C230" t="s">
        <v>2139</v>
      </c>
      <c r="D230" s="13">
        <v>375</v>
      </c>
      <c r="E230" s="13">
        <v>354.375</v>
      </c>
      <c r="F230" s="13">
        <f t="shared" si="13"/>
        <v>20.625</v>
      </c>
      <c r="G230" t="s">
        <v>155</v>
      </c>
      <c r="H230" t="s">
        <v>11</v>
      </c>
      <c r="I230" t="s">
        <v>19</v>
      </c>
      <c r="J230" t="s">
        <v>156</v>
      </c>
      <c r="K230" s="42">
        <v>10.125</v>
      </c>
      <c r="L230" s="42"/>
      <c r="M230" s="42"/>
    </row>
    <row r="231" spans="2:13">
      <c r="B231" t="s">
        <v>2189</v>
      </c>
      <c r="C231" t="s">
        <v>2140</v>
      </c>
      <c r="D231" s="13">
        <v>1500</v>
      </c>
      <c r="E231" s="13">
        <v>1417.5</v>
      </c>
      <c r="F231" s="13">
        <f t="shared" si="13"/>
        <v>82.5</v>
      </c>
      <c r="G231" t="s">
        <v>155</v>
      </c>
      <c r="H231" t="s">
        <v>11</v>
      </c>
      <c r="I231" t="s">
        <v>19</v>
      </c>
      <c r="J231" t="s">
        <v>156</v>
      </c>
      <c r="K231" s="42">
        <v>40.5</v>
      </c>
      <c r="L231" s="42"/>
      <c r="M231" s="42"/>
    </row>
    <row r="232" spans="2:13">
      <c r="B232" t="s">
        <v>2190</v>
      </c>
      <c r="C232" t="s">
        <v>2141</v>
      </c>
      <c r="D232" s="13">
        <v>1500</v>
      </c>
      <c r="E232" s="13">
        <v>1417.5</v>
      </c>
      <c r="F232" s="13">
        <f t="shared" si="13"/>
        <v>82.5</v>
      </c>
      <c r="G232" t="s">
        <v>155</v>
      </c>
      <c r="H232" t="s">
        <v>11</v>
      </c>
      <c r="I232" t="s">
        <v>19</v>
      </c>
      <c r="J232" t="s">
        <v>156</v>
      </c>
      <c r="K232" s="42">
        <v>40.5</v>
      </c>
      <c r="L232" s="42"/>
      <c r="M232" s="42"/>
    </row>
    <row r="233" spans="2:13">
      <c r="B233" t="s">
        <v>2191</v>
      </c>
      <c r="C233" t="s">
        <v>2142</v>
      </c>
      <c r="D233" s="13">
        <v>1500</v>
      </c>
      <c r="E233" s="13">
        <v>1417.5</v>
      </c>
      <c r="F233" s="13">
        <f t="shared" si="13"/>
        <v>82.5</v>
      </c>
      <c r="G233" t="s">
        <v>155</v>
      </c>
      <c r="H233" t="s">
        <v>11</v>
      </c>
      <c r="I233" t="s">
        <v>19</v>
      </c>
      <c r="J233" t="s">
        <v>156</v>
      </c>
      <c r="K233" s="42">
        <v>40.5</v>
      </c>
      <c r="L233" s="42"/>
      <c r="M233" s="42"/>
    </row>
    <row r="234" spans="2:13">
      <c r="B234" t="s">
        <v>2192</v>
      </c>
      <c r="C234" t="s">
        <v>2143</v>
      </c>
      <c r="D234" s="13">
        <v>1500</v>
      </c>
      <c r="E234" s="13">
        <v>1417.5</v>
      </c>
      <c r="F234" s="13">
        <f t="shared" si="13"/>
        <v>82.5</v>
      </c>
      <c r="G234" t="s">
        <v>155</v>
      </c>
      <c r="H234" t="s">
        <v>11</v>
      </c>
      <c r="I234" t="s">
        <v>19</v>
      </c>
      <c r="J234" t="s">
        <v>156</v>
      </c>
      <c r="K234" s="42">
        <v>40.5</v>
      </c>
      <c r="L234" s="42"/>
      <c r="M234" s="42"/>
    </row>
    <row r="235" spans="2:13">
      <c r="B235" t="s">
        <v>2193</v>
      </c>
      <c r="C235" t="s">
        <v>2144</v>
      </c>
      <c r="D235" s="13">
        <v>9250</v>
      </c>
      <c r="E235" s="13">
        <v>8741.25</v>
      </c>
      <c r="F235" s="13">
        <f t="shared" si="13"/>
        <v>508.75</v>
      </c>
      <c r="G235" t="s">
        <v>155</v>
      </c>
      <c r="H235" t="s">
        <v>11</v>
      </c>
      <c r="I235" t="s">
        <v>19</v>
      </c>
      <c r="J235" t="s">
        <v>156</v>
      </c>
      <c r="K235" s="42">
        <v>249.75</v>
      </c>
      <c r="L235" s="42"/>
      <c r="M235" s="42"/>
    </row>
    <row r="236" spans="2:13">
      <c r="B236" t="s">
        <v>2194</v>
      </c>
      <c r="C236" t="s">
        <v>2145</v>
      </c>
      <c r="D236" s="13">
        <v>9250</v>
      </c>
      <c r="E236" s="13">
        <v>8741.25</v>
      </c>
      <c r="F236" s="13">
        <f t="shared" si="13"/>
        <v>508.75</v>
      </c>
      <c r="G236" t="s">
        <v>155</v>
      </c>
      <c r="H236" t="s">
        <v>11</v>
      </c>
      <c r="I236" t="s">
        <v>19</v>
      </c>
      <c r="J236" t="s">
        <v>156</v>
      </c>
      <c r="K236" s="42">
        <v>249.75</v>
      </c>
      <c r="L236" s="42"/>
      <c r="M236" s="42"/>
    </row>
    <row r="237" spans="2:13">
      <c r="B237" t="s">
        <v>2195</v>
      </c>
      <c r="C237" t="s">
        <v>2146</v>
      </c>
      <c r="D237" s="13">
        <v>4250</v>
      </c>
      <c r="E237" s="13">
        <v>4016.25</v>
      </c>
      <c r="F237" s="13">
        <f t="shared" si="13"/>
        <v>233.75</v>
      </c>
      <c r="G237" t="s">
        <v>155</v>
      </c>
      <c r="H237" t="s">
        <v>11</v>
      </c>
      <c r="I237" t="s">
        <v>19</v>
      </c>
      <c r="J237" t="s">
        <v>156</v>
      </c>
      <c r="K237" s="42">
        <v>114.75</v>
      </c>
      <c r="L237" s="42"/>
      <c r="M237" s="42"/>
    </row>
    <row r="238" spans="2:13">
      <c r="B238" t="s">
        <v>2196</v>
      </c>
      <c r="C238" t="s">
        <v>2147</v>
      </c>
      <c r="D238" s="13">
        <v>4250</v>
      </c>
      <c r="E238" s="13">
        <v>4016.25</v>
      </c>
      <c r="F238" s="13">
        <f t="shared" si="13"/>
        <v>233.75</v>
      </c>
      <c r="G238" t="s">
        <v>155</v>
      </c>
      <c r="H238" t="s">
        <v>11</v>
      </c>
      <c r="I238" t="s">
        <v>19</v>
      </c>
      <c r="J238" t="s">
        <v>156</v>
      </c>
      <c r="K238" s="42">
        <v>114.75</v>
      </c>
      <c r="L238" s="42"/>
      <c r="M238" s="42"/>
    </row>
    <row r="239" spans="2:13">
      <c r="B239" t="s">
        <v>2197</v>
      </c>
      <c r="C239" t="s">
        <v>2148</v>
      </c>
      <c r="D239" s="13">
        <v>1200</v>
      </c>
      <c r="E239" s="13">
        <v>1134</v>
      </c>
      <c r="F239" s="13">
        <f t="shared" si="13"/>
        <v>66</v>
      </c>
      <c r="G239" t="s">
        <v>155</v>
      </c>
      <c r="H239" t="s">
        <v>11</v>
      </c>
      <c r="I239" t="s">
        <v>12</v>
      </c>
      <c r="J239" t="s">
        <v>156</v>
      </c>
      <c r="K239" s="42">
        <v>32.4</v>
      </c>
      <c r="L239" s="42"/>
      <c r="M239" s="42"/>
    </row>
    <row r="240" spans="2:13">
      <c r="B240" t="s">
        <v>2198</v>
      </c>
      <c r="C240" t="s">
        <v>2149</v>
      </c>
      <c r="D240" s="13">
        <v>150</v>
      </c>
      <c r="E240" s="13">
        <v>141.75</v>
      </c>
      <c r="F240" s="13">
        <f t="shared" si="13"/>
        <v>8.25</v>
      </c>
      <c r="G240" t="s">
        <v>155</v>
      </c>
      <c r="H240" t="s">
        <v>11</v>
      </c>
      <c r="I240" t="s">
        <v>19</v>
      </c>
      <c r="J240" t="s">
        <v>156</v>
      </c>
      <c r="K240" s="42">
        <v>4.05</v>
      </c>
      <c r="L240" s="42"/>
      <c r="M240" s="42"/>
    </row>
    <row r="241" spans="2:13">
      <c r="B241" t="s">
        <v>2199</v>
      </c>
      <c r="C241" t="s">
        <v>2150</v>
      </c>
      <c r="D241" s="13">
        <v>1200</v>
      </c>
      <c r="E241" s="13">
        <v>1134</v>
      </c>
      <c r="F241" s="13">
        <f t="shared" si="13"/>
        <v>66</v>
      </c>
      <c r="G241" t="s">
        <v>155</v>
      </c>
      <c r="H241" t="s">
        <v>11</v>
      </c>
      <c r="I241" t="s">
        <v>12</v>
      </c>
      <c r="J241" t="s">
        <v>156</v>
      </c>
      <c r="K241" s="42">
        <v>32.4</v>
      </c>
      <c r="L241" s="42"/>
      <c r="M241" s="42"/>
    </row>
    <row r="242" spans="2:13">
      <c r="B242" t="s">
        <v>2200</v>
      </c>
      <c r="C242" t="s">
        <v>2151</v>
      </c>
      <c r="D242" s="13">
        <v>150</v>
      </c>
      <c r="E242" s="13">
        <v>141.75</v>
      </c>
      <c r="F242" s="13">
        <f t="shared" si="13"/>
        <v>8.25</v>
      </c>
      <c r="G242" t="s">
        <v>155</v>
      </c>
      <c r="H242" t="s">
        <v>11</v>
      </c>
      <c r="I242" t="s">
        <v>19</v>
      </c>
      <c r="J242" t="s">
        <v>156</v>
      </c>
      <c r="K242" s="42">
        <v>4.05</v>
      </c>
      <c r="L242" s="42"/>
      <c r="M242" s="42"/>
    </row>
    <row r="243" spans="2:13">
      <c r="B243" t="s">
        <v>2201</v>
      </c>
      <c r="C243" t="s">
        <v>2152</v>
      </c>
      <c r="D243" s="13">
        <v>1200</v>
      </c>
      <c r="E243" s="13">
        <v>1134</v>
      </c>
      <c r="F243" s="13">
        <f t="shared" si="13"/>
        <v>66</v>
      </c>
      <c r="G243" t="s">
        <v>155</v>
      </c>
      <c r="H243" t="s">
        <v>11</v>
      </c>
      <c r="I243" t="s">
        <v>12</v>
      </c>
      <c r="J243" t="s">
        <v>156</v>
      </c>
      <c r="K243" s="42">
        <v>32.4</v>
      </c>
      <c r="L243" s="42"/>
      <c r="M243" s="42"/>
    </row>
    <row r="244" spans="2:13">
      <c r="B244" t="s">
        <v>2202</v>
      </c>
      <c r="C244" t="s">
        <v>2153</v>
      </c>
      <c r="D244" s="13">
        <v>150</v>
      </c>
      <c r="E244" s="13">
        <v>141.75</v>
      </c>
      <c r="F244" s="13">
        <f t="shared" si="13"/>
        <v>8.25</v>
      </c>
      <c r="G244" t="s">
        <v>155</v>
      </c>
      <c r="H244" t="s">
        <v>11</v>
      </c>
      <c r="I244" t="s">
        <v>19</v>
      </c>
      <c r="J244" t="s">
        <v>156</v>
      </c>
      <c r="K244" s="42">
        <v>4.05</v>
      </c>
      <c r="L244" s="42"/>
      <c r="M244" s="42"/>
    </row>
    <row r="245" spans="2:13">
      <c r="B245" t="s">
        <v>2203</v>
      </c>
      <c r="C245" t="s">
        <v>2154</v>
      </c>
      <c r="D245" s="13">
        <v>1200</v>
      </c>
      <c r="E245" s="13">
        <v>1134</v>
      </c>
      <c r="F245" s="13">
        <f t="shared" si="13"/>
        <v>66</v>
      </c>
      <c r="G245" t="s">
        <v>155</v>
      </c>
      <c r="H245" t="s">
        <v>11</v>
      </c>
      <c r="I245" t="s">
        <v>12</v>
      </c>
      <c r="J245" t="s">
        <v>156</v>
      </c>
      <c r="K245" s="42">
        <v>32.4</v>
      </c>
      <c r="L245" s="42"/>
      <c r="M245" s="42"/>
    </row>
    <row r="246" spans="2:13">
      <c r="B246" t="s">
        <v>2204</v>
      </c>
      <c r="C246" t="s">
        <v>2155</v>
      </c>
      <c r="D246" s="13">
        <v>150</v>
      </c>
      <c r="E246" s="13">
        <v>141.75</v>
      </c>
      <c r="F246" s="13">
        <f t="shared" si="13"/>
        <v>8.25</v>
      </c>
      <c r="G246" t="s">
        <v>155</v>
      </c>
      <c r="H246" t="s">
        <v>11</v>
      </c>
      <c r="I246" t="s">
        <v>19</v>
      </c>
      <c r="J246" t="s">
        <v>156</v>
      </c>
      <c r="K246" s="42">
        <v>4.05</v>
      </c>
      <c r="L246" s="42"/>
      <c r="M246" s="42"/>
    </row>
    <row r="247" spans="2:13">
      <c r="B247" t="s">
        <v>2205</v>
      </c>
      <c r="C247" t="s">
        <v>2156</v>
      </c>
      <c r="D247" s="13">
        <v>1200</v>
      </c>
      <c r="E247" s="13">
        <v>1134</v>
      </c>
      <c r="F247" s="13">
        <f t="shared" si="13"/>
        <v>66</v>
      </c>
      <c r="G247" t="s">
        <v>155</v>
      </c>
      <c r="H247" t="s">
        <v>11</v>
      </c>
      <c r="I247" t="s">
        <v>12</v>
      </c>
      <c r="J247" t="s">
        <v>156</v>
      </c>
      <c r="K247" s="42">
        <v>32.4</v>
      </c>
      <c r="L247" s="42"/>
      <c r="M247" s="42"/>
    </row>
    <row r="248" spans="2:13">
      <c r="B248" t="s">
        <v>2206</v>
      </c>
      <c r="C248" t="s">
        <v>2157</v>
      </c>
      <c r="D248" s="13">
        <v>150</v>
      </c>
      <c r="E248" s="13">
        <v>141.75</v>
      </c>
      <c r="F248" s="13">
        <f t="shared" si="13"/>
        <v>8.25</v>
      </c>
      <c r="G248" t="s">
        <v>155</v>
      </c>
      <c r="H248" t="s">
        <v>11</v>
      </c>
      <c r="I248" t="s">
        <v>19</v>
      </c>
      <c r="J248" t="s">
        <v>156</v>
      </c>
      <c r="K248" s="42">
        <v>4.05</v>
      </c>
      <c r="L248" s="42"/>
      <c r="M248" s="42"/>
    </row>
    <row r="249" spans="2:13">
      <c r="B249" t="s">
        <v>2207</v>
      </c>
      <c r="C249" t="s">
        <v>2158</v>
      </c>
      <c r="D249" s="13">
        <v>1200</v>
      </c>
      <c r="E249" s="13">
        <v>1134</v>
      </c>
      <c r="F249" s="13">
        <f t="shared" si="13"/>
        <v>66</v>
      </c>
      <c r="G249" t="s">
        <v>155</v>
      </c>
      <c r="H249" t="s">
        <v>11</v>
      </c>
      <c r="I249" t="s">
        <v>12</v>
      </c>
      <c r="J249" t="s">
        <v>156</v>
      </c>
      <c r="K249" s="42">
        <v>32.4</v>
      </c>
      <c r="L249" s="42"/>
      <c r="M249" s="42"/>
    </row>
    <row r="250" spans="2:13">
      <c r="B250" t="s">
        <v>2208</v>
      </c>
      <c r="C250" t="s">
        <v>2159</v>
      </c>
      <c r="D250" s="13">
        <v>150</v>
      </c>
      <c r="E250" s="13">
        <v>141.75</v>
      </c>
      <c r="F250" s="13">
        <f t="shared" si="13"/>
        <v>8.25</v>
      </c>
      <c r="G250" t="s">
        <v>155</v>
      </c>
      <c r="H250" t="s">
        <v>11</v>
      </c>
      <c r="I250" t="s">
        <v>19</v>
      </c>
      <c r="J250" t="s">
        <v>156</v>
      </c>
      <c r="K250" s="42">
        <v>4.05</v>
      </c>
      <c r="L250" s="42"/>
      <c r="M250" s="42"/>
    </row>
    <row r="251" spans="2:13">
      <c r="B251" t="s">
        <v>2209</v>
      </c>
      <c r="C251" t="s">
        <v>2160</v>
      </c>
      <c r="D251" s="13">
        <v>4350</v>
      </c>
      <c r="E251" s="13">
        <v>4110.75</v>
      </c>
      <c r="F251" s="13">
        <f t="shared" si="13"/>
        <v>239.25</v>
      </c>
      <c r="G251" t="s">
        <v>155</v>
      </c>
      <c r="H251" t="s">
        <v>11</v>
      </c>
      <c r="I251" t="s">
        <v>12</v>
      </c>
      <c r="J251" t="s">
        <v>156</v>
      </c>
      <c r="K251" s="42">
        <v>117.44999999999999</v>
      </c>
      <c r="L251" s="42"/>
      <c r="M251" s="42"/>
    </row>
    <row r="252" spans="2:13">
      <c r="B252" t="s">
        <v>2210</v>
      </c>
      <c r="C252" t="s">
        <v>2161</v>
      </c>
      <c r="D252" s="13">
        <v>150</v>
      </c>
      <c r="E252" s="13">
        <v>141.75</v>
      </c>
      <c r="F252" s="13">
        <f t="shared" si="13"/>
        <v>8.25</v>
      </c>
      <c r="G252" t="s">
        <v>155</v>
      </c>
      <c r="H252" t="s">
        <v>11</v>
      </c>
      <c r="I252" t="s">
        <v>19</v>
      </c>
      <c r="J252" t="s">
        <v>156</v>
      </c>
      <c r="K252" s="42">
        <v>4.05</v>
      </c>
      <c r="L252" s="42"/>
      <c r="M252" s="42"/>
    </row>
    <row r="253" spans="2:13">
      <c r="B253" t="s">
        <v>2211</v>
      </c>
      <c r="C253" t="s">
        <v>2162</v>
      </c>
      <c r="D253" s="13">
        <v>4350</v>
      </c>
      <c r="E253" s="13">
        <v>4110.75</v>
      </c>
      <c r="F253" s="13">
        <f t="shared" si="13"/>
        <v>239.25</v>
      </c>
      <c r="G253" t="s">
        <v>155</v>
      </c>
      <c r="H253" t="s">
        <v>11</v>
      </c>
      <c r="I253" t="s">
        <v>12</v>
      </c>
      <c r="J253" t="s">
        <v>156</v>
      </c>
      <c r="K253" s="42">
        <v>117.44999999999999</v>
      </c>
      <c r="L253" s="42"/>
      <c r="M253" s="42"/>
    </row>
    <row r="254" spans="2:13">
      <c r="B254" t="s">
        <v>2212</v>
      </c>
      <c r="C254" t="s">
        <v>2163</v>
      </c>
      <c r="D254" s="13">
        <v>150</v>
      </c>
      <c r="E254" s="13">
        <v>141.75</v>
      </c>
      <c r="F254" s="13">
        <f t="shared" si="13"/>
        <v>8.25</v>
      </c>
      <c r="G254" t="s">
        <v>155</v>
      </c>
      <c r="H254" t="s">
        <v>11</v>
      </c>
      <c r="I254" t="s">
        <v>19</v>
      </c>
      <c r="J254" t="s">
        <v>156</v>
      </c>
      <c r="K254" s="42">
        <v>4.05</v>
      </c>
      <c r="L254" s="42"/>
      <c r="M254" s="42"/>
    </row>
    <row r="255" spans="2:13">
      <c r="B255" t="s">
        <v>2213</v>
      </c>
      <c r="C255" t="s">
        <v>2164</v>
      </c>
      <c r="D255" s="13">
        <v>4350</v>
      </c>
      <c r="E255" s="13">
        <v>4110.75</v>
      </c>
      <c r="F255" s="13">
        <f t="shared" si="13"/>
        <v>239.25</v>
      </c>
      <c r="G255" t="s">
        <v>155</v>
      </c>
      <c r="H255" t="s">
        <v>11</v>
      </c>
      <c r="I255" t="s">
        <v>12</v>
      </c>
      <c r="J255" t="s">
        <v>156</v>
      </c>
      <c r="K255" s="42">
        <v>117.44999999999999</v>
      </c>
      <c r="L255" s="42"/>
      <c r="M255" s="42"/>
    </row>
    <row r="256" spans="2:13">
      <c r="B256" t="s">
        <v>2214</v>
      </c>
      <c r="C256" t="s">
        <v>2165</v>
      </c>
      <c r="D256" s="13">
        <v>150</v>
      </c>
      <c r="E256" s="13">
        <v>141.75</v>
      </c>
      <c r="F256" s="13">
        <f t="shared" si="13"/>
        <v>8.25</v>
      </c>
      <c r="G256" t="s">
        <v>155</v>
      </c>
      <c r="H256" t="s">
        <v>11</v>
      </c>
      <c r="I256" t="s">
        <v>19</v>
      </c>
      <c r="J256" t="s">
        <v>156</v>
      </c>
      <c r="K256" s="42">
        <v>4.05</v>
      </c>
      <c r="L256" s="42"/>
      <c r="M256" s="42"/>
    </row>
    <row r="257" spans="2:13">
      <c r="B257" t="s">
        <v>2215</v>
      </c>
      <c r="C257" t="s">
        <v>2166</v>
      </c>
      <c r="D257" s="13">
        <v>4350</v>
      </c>
      <c r="E257" s="13">
        <v>4110.75</v>
      </c>
      <c r="F257" s="13">
        <f t="shared" si="13"/>
        <v>239.25</v>
      </c>
      <c r="G257" t="s">
        <v>155</v>
      </c>
      <c r="H257" t="s">
        <v>11</v>
      </c>
      <c r="I257" t="s">
        <v>12</v>
      </c>
      <c r="J257" t="s">
        <v>156</v>
      </c>
      <c r="K257" s="42">
        <v>117.44999999999999</v>
      </c>
      <c r="L257" s="42"/>
      <c r="M257" s="42"/>
    </row>
    <row r="258" spans="2:13">
      <c r="B258" t="s">
        <v>2216</v>
      </c>
      <c r="C258" t="s">
        <v>2167</v>
      </c>
      <c r="D258" s="13">
        <v>150</v>
      </c>
      <c r="E258" s="13">
        <v>141.75</v>
      </c>
      <c r="F258" s="13">
        <f t="shared" si="13"/>
        <v>8.25</v>
      </c>
      <c r="G258" t="s">
        <v>155</v>
      </c>
      <c r="H258" t="s">
        <v>11</v>
      </c>
      <c r="I258" t="s">
        <v>19</v>
      </c>
      <c r="J258" t="s">
        <v>156</v>
      </c>
      <c r="K258" s="42">
        <v>4.05</v>
      </c>
      <c r="L258" s="42"/>
      <c r="M258" s="42"/>
    </row>
    <row r="259" spans="2:13">
      <c r="B259" t="s">
        <v>2217</v>
      </c>
      <c r="C259" t="s">
        <v>2168</v>
      </c>
      <c r="D259" s="13">
        <v>4350</v>
      </c>
      <c r="E259" s="13">
        <v>4110.75</v>
      </c>
      <c r="F259" s="13">
        <f t="shared" si="13"/>
        <v>239.25</v>
      </c>
      <c r="G259" t="s">
        <v>155</v>
      </c>
      <c r="H259" t="s">
        <v>11</v>
      </c>
      <c r="I259" t="s">
        <v>12</v>
      </c>
      <c r="J259" t="s">
        <v>156</v>
      </c>
      <c r="K259" s="42">
        <v>117.44999999999999</v>
      </c>
      <c r="L259" s="42"/>
      <c r="M259" s="42"/>
    </row>
    <row r="260" spans="2:13">
      <c r="B260" t="s">
        <v>2218</v>
      </c>
      <c r="C260" t="s">
        <v>2169</v>
      </c>
      <c r="D260" s="13">
        <v>150</v>
      </c>
      <c r="E260" s="13">
        <v>141.75</v>
      </c>
      <c r="F260" s="13">
        <f t="shared" si="13"/>
        <v>8.25</v>
      </c>
      <c r="G260" t="s">
        <v>155</v>
      </c>
      <c r="H260" t="s">
        <v>11</v>
      </c>
      <c r="I260" t="s">
        <v>19</v>
      </c>
      <c r="J260" t="s">
        <v>156</v>
      </c>
      <c r="K260" s="42">
        <v>4.05</v>
      </c>
      <c r="L260" s="42"/>
      <c r="M260" s="42"/>
    </row>
    <row r="261" spans="2:13">
      <c r="B261" t="s">
        <v>2219</v>
      </c>
      <c r="C261" t="s">
        <v>2170</v>
      </c>
      <c r="D261" s="13">
        <v>4350</v>
      </c>
      <c r="E261" s="13">
        <v>4110.75</v>
      </c>
      <c r="F261" s="13">
        <f t="shared" si="13"/>
        <v>239.25</v>
      </c>
      <c r="G261" t="s">
        <v>155</v>
      </c>
      <c r="H261" t="s">
        <v>11</v>
      </c>
      <c r="I261" t="s">
        <v>12</v>
      </c>
      <c r="J261" t="s">
        <v>156</v>
      </c>
      <c r="K261" s="42">
        <v>117.44999999999999</v>
      </c>
      <c r="L261" s="42"/>
      <c r="M261" s="42"/>
    </row>
    <row r="262" spans="2:13">
      <c r="B262" t="s">
        <v>2220</v>
      </c>
      <c r="C262" t="s">
        <v>2171</v>
      </c>
      <c r="D262" s="13">
        <v>150</v>
      </c>
      <c r="E262" s="13">
        <v>141.75</v>
      </c>
      <c r="F262" s="13">
        <f t="shared" si="13"/>
        <v>8.25</v>
      </c>
      <c r="G262" t="s">
        <v>155</v>
      </c>
      <c r="H262" t="s">
        <v>11</v>
      </c>
      <c r="I262" t="s">
        <v>19</v>
      </c>
      <c r="J262" t="s">
        <v>156</v>
      </c>
      <c r="K262" s="42">
        <v>4.05</v>
      </c>
      <c r="L262" s="42"/>
      <c r="M262" s="42"/>
    </row>
    <row r="263" spans="2:13">
      <c r="B263" t="s">
        <v>2221</v>
      </c>
      <c r="C263" t="s">
        <v>2172</v>
      </c>
      <c r="D263" s="13">
        <v>9300</v>
      </c>
      <c r="E263" s="13">
        <v>8788.5</v>
      </c>
      <c r="F263" s="13">
        <f t="shared" si="13"/>
        <v>511.5</v>
      </c>
      <c r="G263" t="s">
        <v>155</v>
      </c>
      <c r="H263" t="s">
        <v>11</v>
      </c>
      <c r="I263" t="s">
        <v>12</v>
      </c>
      <c r="J263" t="s">
        <v>156</v>
      </c>
      <c r="K263" s="42">
        <v>251.1</v>
      </c>
      <c r="L263" s="42"/>
      <c r="M263" s="42"/>
    </row>
    <row r="264" spans="2:13">
      <c r="B264" t="s">
        <v>2222</v>
      </c>
      <c r="C264" t="s">
        <v>2173</v>
      </c>
      <c r="D264" s="13">
        <v>150</v>
      </c>
      <c r="E264" s="13">
        <v>141.75</v>
      </c>
      <c r="F264" s="13">
        <f t="shared" si="13"/>
        <v>8.25</v>
      </c>
      <c r="G264" t="s">
        <v>155</v>
      </c>
      <c r="H264" t="s">
        <v>11</v>
      </c>
      <c r="I264" t="s">
        <v>19</v>
      </c>
      <c r="J264" t="s">
        <v>156</v>
      </c>
      <c r="K264" s="42">
        <v>4.05</v>
      </c>
      <c r="L264" s="42"/>
      <c r="M264" s="42"/>
    </row>
    <row r="265" spans="2:13">
      <c r="B265" t="s">
        <v>2223</v>
      </c>
      <c r="C265" t="s">
        <v>2174</v>
      </c>
      <c r="D265" s="13">
        <v>9300</v>
      </c>
      <c r="E265" s="13">
        <v>8788.5</v>
      </c>
      <c r="F265" s="13">
        <f t="shared" si="13"/>
        <v>511.5</v>
      </c>
      <c r="G265" t="s">
        <v>155</v>
      </c>
      <c r="H265" t="s">
        <v>11</v>
      </c>
      <c r="I265" t="s">
        <v>12</v>
      </c>
      <c r="J265" t="s">
        <v>156</v>
      </c>
      <c r="K265" s="42">
        <v>251.1</v>
      </c>
      <c r="L265" s="42"/>
      <c r="M265" s="42"/>
    </row>
    <row r="266" spans="2:13">
      <c r="B266" t="s">
        <v>2224</v>
      </c>
      <c r="C266" t="s">
        <v>2175</v>
      </c>
      <c r="D266" s="13">
        <v>150</v>
      </c>
      <c r="E266" s="13">
        <v>141.75</v>
      </c>
      <c r="F266" s="13">
        <f t="shared" si="13"/>
        <v>8.25</v>
      </c>
      <c r="G266" t="s">
        <v>155</v>
      </c>
      <c r="H266" t="s">
        <v>11</v>
      </c>
      <c r="I266" t="s">
        <v>19</v>
      </c>
      <c r="J266" t="s">
        <v>156</v>
      </c>
      <c r="K266" s="42">
        <v>4.05</v>
      </c>
      <c r="L266" s="42"/>
      <c r="M266" s="42"/>
    </row>
    <row r="267" spans="2:13">
      <c r="B267" t="s">
        <v>2225</v>
      </c>
      <c r="C267" t="s">
        <v>2176</v>
      </c>
      <c r="D267" s="13">
        <v>9300</v>
      </c>
      <c r="E267" s="13">
        <v>8788.5</v>
      </c>
      <c r="F267" s="13">
        <f t="shared" si="13"/>
        <v>511.5</v>
      </c>
      <c r="G267" t="s">
        <v>155</v>
      </c>
      <c r="H267" t="s">
        <v>11</v>
      </c>
      <c r="I267" t="s">
        <v>12</v>
      </c>
      <c r="J267" t="s">
        <v>156</v>
      </c>
      <c r="K267" s="42">
        <v>251.1</v>
      </c>
      <c r="L267" s="42"/>
      <c r="M267" s="42"/>
    </row>
    <row r="268" spans="2:13">
      <c r="B268" t="s">
        <v>2226</v>
      </c>
      <c r="C268" t="s">
        <v>2177</v>
      </c>
      <c r="D268" s="13">
        <v>150</v>
      </c>
      <c r="E268" s="13">
        <v>141.75</v>
      </c>
      <c r="F268" s="13">
        <f t="shared" si="13"/>
        <v>8.25</v>
      </c>
      <c r="G268" t="s">
        <v>155</v>
      </c>
      <c r="H268" t="s">
        <v>11</v>
      </c>
      <c r="I268" t="s">
        <v>19</v>
      </c>
      <c r="J268" t="s">
        <v>156</v>
      </c>
      <c r="K268" s="42">
        <v>4.05</v>
      </c>
      <c r="L268" s="42"/>
      <c r="M268" s="42"/>
    </row>
    <row r="269" spans="2:13">
      <c r="B269" t="s">
        <v>2227</v>
      </c>
      <c r="C269" t="s">
        <v>2178</v>
      </c>
      <c r="D269" s="13">
        <v>9300</v>
      </c>
      <c r="E269" s="13">
        <v>8788.5</v>
      </c>
      <c r="F269" s="13">
        <f t="shared" si="13"/>
        <v>511.5</v>
      </c>
      <c r="G269" t="s">
        <v>155</v>
      </c>
      <c r="H269" t="s">
        <v>11</v>
      </c>
      <c r="I269" t="s">
        <v>12</v>
      </c>
      <c r="J269" t="s">
        <v>156</v>
      </c>
      <c r="K269" s="42">
        <v>251.1</v>
      </c>
      <c r="L269" s="42"/>
      <c r="M269" s="42"/>
    </row>
    <row r="270" spans="2:13">
      <c r="B270" t="s">
        <v>2228</v>
      </c>
      <c r="C270" t="s">
        <v>2179</v>
      </c>
      <c r="D270" s="13">
        <v>150</v>
      </c>
      <c r="E270" s="13">
        <v>141.75</v>
      </c>
      <c r="F270" s="13">
        <f t="shared" si="13"/>
        <v>8.25</v>
      </c>
      <c r="G270" t="s">
        <v>155</v>
      </c>
      <c r="H270" t="s">
        <v>11</v>
      </c>
      <c r="I270" t="s">
        <v>19</v>
      </c>
      <c r="J270" t="s">
        <v>156</v>
      </c>
      <c r="K270" s="42">
        <v>4.05</v>
      </c>
      <c r="L270" s="42"/>
      <c r="M270" s="42"/>
    </row>
    <row r="271" spans="2:13">
      <c r="B271" t="s">
        <v>2229</v>
      </c>
      <c r="C271" t="s">
        <v>2180</v>
      </c>
      <c r="D271" s="13">
        <v>9300</v>
      </c>
      <c r="E271" s="13">
        <v>8788.5</v>
      </c>
      <c r="F271" s="13">
        <f t="shared" si="13"/>
        <v>511.5</v>
      </c>
      <c r="G271" t="s">
        <v>155</v>
      </c>
      <c r="H271" t="s">
        <v>11</v>
      </c>
      <c r="I271" t="s">
        <v>12</v>
      </c>
      <c r="J271" t="s">
        <v>156</v>
      </c>
      <c r="K271" s="42">
        <v>251.1</v>
      </c>
      <c r="L271" s="42"/>
      <c r="M271" s="42"/>
    </row>
    <row r="272" spans="2:13">
      <c r="B272" t="s">
        <v>2230</v>
      </c>
      <c r="C272" t="s">
        <v>2181</v>
      </c>
      <c r="D272" s="13">
        <v>150</v>
      </c>
      <c r="E272" s="13">
        <v>141.75</v>
      </c>
      <c r="F272" s="13">
        <f t="shared" si="13"/>
        <v>8.25</v>
      </c>
      <c r="G272" t="s">
        <v>155</v>
      </c>
      <c r="H272" t="s">
        <v>11</v>
      </c>
      <c r="I272" t="s">
        <v>19</v>
      </c>
      <c r="J272" t="s">
        <v>156</v>
      </c>
      <c r="K272" s="42">
        <v>4.05</v>
      </c>
      <c r="L272" s="42"/>
      <c r="M272" s="42"/>
    </row>
    <row r="273" spans="2:13">
      <c r="B273" t="s">
        <v>2231</v>
      </c>
      <c r="C273" t="s">
        <v>2182</v>
      </c>
      <c r="D273" s="13">
        <v>9300</v>
      </c>
      <c r="E273" s="13">
        <v>8788.5</v>
      </c>
      <c r="F273" s="13">
        <f t="shared" si="13"/>
        <v>511.5</v>
      </c>
      <c r="G273" t="s">
        <v>155</v>
      </c>
      <c r="H273" t="s">
        <v>11</v>
      </c>
      <c r="I273" t="s">
        <v>12</v>
      </c>
      <c r="J273" t="s">
        <v>156</v>
      </c>
      <c r="K273" s="42">
        <v>251.1</v>
      </c>
      <c r="L273" s="42"/>
      <c r="M273" s="42"/>
    </row>
    <row r="274" spans="2:13">
      <c r="B274" t="s">
        <v>2232</v>
      </c>
      <c r="C274" t="s">
        <v>2183</v>
      </c>
      <c r="D274" s="13">
        <v>150</v>
      </c>
      <c r="E274" s="13">
        <v>141.75</v>
      </c>
      <c r="F274" s="13">
        <f t="shared" si="13"/>
        <v>8.25</v>
      </c>
      <c r="G274" t="s">
        <v>155</v>
      </c>
      <c r="H274" t="s">
        <v>11</v>
      </c>
      <c r="I274" t="s">
        <v>19</v>
      </c>
      <c r="J274" t="s">
        <v>156</v>
      </c>
      <c r="K274" s="42">
        <v>4.05</v>
      </c>
      <c r="L274" s="42"/>
      <c r="M274" s="42"/>
    </row>
    <row r="275" spans="2:13">
      <c r="K275" s="42"/>
      <c r="L275" s="42"/>
      <c r="M275" s="42"/>
    </row>
    <row r="276" spans="2:13">
      <c r="C276" s="2" t="s">
        <v>2233</v>
      </c>
      <c r="K276" s="42"/>
      <c r="L276" s="42"/>
      <c r="M276" s="42"/>
    </row>
    <row r="277" spans="2:13">
      <c r="B277" t="s">
        <v>2237</v>
      </c>
      <c r="C277" t="s">
        <v>2236</v>
      </c>
      <c r="D277" s="13">
        <v>72</v>
      </c>
      <c r="E277" s="13">
        <v>68.039999999999992</v>
      </c>
      <c r="F277" s="13">
        <f>D277-E277</f>
        <v>3.960000000000008</v>
      </c>
      <c r="G277" t="s">
        <v>155</v>
      </c>
      <c r="H277" t="s">
        <v>11</v>
      </c>
      <c r="I277" t="s">
        <v>12</v>
      </c>
      <c r="J277" t="s">
        <v>156</v>
      </c>
      <c r="K277" s="42">
        <v>1.944</v>
      </c>
      <c r="L277" s="42"/>
      <c r="M277" s="42"/>
    </row>
    <row r="278" spans="2:13">
      <c r="B278" t="s">
        <v>2238</v>
      </c>
      <c r="C278" t="s">
        <v>2235</v>
      </c>
      <c r="D278" s="13">
        <v>15</v>
      </c>
      <c r="E278" s="13">
        <v>14.175000000000001</v>
      </c>
      <c r="F278" s="13">
        <f t="shared" ref="F278:F281" si="14">D278-E278</f>
        <v>0.82499999999999929</v>
      </c>
      <c r="G278" t="s">
        <v>155</v>
      </c>
      <c r="H278" t="s">
        <v>11</v>
      </c>
      <c r="I278" t="s">
        <v>12</v>
      </c>
      <c r="J278" t="s">
        <v>156</v>
      </c>
      <c r="K278" s="42">
        <v>0.40499999999999997</v>
      </c>
      <c r="L278" s="42"/>
      <c r="M278" s="42"/>
    </row>
    <row r="279" spans="2:13">
      <c r="B279" t="s">
        <v>2239</v>
      </c>
      <c r="C279" t="s">
        <v>2234</v>
      </c>
      <c r="D279" s="13">
        <v>15</v>
      </c>
      <c r="E279" s="13">
        <v>14.175000000000001</v>
      </c>
      <c r="F279" s="13">
        <f t="shared" si="14"/>
        <v>0.82499999999999929</v>
      </c>
      <c r="G279" t="s">
        <v>155</v>
      </c>
      <c r="H279" t="s">
        <v>11</v>
      </c>
      <c r="I279" t="s">
        <v>12</v>
      </c>
      <c r="J279" t="s">
        <v>156</v>
      </c>
      <c r="K279" s="42">
        <v>0.40499999999999997</v>
      </c>
      <c r="L279" s="42"/>
      <c r="M279" s="42"/>
    </row>
    <row r="280" spans="2:13">
      <c r="B280" t="s">
        <v>2307</v>
      </c>
      <c r="C280" t="s">
        <v>2305</v>
      </c>
      <c r="D280" s="13">
        <v>72</v>
      </c>
      <c r="E280" s="13">
        <v>68.040000000000006</v>
      </c>
      <c r="F280" s="13">
        <f t="shared" si="14"/>
        <v>3.9599999999999937</v>
      </c>
      <c r="G280" t="s">
        <v>155</v>
      </c>
      <c r="H280" t="s">
        <v>11</v>
      </c>
      <c r="I280" t="s">
        <v>12</v>
      </c>
      <c r="J280" t="s">
        <v>156</v>
      </c>
      <c r="K280" s="42">
        <v>1.944</v>
      </c>
      <c r="L280" s="42"/>
      <c r="M280" s="42"/>
    </row>
    <row r="281" spans="2:13">
      <c r="B281" t="s">
        <v>2308</v>
      </c>
      <c r="C281" t="s">
        <v>2306</v>
      </c>
      <c r="D281" s="13">
        <v>15</v>
      </c>
      <c r="E281" s="13">
        <v>14.18</v>
      </c>
      <c r="F281" s="13">
        <f t="shared" si="14"/>
        <v>0.82000000000000028</v>
      </c>
      <c r="G281" t="s">
        <v>155</v>
      </c>
      <c r="H281" t="s">
        <v>11</v>
      </c>
      <c r="I281" t="s">
        <v>12</v>
      </c>
      <c r="J281" t="s">
        <v>156</v>
      </c>
      <c r="K281" s="42">
        <v>0.40499999999999997</v>
      </c>
      <c r="L281" s="42"/>
      <c r="M281" s="42"/>
    </row>
    <row r="282" spans="2:13">
      <c r="K282" s="42"/>
      <c r="L282" s="42"/>
      <c r="M282" s="42"/>
    </row>
    <row r="283" spans="2:13">
      <c r="C283" s="23" t="s">
        <v>1103</v>
      </c>
      <c r="K283" s="42"/>
      <c r="L283" s="42"/>
      <c r="M283" s="42"/>
    </row>
    <row r="284" spans="2:13">
      <c r="B284" t="s">
        <v>2246</v>
      </c>
      <c r="C284" t="s">
        <v>2240</v>
      </c>
      <c r="D284" s="13">
        <v>500</v>
      </c>
      <c r="E284" s="13">
        <v>472.5</v>
      </c>
      <c r="F284" s="13">
        <f>D284-E284</f>
        <v>27.5</v>
      </c>
      <c r="G284" t="s">
        <v>155</v>
      </c>
      <c r="H284" t="s">
        <v>11</v>
      </c>
      <c r="I284" t="s">
        <v>12</v>
      </c>
      <c r="J284" t="s">
        <v>156</v>
      </c>
      <c r="K284" s="42">
        <v>13.5</v>
      </c>
      <c r="L284" s="42"/>
      <c r="M284" s="42"/>
    </row>
    <row r="285" spans="2:13">
      <c r="B285" t="s">
        <v>2247</v>
      </c>
      <c r="C285" t="s">
        <v>2241</v>
      </c>
      <c r="D285" s="13">
        <v>75</v>
      </c>
      <c r="E285" s="13">
        <v>70.875</v>
      </c>
      <c r="F285" s="13">
        <f t="shared" ref="F285:F292" si="15">D285-E285</f>
        <v>4.125</v>
      </c>
      <c r="G285" t="s">
        <v>155</v>
      </c>
      <c r="H285" t="s">
        <v>11</v>
      </c>
      <c r="I285" t="s">
        <v>19</v>
      </c>
      <c r="J285" t="s">
        <v>156</v>
      </c>
      <c r="K285" s="42">
        <v>2.0249999999999999</v>
      </c>
      <c r="L285" s="42"/>
      <c r="M285" s="42"/>
    </row>
    <row r="286" spans="2:13">
      <c r="B286" t="s">
        <v>2248</v>
      </c>
      <c r="C286" t="s">
        <v>2241</v>
      </c>
      <c r="D286" s="13">
        <v>75</v>
      </c>
      <c r="E286" s="13">
        <v>70.875</v>
      </c>
      <c r="F286" s="13">
        <f t="shared" si="15"/>
        <v>4.125</v>
      </c>
      <c r="G286" t="s">
        <v>155</v>
      </c>
      <c r="H286" t="s">
        <v>11</v>
      </c>
      <c r="I286" t="s">
        <v>19</v>
      </c>
      <c r="J286" t="s">
        <v>156</v>
      </c>
      <c r="K286" s="42">
        <v>2.0249999999999999</v>
      </c>
      <c r="L286" s="42"/>
      <c r="M286" s="42"/>
    </row>
    <row r="287" spans="2:13">
      <c r="B287" t="s">
        <v>2249</v>
      </c>
      <c r="C287" t="s">
        <v>2242</v>
      </c>
      <c r="D287" s="13">
        <v>500</v>
      </c>
      <c r="E287" s="13">
        <v>472.5</v>
      </c>
      <c r="F287" s="13">
        <f t="shared" si="15"/>
        <v>27.5</v>
      </c>
      <c r="G287" t="s">
        <v>155</v>
      </c>
      <c r="H287" t="s">
        <v>11</v>
      </c>
      <c r="I287" t="s">
        <v>12</v>
      </c>
      <c r="J287" t="s">
        <v>156</v>
      </c>
      <c r="K287" s="42">
        <v>13.5</v>
      </c>
      <c r="L287" s="42"/>
      <c r="M287" s="42"/>
    </row>
    <row r="288" spans="2:13">
      <c r="B288" t="s">
        <v>2250</v>
      </c>
      <c r="C288" t="s">
        <v>2243</v>
      </c>
      <c r="D288" s="13">
        <v>75</v>
      </c>
      <c r="E288" s="13">
        <v>70.875</v>
      </c>
      <c r="F288" s="13">
        <f t="shared" si="15"/>
        <v>4.125</v>
      </c>
      <c r="G288" t="s">
        <v>155</v>
      </c>
      <c r="H288" t="s">
        <v>11</v>
      </c>
      <c r="I288" t="s">
        <v>19</v>
      </c>
      <c r="J288" t="s">
        <v>156</v>
      </c>
      <c r="K288" s="42">
        <v>2.0249999999999999</v>
      </c>
      <c r="L288" s="42"/>
      <c r="M288" s="42"/>
    </row>
    <row r="289" spans="2:13">
      <c r="B289" t="s">
        <v>2251</v>
      </c>
      <c r="C289" t="s">
        <v>2243</v>
      </c>
      <c r="D289" s="13">
        <v>75</v>
      </c>
      <c r="E289" s="13">
        <v>70.875</v>
      </c>
      <c r="F289" s="13">
        <f t="shared" si="15"/>
        <v>4.125</v>
      </c>
      <c r="G289" t="s">
        <v>155</v>
      </c>
      <c r="H289" t="s">
        <v>11</v>
      </c>
      <c r="I289" t="s">
        <v>19</v>
      </c>
      <c r="J289" t="s">
        <v>156</v>
      </c>
      <c r="K289" s="42">
        <v>2.0249999999999999</v>
      </c>
      <c r="L289" s="42"/>
      <c r="M289" s="42"/>
    </row>
    <row r="290" spans="2:13">
      <c r="B290" t="s">
        <v>2252</v>
      </c>
      <c r="C290" t="s">
        <v>2244</v>
      </c>
      <c r="D290" s="13">
        <v>500</v>
      </c>
      <c r="E290" s="13">
        <v>472.5</v>
      </c>
      <c r="F290" s="13">
        <f t="shared" si="15"/>
        <v>27.5</v>
      </c>
      <c r="G290" t="s">
        <v>155</v>
      </c>
      <c r="H290" t="s">
        <v>11</v>
      </c>
      <c r="I290" t="s">
        <v>12</v>
      </c>
      <c r="J290" t="s">
        <v>156</v>
      </c>
      <c r="K290" s="42">
        <v>13.5</v>
      </c>
      <c r="L290" s="42"/>
      <c r="M290" s="42"/>
    </row>
    <row r="291" spans="2:13">
      <c r="B291" t="s">
        <v>2253</v>
      </c>
      <c r="C291" t="s">
        <v>2245</v>
      </c>
      <c r="D291" s="13">
        <v>75</v>
      </c>
      <c r="E291" s="13">
        <v>70.875</v>
      </c>
      <c r="F291" s="13">
        <f t="shared" si="15"/>
        <v>4.125</v>
      </c>
      <c r="G291" t="s">
        <v>155</v>
      </c>
      <c r="H291" t="s">
        <v>11</v>
      </c>
      <c r="I291" t="s">
        <v>19</v>
      </c>
      <c r="J291" t="s">
        <v>156</v>
      </c>
      <c r="K291" s="42">
        <v>2.0249999999999999</v>
      </c>
      <c r="L291" s="42"/>
      <c r="M291" s="42"/>
    </row>
    <row r="292" spans="2:13">
      <c r="B292" t="s">
        <v>2254</v>
      </c>
      <c r="C292" t="s">
        <v>2245</v>
      </c>
      <c r="D292" s="13">
        <v>75</v>
      </c>
      <c r="E292" s="13">
        <v>70.875</v>
      </c>
      <c r="F292" s="13">
        <f t="shared" si="15"/>
        <v>4.125</v>
      </c>
      <c r="G292" t="s">
        <v>155</v>
      </c>
      <c r="H292" t="s">
        <v>11</v>
      </c>
      <c r="I292" t="s">
        <v>19</v>
      </c>
      <c r="J292" t="s">
        <v>156</v>
      </c>
      <c r="K292" s="42">
        <v>2.0249999999999999</v>
      </c>
      <c r="L292" s="42"/>
      <c r="M292" s="42"/>
    </row>
    <row r="293" spans="2:13">
      <c r="K293" s="42"/>
      <c r="L293" s="42"/>
      <c r="M293" s="42"/>
    </row>
    <row r="294" spans="2:13">
      <c r="B294" t="s">
        <v>2256</v>
      </c>
      <c r="C294" t="s">
        <v>2255</v>
      </c>
      <c r="D294" s="13">
        <v>26</v>
      </c>
      <c r="E294" s="13">
        <v>21.84</v>
      </c>
      <c r="F294" s="13">
        <f>D294-E294</f>
        <v>4.16</v>
      </c>
      <c r="G294" t="s">
        <v>155</v>
      </c>
      <c r="H294" t="s">
        <v>11</v>
      </c>
      <c r="I294" t="s">
        <v>12</v>
      </c>
      <c r="J294" t="s">
        <v>156</v>
      </c>
      <c r="K294" s="42">
        <v>0.62</v>
      </c>
      <c r="L294" s="42"/>
      <c r="M294" s="42"/>
    </row>
    <row r="295" spans="2:13">
      <c r="K295" s="42"/>
      <c r="L295" s="42"/>
      <c r="M295" s="42"/>
    </row>
    <row r="296" spans="2:13">
      <c r="C296" s="23" t="s">
        <v>975</v>
      </c>
      <c r="K296" s="42"/>
      <c r="L296" s="42"/>
      <c r="M296" s="42"/>
    </row>
    <row r="297" spans="2:13">
      <c r="B297" t="s">
        <v>2267</v>
      </c>
      <c r="C297" t="s">
        <v>2257</v>
      </c>
      <c r="D297" s="13">
        <v>48</v>
      </c>
      <c r="E297" s="13">
        <v>45.36</v>
      </c>
      <c r="F297" s="13">
        <f>D297-E297</f>
        <v>2.6400000000000006</v>
      </c>
      <c r="G297" t="s">
        <v>155</v>
      </c>
      <c r="H297" t="s">
        <v>11</v>
      </c>
      <c r="I297" t="s">
        <v>12</v>
      </c>
      <c r="J297" t="s">
        <v>156</v>
      </c>
      <c r="K297" s="42">
        <v>1.296</v>
      </c>
      <c r="L297" s="42"/>
      <c r="M297" s="42"/>
    </row>
    <row r="298" spans="2:13">
      <c r="B298" t="s">
        <v>2268</v>
      </c>
      <c r="C298" t="s">
        <v>2258</v>
      </c>
      <c r="D298" s="13">
        <v>48</v>
      </c>
      <c r="E298" s="13">
        <v>45.36</v>
      </c>
      <c r="F298" s="13">
        <f t="shared" ref="F298:F306" si="16">D298-E298</f>
        <v>2.6400000000000006</v>
      </c>
      <c r="G298" t="s">
        <v>155</v>
      </c>
      <c r="H298" t="s">
        <v>11</v>
      </c>
      <c r="I298" t="s">
        <v>12</v>
      </c>
      <c r="J298" t="s">
        <v>156</v>
      </c>
      <c r="K298" s="42">
        <v>1.296</v>
      </c>
      <c r="L298" s="42"/>
      <c r="M298" s="42"/>
    </row>
    <row r="299" spans="2:13">
      <c r="B299" t="s">
        <v>2269</v>
      </c>
      <c r="C299" t="s">
        <v>2259</v>
      </c>
      <c r="D299" s="13">
        <v>12</v>
      </c>
      <c r="E299" s="13">
        <v>11.34</v>
      </c>
      <c r="F299" s="13">
        <f t="shared" si="16"/>
        <v>0.66000000000000014</v>
      </c>
      <c r="G299" t="s">
        <v>155</v>
      </c>
      <c r="H299" t="s">
        <v>11</v>
      </c>
      <c r="I299" t="s">
        <v>12</v>
      </c>
      <c r="J299" t="s">
        <v>156</v>
      </c>
      <c r="K299" s="42">
        <v>0.32400000000000001</v>
      </c>
      <c r="L299" s="42"/>
      <c r="M299" s="42"/>
    </row>
    <row r="300" spans="2:13">
      <c r="B300" t="s">
        <v>2270</v>
      </c>
      <c r="C300" t="s">
        <v>2260</v>
      </c>
      <c r="D300" s="13">
        <v>12</v>
      </c>
      <c r="E300" s="13">
        <v>11.34</v>
      </c>
      <c r="F300" s="13">
        <f t="shared" si="16"/>
        <v>0.66000000000000014</v>
      </c>
      <c r="G300" t="s">
        <v>155</v>
      </c>
      <c r="H300" t="s">
        <v>11</v>
      </c>
      <c r="I300" t="s">
        <v>12</v>
      </c>
      <c r="J300" t="s">
        <v>156</v>
      </c>
      <c r="K300" s="42">
        <v>0.32400000000000001</v>
      </c>
      <c r="L300" s="42"/>
      <c r="M300" s="42"/>
    </row>
    <row r="301" spans="2:13">
      <c r="B301" t="s">
        <v>2271</v>
      </c>
      <c r="C301" t="s">
        <v>2261</v>
      </c>
      <c r="D301" s="13">
        <v>560</v>
      </c>
      <c r="E301" s="13">
        <v>529.20000000000005</v>
      </c>
      <c r="F301" s="13">
        <f t="shared" si="16"/>
        <v>30.799999999999955</v>
      </c>
      <c r="G301" t="s">
        <v>155</v>
      </c>
      <c r="H301" t="s">
        <v>11</v>
      </c>
      <c r="I301" t="s">
        <v>19</v>
      </c>
      <c r="J301" t="s">
        <v>156</v>
      </c>
      <c r="K301" s="42">
        <v>15.12</v>
      </c>
      <c r="L301" s="42"/>
      <c r="M301" s="42"/>
    </row>
    <row r="302" spans="2:13">
      <c r="B302" t="s">
        <v>2272</v>
      </c>
      <c r="C302" t="s">
        <v>2262</v>
      </c>
      <c r="D302" s="13">
        <v>560</v>
      </c>
      <c r="E302" s="13">
        <v>529.20000000000005</v>
      </c>
      <c r="F302" s="13">
        <f t="shared" si="16"/>
        <v>30.799999999999955</v>
      </c>
      <c r="G302" t="s">
        <v>155</v>
      </c>
      <c r="H302" t="s">
        <v>11</v>
      </c>
      <c r="I302" t="s">
        <v>19</v>
      </c>
      <c r="J302" t="s">
        <v>156</v>
      </c>
      <c r="K302" s="42">
        <v>15.12</v>
      </c>
      <c r="L302" s="42"/>
      <c r="M302" s="42"/>
    </row>
    <row r="303" spans="2:13">
      <c r="B303" t="s">
        <v>2273</v>
      </c>
      <c r="C303" t="s">
        <v>2263</v>
      </c>
      <c r="D303" s="13">
        <v>1.6</v>
      </c>
      <c r="E303" s="13">
        <v>1.512</v>
      </c>
      <c r="F303" s="13">
        <f t="shared" si="16"/>
        <v>8.8000000000000078E-2</v>
      </c>
      <c r="G303" t="s">
        <v>155</v>
      </c>
      <c r="H303" t="s">
        <v>11</v>
      </c>
      <c r="I303" t="s">
        <v>12</v>
      </c>
      <c r="J303" t="s">
        <v>156</v>
      </c>
      <c r="K303" s="42">
        <v>4.3199999999999995E-2</v>
      </c>
      <c r="L303" s="42"/>
      <c r="M303" s="42"/>
    </row>
    <row r="304" spans="2:13">
      <c r="B304" t="s">
        <v>2274</v>
      </c>
      <c r="C304" t="s">
        <v>2264</v>
      </c>
      <c r="D304" s="13">
        <v>1.6</v>
      </c>
      <c r="E304" s="13">
        <v>1.512</v>
      </c>
      <c r="F304" s="13">
        <f t="shared" si="16"/>
        <v>8.8000000000000078E-2</v>
      </c>
      <c r="G304" t="s">
        <v>155</v>
      </c>
      <c r="H304" t="s">
        <v>11</v>
      </c>
      <c r="I304" t="s">
        <v>12</v>
      </c>
      <c r="J304" t="s">
        <v>156</v>
      </c>
      <c r="K304" s="42">
        <v>4.3199999999999995E-2</v>
      </c>
      <c r="L304" s="42"/>
      <c r="M304" s="42"/>
    </row>
    <row r="305" spans="2:13">
      <c r="B305" t="s">
        <v>2275</v>
      </c>
      <c r="C305" t="s">
        <v>2265</v>
      </c>
      <c r="D305" s="13">
        <v>120</v>
      </c>
      <c r="E305" s="13">
        <v>113.4</v>
      </c>
      <c r="F305" s="13">
        <f t="shared" si="16"/>
        <v>6.5999999999999943</v>
      </c>
      <c r="G305" t="s">
        <v>155</v>
      </c>
      <c r="H305" t="s">
        <v>11</v>
      </c>
      <c r="I305" t="s">
        <v>12</v>
      </c>
      <c r="J305" t="s">
        <v>156</v>
      </c>
      <c r="K305" s="42">
        <v>3.2399999999999998</v>
      </c>
      <c r="L305" s="42"/>
      <c r="M305" s="42"/>
    </row>
    <row r="306" spans="2:13">
      <c r="B306" t="s">
        <v>2276</v>
      </c>
      <c r="C306" t="s">
        <v>2266</v>
      </c>
      <c r="D306" s="13">
        <v>0</v>
      </c>
      <c r="E306" s="13">
        <v>0</v>
      </c>
      <c r="F306" s="13">
        <f t="shared" si="16"/>
        <v>0</v>
      </c>
      <c r="G306" t="s">
        <v>155</v>
      </c>
      <c r="H306" t="s">
        <v>11</v>
      </c>
      <c r="I306" t="s">
        <v>12</v>
      </c>
      <c r="J306" t="s">
        <v>156</v>
      </c>
      <c r="K306" s="42">
        <v>0</v>
      </c>
      <c r="L306" s="42"/>
      <c r="M306" s="42"/>
    </row>
    <row r="307" spans="2:13">
      <c r="K307" s="42"/>
      <c r="L307" s="42"/>
      <c r="M307" s="42"/>
    </row>
    <row r="308" spans="2:13">
      <c r="C308" s="23" t="s">
        <v>236</v>
      </c>
      <c r="K308" s="42"/>
      <c r="L308" s="42"/>
      <c r="M308" s="42"/>
    </row>
    <row r="309" spans="2:13">
      <c r="B309" t="s">
        <v>2287</v>
      </c>
      <c r="C309" t="s">
        <v>2277</v>
      </c>
      <c r="D309" s="13">
        <v>12.5</v>
      </c>
      <c r="E309" s="13">
        <v>11.865</v>
      </c>
      <c r="F309" s="13">
        <f>D309-E309</f>
        <v>0.63499999999999979</v>
      </c>
      <c r="G309" t="s">
        <v>155</v>
      </c>
      <c r="H309" t="s">
        <v>11</v>
      </c>
      <c r="I309" t="s">
        <v>12</v>
      </c>
      <c r="J309" t="s">
        <v>156</v>
      </c>
      <c r="K309" s="42">
        <v>0.33900000000000002</v>
      </c>
      <c r="L309" s="42"/>
      <c r="M309" s="42"/>
    </row>
    <row r="310" spans="2:13">
      <c r="B310" t="s">
        <v>2288</v>
      </c>
      <c r="C310" t="s">
        <v>2278</v>
      </c>
      <c r="D310" s="13">
        <v>18.8</v>
      </c>
      <c r="E310" s="13">
        <v>17.744999999999997</v>
      </c>
      <c r="F310" s="13">
        <f t="shared" ref="F310:F318" si="17">D310-E310</f>
        <v>1.0550000000000033</v>
      </c>
      <c r="G310" t="s">
        <v>155</v>
      </c>
      <c r="H310" t="s">
        <v>11</v>
      </c>
      <c r="I310" t="s">
        <v>12</v>
      </c>
      <c r="J310" t="s">
        <v>156</v>
      </c>
      <c r="K310" s="42">
        <v>0.5069999999999999</v>
      </c>
      <c r="L310" s="42"/>
      <c r="M310" s="42"/>
    </row>
    <row r="311" spans="2:13">
      <c r="B311" t="s">
        <v>2289</v>
      </c>
      <c r="C311" t="s">
        <v>2279</v>
      </c>
      <c r="D311" s="13">
        <v>675</v>
      </c>
      <c r="E311" s="13">
        <v>637.875</v>
      </c>
      <c r="F311" s="13">
        <f t="shared" si="17"/>
        <v>37.125</v>
      </c>
      <c r="G311" t="s">
        <v>155</v>
      </c>
      <c r="H311" t="s">
        <v>11</v>
      </c>
      <c r="I311" t="s">
        <v>19</v>
      </c>
      <c r="J311" t="s">
        <v>156</v>
      </c>
      <c r="K311" s="42">
        <v>18.224999999999998</v>
      </c>
      <c r="L311" s="42"/>
      <c r="M311" s="42"/>
    </row>
    <row r="312" spans="2:13">
      <c r="B312" t="s">
        <v>2290</v>
      </c>
      <c r="C312" t="s">
        <v>2280</v>
      </c>
      <c r="D312" s="13">
        <v>675</v>
      </c>
      <c r="E312" s="13">
        <v>637.875</v>
      </c>
      <c r="F312" s="13">
        <f t="shared" si="17"/>
        <v>37.125</v>
      </c>
      <c r="G312" t="s">
        <v>155</v>
      </c>
      <c r="H312" t="s">
        <v>11</v>
      </c>
      <c r="I312" t="s">
        <v>19</v>
      </c>
      <c r="J312" t="s">
        <v>156</v>
      </c>
      <c r="K312" s="42">
        <v>18.224999999999998</v>
      </c>
      <c r="L312" s="42"/>
      <c r="M312" s="42"/>
    </row>
    <row r="313" spans="2:13">
      <c r="B313" t="s">
        <v>2291</v>
      </c>
      <c r="C313" t="s">
        <v>2281</v>
      </c>
      <c r="D313" s="13">
        <v>2025</v>
      </c>
      <c r="E313" s="13">
        <v>1913.625</v>
      </c>
      <c r="F313" s="13">
        <f t="shared" si="17"/>
        <v>111.375</v>
      </c>
      <c r="G313" t="s">
        <v>155</v>
      </c>
      <c r="H313" t="s">
        <v>11</v>
      </c>
      <c r="I313" t="s">
        <v>19</v>
      </c>
      <c r="J313" t="s">
        <v>156</v>
      </c>
      <c r="K313" s="42">
        <v>54.674999999999997</v>
      </c>
      <c r="L313" s="42"/>
      <c r="M313" s="42"/>
    </row>
    <row r="314" spans="2:13">
      <c r="B314" t="s">
        <v>2292</v>
      </c>
      <c r="C314" t="s">
        <v>2282</v>
      </c>
      <c r="D314" s="13">
        <v>2025</v>
      </c>
      <c r="E314" s="13">
        <v>1913.625</v>
      </c>
      <c r="F314" s="13">
        <f t="shared" si="17"/>
        <v>111.375</v>
      </c>
      <c r="G314" t="s">
        <v>155</v>
      </c>
      <c r="H314" t="s">
        <v>11</v>
      </c>
      <c r="I314" t="s">
        <v>19</v>
      </c>
      <c r="J314" t="s">
        <v>156</v>
      </c>
      <c r="K314" s="42">
        <v>54.674999999999997</v>
      </c>
      <c r="L314" s="42"/>
      <c r="M314" s="42"/>
    </row>
    <row r="315" spans="2:13">
      <c r="B315" t="s">
        <v>2293</v>
      </c>
      <c r="C315" t="s">
        <v>2283</v>
      </c>
      <c r="D315" s="13">
        <v>3950</v>
      </c>
      <c r="E315" s="13">
        <v>3732.75</v>
      </c>
      <c r="F315" s="13">
        <f t="shared" si="17"/>
        <v>217.25</v>
      </c>
      <c r="G315" t="s">
        <v>155</v>
      </c>
      <c r="H315" t="s">
        <v>11</v>
      </c>
      <c r="I315" t="s">
        <v>19</v>
      </c>
      <c r="J315" t="s">
        <v>156</v>
      </c>
      <c r="K315" s="42">
        <v>106.64999999999999</v>
      </c>
      <c r="L315" s="42"/>
      <c r="M315" s="42"/>
    </row>
    <row r="316" spans="2:13">
      <c r="B316" t="s">
        <v>2294</v>
      </c>
      <c r="C316" t="s">
        <v>2284</v>
      </c>
      <c r="D316" s="13">
        <v>3950</v>
      </c>
      <c r="E316" s="13">
        <v>3732.75</v>
      </c>
      <c r="F316" s="13">
        <f t="shared" si="17"/>
        <v>217.25</v>
      </c>
      <c r="G316" t="s">
        <v>155</v>
      </c>
      <c r="H316" t="s">
        <v>11</v>
      </c>
      <c r="I316" t="s">
        <v>19</v>
      </c>
      <c r="J316" t="s">
        <v>156</v>
      </c>
      <c r="K316" s="42">
        <v>106.64999999999999</v>
      </c>
      <c r="L316" s="42"/>
      <c r="M316" s="42"/>
    </row>
    <row r="317" spans="2:13">
      <c r="B317" t="s">
        <v>2295</v>
      </c>
      <c r="C317" t="s">
        <v>2285</v>
      </c>
      <c r="D317" s="13">
        <v>6000</v>
      </c>
      <c r="E317" s="13">
        <v>5670</v>
      </c>
      <c r="F317" s="13">
        <f t="shared" si="17"/>
        <v>330</v>
      </c>
      <c r="G317" t="s">
        <v>155</v>
      </c>
      <c r="H317" t="s">
        <v>11</v>
      </c>
      <c r="I317" t="s">
        <v>19</v>
      </c>
      <c r="J317" t="s">
        <v>156</v>
      </c>
      <c r="K317" s="42">
        <v>162</v>
      </c>
      <c r="L317" s="42"/>
      <c r="M317" s="42"/>
    </row>
    <row r="318" spans="2:13">
      <c r="B318" t="s">
        <v>2296</v>
      </c>
      <c r="C318" t="s">
        <v>2286</v>
      </c>
      <c r="D318" s="13">
        <v>6000</v>
      </c>
      <c r="E318" s="13">
        <v>5670</v>
      </c>
      <c r="F318" s="13">
        <f t="shared" si="17"/>
        <v>330</v>
      </c>
      <c r="G318" t="s">
        <v>155</v>
      </c>
      <c r="H318" t="s">
        <v>11</v>
      </c>
      <c r="I318" t="s">
        <v>19</v>
      </c>
      <c r="J318" t="s">
        <v>156</v>
      </c>
      <c r="K318" s="42">
        <v>162</v>
      </c>
      <c r="L318" s="42"/>
      <c r="M318" s="42"/>
    </row>
    <row r="319" spans="2:13">
      <c r="K319" s="42"/>
      <c r="L319" s="42"/>
      <c r="M319" s="42"/>
    </row>
    <row r="320" spans="2:13">
      <c r="C320" s="23" t="s">
        <v>115</v>
      </c>
      <c r="K320" s="42"/>
      <c r="L320" s="42"/>
      <c r="M320" s="42"/>
    </row>
    <row r="321" spans="2:13">
      <c r="B321" t="s">
        <v>2301</v>
      </c>
      <c r="C321" t="s">
        <v>2297</v>
      </c>
      <c r="D321" s="13">
        <v>48</v>
      </c>
      <c r="E321" s="13">
        <v>45.36</v>
      </c>
      <c r="F321" s="13">
        <f>D321-E321</f>
        <v>2.6400000000000006</v>
      </c>
      <c r="G321" t="s">
        <v>155</v>
      </c>
      <c r="H321" t="s">
        <v>11</v>
      </c>
      <c r="I321" t="s">
        <v>12</v>
      </c>
      <c r="J321" t="s">
        <v>156</v>
      </c>
      <c r="K321" s="42">
        <v>1.296</v>
      </c>
      <c r="L321" s="42"/>
      <c r="M321" s="42"/>
    </row>
    <row r="322" spans="2:13">
      <c r="B322" t="s">
        <v>2302</v>
      </c>
      <c r="C322" t="s">
        <v>2298</v>
      </c>
      <c r="D322" s="13">
        <v>48</v>
      </c>
      <c r="E322" s="13">
        <v>45.36</v>
      </c>
      <c r="F322" s="13">
        <f t="shared" ref="F322:F324" si="18">D322-E322</f>
        <v>2.6400000000000006</v>
      </c>
      <c r="G322" t="s">
        <v>155</v>
      </c>
      <c r="H322" t="s">
        <v>11</v>
      </c>
      <c r="I322" t="s">
        <v>12</v>
      </c>
      <c r="J322" t="s">
        <v>156</v>
      </c>
      <c r="K322" s="42">
        <v>1.296</v>
      </c>
      <c r="L322" s="42"/>
      <c r="M322" s="42"/>
    </row>
    <row r="323" spans="2:13">
      <c r="B323" t="s">
        <v>2303</v>
      </c>
      <c r="C323" t="s">
        <v>2299</v>
      </c>
      <c r="D323" s="13">
        <v>15</v>
      </c>
      <c r="E323" s="13">
        <v>14.175000000000001</v>
      </c>
      <c r="F323" s="13">
        <f t="shared" si="18"/>
        <v>0.82499999999999929</v>
      </c>
      <c r="G323" t="s">
        <v>155</v>
      </c>
      <c r="H323" t="s">
        <v>11</v>
      </c>
      <c r="I323" t="s">
        <v>12</v>
      </c>
      <c r="J323" t="s">
        <v>156</v>
      </c>
      <c r="K323" s="42">
        <v>0.40499999999999997</v>
      </c>
      <c r="L323" s="42"/>
      <c r="M323" s="42"/>
    </row>
    <row r="324" spans="2:13">
      <c r="B324" t="s">
        <v>2304</v>
      </c>
      <c r="C324" t="s">
        <v>2300</v>
      </c>
      <c r="D324" s="13">
        <v>15</v>
      </c>
      <c r="E324" s="13">
        <v>14.175000000000001</v>
      </c>
      <c r="F324" s="13">
        <f t="shared" si="18"/>
        <v>0.82499999999999929</v>
      </c>
      <c r="G324" t="s">
        <v>155</v>
      </c>
      <c r="H324" t="s">
        <v>11</v>
      </c>
      <c r="I324" t="s">
        <v>12</v>
      </c>
      <c r="J324" t="s">
        <v>156</v>
      </c>
      <c r="K324" s="42">
        <v>0.40499999999999997</v>
      </c>
      <c r="L324" s="42"/>
      <c r="M324" s="42"/>
    </row>
    <row r="325" spans="2:13">
      <c r="K325" s="42"/>
      <c r="L325" s="42"/>
      <c r="M325" s="42"/>
    </row>
    <row r="326" spans="2:13">
      <c r="B326" t="s">
        <v>2315</v>
      </c>
      <c r="C326" t="s">
        <v>2314</v>
      </c>
      <c r="D326" s="13">
        <v>0</v>
      </c>
      <c r="E326" s="13">
        <v>0</v>
      </c>
      <c r="K326" s="42"/>
      <c r="L326" s="42"/>
      <c r="M326" s="42"/>
    </row>
    <row r="327" spans="2:13">
      <c r="B327" t="s">
        <v>2316</v>
      </c>
      <c r="C327" t="s">
        <v>2314</v>
      </c>
      <c r="D327" s="13">
        <v>1.6</v>
      </c>
      <c r="E327" s="13">
        <v>1.47</v>
      </c>
      <c r="F327" s="13">
        <f>D327-E327</f>
        <v>0.13000000000000012</v>
      </c>
      <c r="G327" t="s">
        <v>155</v>
      </c>
      <c r="H327" t="s">
        <v>11</v>
      </c>
      <c r="I327" t="s">
        <v>12</v>
      </c>
      <c r="J327" t="s">
        <v>156</v>
      </c>
      <c r="K327" s="42"/>
      <c r="L327" s="42"/>
      <c r="M327" s="42"/>
    </row>
    <row r="328" spans="2:13">
      <c r="B328" t="s">
        <v>2321</v>
      </c>
      <c r="C328" t="s">
        <v>2317</v>
      </c>
      <c r="D328" s="13">
        <v>120</v>
      </c>
      <c r="E328" s="13">
        <v>113.4</v>
      </c>
      <c r="F328" s="13">
        <f t="shared" ref="F328:F333" si="19">D328-E328</f>
        <v>6.5999999999999943</v>
      </c>
      <c r="G328" t="s">
        <v>155</v>
      </c>
      <c r="H328" t="s">
        <v>11</v>
      </c>
      <c r="I328" t="s">
        <v>12</v>
      </c>
      <c r="J328" t="s">
        <v>156</v>
      </c>
      <c r="K328" s="42"/>
      <c r="L328" s="42"/>
      <c r="M328" s="42"/>
    </row>
    <row r="329" spans="2:13">
      <c r="B329" t="s">
        <v>2322</v>
      </c>
      <c r="C329" t="s">
        <v>2318</v>
      </c>
      <c r="D329" s="13">
        <v>120</v>
      </c>
      <c r="E329" s="13">
        <v>113.4</v>
      </c>
      <c r="F329" s="13">
        <f t="shared" si="19"/>
        <v>6.5999999999999943</v>
      </c>
      <c r="G329" t="s">
        <v>155</v>
      </c>
      <c r="H329" t="s">
        <v>11</v>
      </c>
      <c r="I329" t="s">
        <v>12</v>
      </c>
      <c r="J329" t="s">
        <v>156</v>
      </c>
      <c r="K329" s="42"/>
      <c r="L329" s="42"/>
      <c r="M329" s="42"/>
    </row>
    <row r="330" spans="2:13">
      <c r="B330" t="s">
        <v>2323</v>
      </c>
      <c r="C330" t="s">
        <v>2319</v>
      </c>
      <c r="D330" s="13">
        <v>25</v>
      </c>
      <c r="E330" s="13">
        <v>23.63</v>
      </c>
      <c r="F330" s="13">
        <f t="shared" si="19"/>
        <v>1.370000000000001</v>
      </c>
      <c r="G330" t="s">
        <v>155</v>
      </c>
      <c r="H330" t="s">
        <v>11</v>
      </c>
      <c r="I330" t="s">
        <v>12</v>
      </c>
      <c r="J330" t="s">
        <v>156</v>
      </c>
      <c r="K330" s="42"/>
      <c r="L330" s="42"/>
      <c r="M330" s="42"/>
    </row>
    <row r="331" spans="2:13">
      <c r="B331" t="s">
        <v>2324</v>
      </c>
      <c r="C331" t="s">
        <v>2320</v>
      </c>
      <c r="D331" s="13">
        <v>10</v>
      </c>
      <c r="E331" s="13">
        <v>9.4499999999999993</v>
      </c>
      <c r="F331" s="13">
        <f t="shared" si="19"/>
        <v>0.55000000000000071</v>
      </c>
      <c r="G331" t="s">
        <v>155</v>
      </c>
      <c r="H331" t="s">
        <v>11</v>
      </c>
      <c r="I331" t="s">
        <v>12</v>
      </c>
      <c r="J331" t="s">
        <v>156</v>
      </c>
      <c r="K331" s="42"/>
      <c r="L331" s="42"/>
      <c r="M331" s="42"/>
    </row>
    <row r="332" spans="2:13">
      <c r="B332" t="s">
        <v>2401</v>
      </c>
      <c r="C332" t="s">
        <v>2399</v>
      </c>
      <c r="D332" s="13">
        <v>120</v>
      </c>
      <c r="E332" s="13">
        <v>113.4</v>
      </c>
      <c r="F332" s="13">
        <f t="shared" si="19"/>
        <v>6.5999999999999943</v>
      </c>
      <c r="G332" t="s">
        <v>155</v>
      </c>
      <c r="H332" t="s">
        <v>11</v>
      </c>
      <c r="I332" t="s">
        <v>12</v>
      </c>
      <c r="J332" t="s">
        <v>156</v>
      </c>
      <c r="K332" s="42"/>
      <c r="L332" s="42"/>
      <c r="M332" s="42"/>
    </row>
    <row r="333" spans="2:13">
      <c r="B333" t="s">
        <v>2402</v>
      </c>
      <c r="C333" t="s">
        <v>2400</v>
      </c>
      <c r="D333" s="13">
        <v>10</v>
      </c>
      <c r="E333" s="13">
        <v>9.4499999999999993</v>
      </c>
      <c r="F333" s="13">
        <f t="shared" si="19"/>
        <v>0.55000000000000071</v>
      </c>
      <c r="G333" t="s">
        <v>155</v>
      </c>
      <c r="H333" t="s">
        <v>11</v>
      </c>
      <c r="I333" t="s">
        <v>12</v>
      </c>
      <c r="J333" t="s">
        <v>156</v>
      </c>
      <c r="K333" s="42"/>
      <c r="L333" s="42"/>
      <c r="M333" s="42"/>
    </row>
  </sheetData>
  <sheetProtection algorithmName="SHA-512" hashValue="8zApnB3rL7HVjPcR0Iy5CZ3wekDqwaU+pv2NAfygJOmYycqbDJsaZSze4jDZCWSeH9ZkYfcLa5to1GNqgDV7Dw==" saltValue="d/JpDDmAqo6chqYDMctuoQ==" spinCount="100000" sheet="1" objects="1" scenarios="1"/>
  <phoneticPr fontId="32" type="noConversion"/>
  <conditionalFormatting sqref="B70:B72">
    <cfRule type="duplicateValues" dxfId="1" priority="64"/>
  </conditionalFormatting>
  <conditionalFormatting sqref="B137">
    <cfRule type="duplicateValues" dxfId="0" priority="44"/>
  </conditionalFormatting>
  <hyperlinks>
    <hyperlink ref="K1" location="'Incentives Guide'!A1" display="Global H2 Incentive" xr:uid="{AA0EC305-F898-48C4-B058-372DD0AB333E}"/>
    <hyperlink ref="A6" r:id="rId1" xr:uid="{29203697-3FC5-4A90-981F-49449F99BEA5}"/>
    <hyperlink ref="A8:A11" r:id="rId2" display="https://products.office.com/en-us/nonprofit/office-365-nonprofit-plans-and-pricing?tab=2" xr:uid="{9DCB7E0E-8DD4-46FB-A2C9-5AAA3A8B92F2}"/>
    <hyperlink ref="A15" r:id="rId3" xr:uid="{16F11029-A1AF-40A6-8FA3-B9939EEF4A0F}"/>
    <hyperlink ref="A157" r:id="rId4" xr:uid="{923B81D5-AD23-44E9-9646-B93AEF13F43F}"/>
    <hyperlink ref="A167" r:id="rId5" xr:uid="{4ADC8BD9-94B1-40B7-B6AB-633E45918F13}"/>
    <hyperlink ref="A182" r:id="rId6" xr:uid="{C7945A0C-0B4B-4370-9BB3-9DA5D7238DC8}"/>
    <hyperlink ref="A192" r:id="rId7" xr:uid="{9C6EBDD3-6093-4954-A8E2-9E21B6FC1830}"/>
    <hyperlink ref="A152" r:id="rId8" xr:uid="{D474D0FC-7F6D-4FF0-BD8C-897E80E38564}"/>
    <hyperlink ref="A123" r:id="rId9" xr:uid="{220CCF32-0F68-4AAB-8792-0EED9914AA82}"/>
    <hyperlink ref="A118" r:id="rId10" xr:uid="{7DDE6EE4-3A4C-48D9-B2CF-BEE71CB227EB}"/>
    <hyperlink ref="A114" r:id="rId11" xr:uid="{D6042504-4475-406C-B71B-40E3DCE32742}"/>
    <hyperlink ref="A108" r:id="rId12" xr:uid="{A7FE4E71-AE32-4EEA-AA64-9CBC7B3C3945}"/>
    <hyperlink ref="A84" r:id="rId13" xr:uid="{34E253B0-53CC-4238-93D2-DF1256DB0C44}"/>
    <hyperlink ref="A106" r:id="rId14" xr:uid="{C7A6FD90-3FBB-4B1A-AA60-13989D03FF0B}"/>
    <hyperlink ref="A102" r:id="rId15" xr:uid="{5D1C2B2D-B955-4417-8B88-895B9808B912}"/>
    <hyperlink ref="A103" r:id="rId16" location=":~:text=In%20this%20article&amp;text=When%20your%20organization%20purchased%20Microsoft,500%20GB%20storage%20add%2Dons." xr:uid="{ADA55E89-E6D9-4BF5-BFD0-2F1CF35247E7}"/>
    <hyperlink ref="A105" r:id="rId17" xr:uid="{54727C3F-19E8-47D9-A3EB-FB9D2CC817E5}"/>
    <hyperlink ref="A101" r:id="rId18" xr:uid="{257CA265-3A23-4B5E-AE86-CBBE4E6351DC}"/>
    <hyperlink ref="A80" r:id="rId19" xr:uid="{D2C79FE8-977C-4935-89F1-C5BFA5C32674}"/>
    <hyperlink ref="A74" r:id="rId20" xr:uid="{0A746EC4-1B0D-467E-97BD-A1A845FFF0CD}"/>
    <hyperlink ref="A55" r:id="rId21" xr:uid="{3C7CC601-CD63-4B1C-A702-B4269C5A9443}"/>
    <hyperlink ref="A50" r:id="rId22" xr:uid="{135BE431-025B-4941-BA86-DBB0F64B270E}"/>
  </hyperlinks>
  <pageMargins left="0.7" right="0.7" top="0.75" bottom="0.75" header="0.3" footer="0.3"/>
  <pageSetup paperSize="9" orientation="portrait" r:id="rId2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F1A86-F360-44DB-86A1-27AD8A3821D9}">
  <dimension ref="A1:H205"/>
  <sheetViews>
    <sheetView zoomScale="90" zoomScaleNormal="90" workbookViewId="0">
      <pane ySplit="1" topLeftCell="A29" activePane="bottomLeft" state="frozen"/>
      <selection activeCell="B1" sqref="B1"/>
      <selection pane="bottomLeft" activeCell="G139" sqref="G139"/>
    </sheetView>
  </sheetViews>
  <sheetFormatPr defaultRowHeight="15"/>
  <cols>
    <col min="1" max="1" width="18.140625" bestFit="1" customWidth="1"/>
    <col min="2" max="2" width="7.28515625" bestFit="1" customWidth="1"/>
    <col min="3" max="3" width="73.85546875" bestFit="1" customWidth="1"/>
    <col min="4" max="4" width="17.42578125" style="61" bestFit="1" customWidth="1"/>
    <col min="5" max="5" width="15.140625" style="13" bestFit="1" customWidth="1"/>
    <col min="6" max="7" width="12" style="13" bestFit="1" customWidth="1"/>
    <col min="8" max="8" width="11.5703125" style="13" bestFit="1" customWidth="1"/>
  </cols>
  <sheetData>
    <row r="1" spans="1:8">
      <c r="A1" s="59" t="s">
        <v>1356</v>
      </c>
      <c r="B1" s="59" t="s">
        <v>1357</v>
      </c>
      <c r="C1" s="57" t="s">
        <v>1358</v>
      </c>
      <c r="D1" s="57" t="s">
        <v>2354</v>
      </c>
      <c r="E1" s="58" t="s">
        <v>1389</v>
      </c>
      <c r="F1" s="58" t="s">
        <v>6</v>
      </c>
      <c r="G1" s="58" t="s">
        <v>1388</v>
      </c>
      <c r="H1" s="58" t="s">
        <v>8</v>
      </c>
    </row>
    <row r="2" spans="1:8">
      <c r="A2" t="s">
        <v>1876</v>
      </c>
      <c r="B2" t="s">
        <v>1359</v>
      </c>
      <c r="C2" t="s">
        <v>1857</v>
      </c>
      <c r="D2" s="61" t="s">
        <v>2100</v>
      </c>
      <c r="E2" s="13" t="s">
        <v>155</v>
      </c>
      <c r="F2" s="13">
        <v>39</v>
      </c>
      <c r="G2" s="13">
        <v>37.790999999999997</v>
      </c>
      <c r="H2" s="13">
        <f>F2-G2</f>
        <v>1.2090000000000032</v>
      </c>
    </row>
    <row r="3" spans="1:8">
      <c r="A3" t="s">
        <v>1876</v>
      </c>
      <c r="B3" t="s">
        <v>1359</v>
      </c>
      <c r="C3" t="s">
        <v>1857</v>
      </c>
      <c r="D3" s="61" t="s">
        <v>2100</v>
      </c>
      <c r="E3" s="13" t="s">
        <v>1828</v>
      </c>
      <c r="F3" s="13">
        <v>156</v>
      </c>
      <c r="G3" s="13">
        <v>151.16399999999999</v>
      </c>
      <c r="H3" s="13">
        <f t="shared" ref="H3:H74" si="0">F3-G3</f>
        <v>4.8360000000000127</v>
      </c>
    </row>
    <row r="4" spans="1:8">
      <c r="A4" t="s">
        <v>1876</v>
      </c>
      <c r="B4" t="s">
        <v>1359</v>
      </c>
      <c r="C4" t="s">
        <v>1857</v>
      </c>
      <c r="D4" s="61" t="s">
        <v>2100</v>
      </c>
      <c r="E4" s="13" t="s">
        <v>1829</v>
      </c>
      <c r="F4" s="13">
        <v>23</v>
      </c>
      <c r="G4" s="13">
        <v>22.287000000000003</v>
      </c>
      <c r="H4" s="13">
        <f t="shared" si="0"/>
        <v>0.71299999999999741</v>
      </c>
    </row>
    <row r="5" spans="1:8">
      <c r="A5" t="s">
        <v>1361</v>
      </c>
      <c r="B5" t="s">
        <v>1362</v>
      </c>
      <c r="C5" t="s">
        <v>1360</v>
      </c>
      <c r="D5" s="61" t="s">
        <v>2100</v>
      </c>
      <c r="E5" s="13" t="s">
        <v>155</v>
      </c>
      <c r="F5" s="13">
        <v>505</v>
      </c>
      <c r="G5" s="13">
        <v>459.29750000000001</v>
      </c>
      <c r="H5" s="13">
        <f t="shared" si="0"/>
        <v>45.702499999999986</v>
      </c>
    </row>
    <row r="6" spans="1:8">
      <c r="A6" t="s">
        <v>1361</v>
      </c>
      <c r="B6" t="s">
        <v>1362</v>
      </c>
      <c r="C6" t="s">
        <v>1360</v>
      </c>
      <c r="D6" s="61" t="s">
        <v>2100</v>
      </c>
      <c r="E6" s="13" t="s">
        <v>1828</v>
      </c>
      <c r="F6" s="13">
        <v>1264</v>
      </c>
      <c r="G6" s="13">
        <v>1149.6080000000002</v>
      </c>
      <c r="H6" s="13">
        <f t="shared" si="0"/>
        <v>114.39199999999983</v>
      </c>
    </row>
    <row r="7" spans="1:8">
      <c r="A7" t="s">
        <v>1361</v>
      </c>
      <c r="B7" t="s">
        <v>1362</v>
      </c>
      <c r="C7" t="s">
        <v>1360</v>
      </c>
      <c r="D7" s="61" t="s">
        <v>2100</v>
      </c>
      <c r="E7" s="13" t="s">
        <v>1829</v>
      </c>
      <c r="F7" s="13">
        <v>316</v>
      </c>
      <c r="G7" s="13">
        <v>287.40200000000004</v>
      </c>
      <c r="H7" s="13">
        <f t="shared" si="0"/>
        <v>28.597999999999956</v>
      </c>
    </row>
    <row r="8" spans="1:8">
      <c r="A8" t="s">
        <v>1364</v>
      </c>
      <c r="B8" t="s">
        <v>1365</v>
      </c>
      <c r="C8" t="s">
        <v>1363</v>
      </c>
      <c r="D8" s="61" t="s">
        <v>2100</v>
      </c>
      <c r="E8" s="13" t="s">
        <v>155</v>
      </c>
      <c r="F8" s="13">
        <v>8845</v>
      </c>
      <c r="G8" s="13">
        <v>8044.5275000000001</v>
      </c>
      <c r="H8" s="13">
        <f t="shared" si="0"/>
        <v>800.47249999999985</v>
      </c>
    </row>
    <row r="9" spans="1:8">
      <c r="A9" t="s">
        <v>1364</v>
      </c>
      <c r="B9" t="s">
        <v>1365</v>
      </c>
      <c r="C9" t="s">
        <v>1363</v>
      </c>
      <c r="D9" s="61" t="s">
        <v>2100</v>
      </c>
      <c r="E9" s="13" t="s">
        <v>1828</v>
      </c>
      <c r="F9" s="13">
        <v>22114</v>
      </c>
      <c r="G9" s="13">
        <v>20112.683000000001</v>
      </c>
      <c r="H9" s="13">
        <f t="shared" si="0"/>
        <v>2001.3169999999991</v>
      </c>
    </row>
    <row r="10" spans="1:8">
      <c r="A10" t="s">
        <v>1364</v>
      </c>
      <c r="B10" t="s">
        <v>1365</v>
      </c>
      <c r="C10" t="s">
        <v>1363</v>
      </c>
      <c r="D10" s="61" t="s">
        <v>2100</v>
      </c>
      <c r="E10" s="13" t="s">
        <v>1829</v>
      </c>
      <c r="F10" s="13">
        <v>5528</v>
      </c>
      <c r="G10" s="13">
        <v>5027.7160000000003</v>
      </c>
      <c r="H10" s="13">
        <f t="shared" si="0"/>
        <v>500.28399999999965</v>
      </c>
    </row>
    <row r="11" spans="1:8">
      <c r="A11" t="s">
        <v>1367</v>
      </c>
      <c r="B11" t="s">
        <v>1362</v>
      </c>
      <c r="C11" t="s">
        <v>1366</v>
      </c>
      <c r="D11" s="61" t="s">
        <v>2100</v>
      </c>
      <c r="E11" s="13" t="s">
        <v>155</v>
      </c>
      <c r="F11" s="13">
        <v>2028</v>
      </c>
      <c r="G11" s="13">
        <v>1844.4659999999999</v>
      </c>
      <c r="H11" s="13">
        <f t="shared" si="0"/>
        <v>183.53400000000011</v>
      </c>
    </row>
    <row r="12" spans="1:8">
      <c r="A12" t="s">
        <v>1367</v>
      </c>
      <c r="B12" t="s">
        <v>1362</v>
      </c>
      <c r="C12" t="s">
        <v>1366</v>
      </c>
      <c r="D12" s="61" t="s">
        <v>2100</v>
      </c>
      <c r="E12" s="13" t="s">
        <v>1828</v>
      </c>
      <c r="F12" s="13">
        <v>5070</v>
      </c>
      <c r="G12" s="13">
        <v>4611.165</v>
      </c>
      <c r="H12" s="13">
        <f t="shared" si="0"/>
        <v>458.83500000000004</v>
      </c>
    </row>
    <row r="13" spans="1:8">
      <c r="A13" t="s">
        <v>1367</v>
      </c>
      <c r="B13" t="s">
        <v>1362</v>
      </c>
      <c r="C13" t="s">
        <v>1366</v>
      </c>
      <c r="D13" s="61" t="s">
        <v>2100</v>
      </c>
      <c r="E13" s="13" t="s">
        <v>1829</v>
      </c>
      <c r="F13" s="13">
        <v>1267</v>
      </c>
      <c r="G13" s="13">
        <v>1152.3365000000001</v>
      </c>
      <c r="H13" s="13">
        <f t="shared" si="0"/>
        <v>114.66349999999989</v>
      </c>
    </row>
    <row r="14" spans="1:8">
      <c r="A14" t="s">
        <v>1877</v>
      </c>
      <c r="B14" t="s">
        <v>1362</v>
      </c>
      <c r="C14" t="s">
        <v>1858</v>
      </c>
      <c r="D14" s="61" t="s">
        <v>2100</v>
      </c>
      <c r="E14" s="13" t="s">
        <v>155</v>
      </c>
      <c r="F14" s="13">
        <v>39</v>
      </c>
      <c r="G14" s="13">
        <v>37.790999999999997</v>
      </c>
      <c r="H14" s="13">
        <f t="shared" si="0"/>
        <v>1.2090000000000032</v>
      </c>
    </row>
    <row r="15" spans="1:8">
      <c r="A15" t="s">
        <v>1877</v>
      </c>
      <c r="B15" t="s">
        <v>1362</v>
      </c>
      <c r="C15" t="s">
        <v>1858</v>
      </c>
      <c r="D15" s="61" t="s">
        <v>2100</v>
      </c>
      <c r="E15" s="13" t="s">
        <v>1828</v>
      </c>
      <c r="F15" s="13">
        <v>156</v>
      </c>
      <c r="G15" s="13">
        <v>151.16399999999999</v>
      </c>
      <c r="H15" s="13">
        <f t="shared" si="0"/>
        <v>4.8360000000000127</v>
      </c>
    </row>
    <row r="16" spans="1:8">
      <c r="A16" t="s">
        <v>1877</v>
      </c>
      <c r="B16" t="s">
        <v>1362</v>
      </c>
      <c r="C16" t="s">
        <v>1858</v>
      </c>
      <c r="D16" s="61" t="s">
        <v>2100</v>
      </c>
      <c r="E16" s="13" t="s">
        <v>1829</v>
      </c>
      <c r="F16" s="13">
        <v>23</v>
      </c>
      <c r="G16" s="13">
        <v>22.287000000000003</v>
      </c>
      <c r="H16" s="13">
        <f t="shared" si="0"/>
        <v>0.71299999999999741</v>
      </c>
    </row>
    <row r="17" spans="1:8">
      <c r="A17" t="s">
        <v>1878</v>
      </c>
      <c r="B17" t="s">
        <v>1362</v>
      </c>
      <c r="C17" t="s">
        <v>1859</v>
      </c>
      <c r="D17" s="61" t="s">
        <v>2100</v>
      </c>
      <c r="E17" s="13" t="s">
        <v>155</v>
      </c>
      <c r="F17" s="13">
        <v>39</v>
      </c>
      <c r="G17" s="13">
        <v>37.790999999999997</v>
      </c>
      <c r="H17" s="13">
        <f t="shared" si="0"/>
        <v>1.2090000000000032</v>
      </c>
    </row>
    <row r="18" spans="1:8">
      <c r="A18" t="s">
        <v>1878</v>
      </c>
      <c r="B18" t="s">
        <v>1362</v>
      </c>
      <c r="C18" t="s">
        <v>1859</v>
      </c>
      <c r="D18" s="61" t="s">
        <v>2100</v>
      </c>
      <c r="E18" s="13" t="s">
        <v>1828</v>
      </c>
      <c r="F18" s="13">
        <v>156</v>
      </c>
      <c r="G18" s="13">
        <v>151.16399999999999</v>
      </c>
      <c r="H18" s="13">
        <f t="shared" si="0"/>
        <v>4.8360000000000127</v>
      </c>
    </row>
    <row r="19" spans="1:8">
      <c r="A19" t="s">
        <v>1878</v>
      </c>
      <c r="B19" t="s">
        <v>1362</v>
      </c>
      <c r="C19" t="s">
        <v>1859</v>
      </c>
      <c r="D19" s="61" t="s">
        <v>2100</v>
      </c>
      <c r="E19" s="13" t="s">
        <v>1829</v>
      </c>
      <c r="F19" s="13">
        <v>23</v>
      </c>
      <c r="G19" s="13">
        <v>22.287000000000003</v>
      </c>
      <c r="H19" s="13">
        <f t="shared" si="0"/>
        <v>0.71299999999999741</v>
      </c>
    </row>
    <row r="20" spans="1:8">
      <c r="A20" t="s">
        <v>1427</v>
      </c>
      <c r="B20" t="s">
        <v>1359</v>
      </c>
      <c r="C20" t="s">
        <v>1426</v>
      </c>
      <c r="D20" s="61" t="s">
        <v>2100</v>
      </c>
      <c r="E20" s="13" t="s">
        <v>155</v>
      </c>
      <c r="F20" s="13">
        <v>1782</v>
      </c>
      <c r="G20" s="13">
        <v>1620.729</v>
      </c>
      <c r="H20" s="13">
        <f t="shared" si="0"/>
        <v>161.27099999999996</v>
      </c>
    </row>
    <row r="21" spans="1:8">
      <c r="A21" t="s">
        <v>1427</v>
      </c>
      <c r="B21" t="s">
        <v>1359</v>
      </c>
      <c r="C21" t="s">
        <v>1426</v>
      </c>
      <c r="D21" s="61" t="s">
        <v>2100</v>
      </c>
      <c r="E21" s="13" t="s">
        <v>1828</v>
      </c>
      <c r="F21" s="13">
        <v>4456</v>
      </c>
      <c r="G21" s="13">
        <v>4052.732</v>
      </c>
      <c r="H21" s="13">
        <f t="shared" si="0"/>
        <v>403.26800000000003</v>
      </c>
    </row>
    <row r="22" spans="1:8">
      <c r="A22" t="s">
        <v>1427</v>
      </c>
      <c r="B22" t="s">
        <v>1359</v>
      </c>
      <c r="C22" t="s">
        <v>1426</v>
      </c>
      <c r="D22" s="61" t="s">
        <v>2100</v>
      </c>
      <c r="E22" s="13" t="s">
        <v>1829</v>
      </c>
      <c r="F22" s="13">
        <v>1114</v>
      </c>
      <c r="G22" s="13">
        <v>1013.183</v>
      </c>
      <c r="H22" s="13">
        <f t="shared" si="0"/>
        <v>100.81700000000001</v>
      </c>
    </row>
    <row r="23" spans="1:8">
      <c r="A23" t="s">
        <v>1423</v>
      </c>
      <c r="B23" t="s">
        <v>1380</v>
      </c>
      <c r="C23" t="s">
        <v>1424</v>
      </c>
      <c r="D23" s="61" t="s">
        <v>2100</v>
      </c>
      <c r="E23" s="13" t="s">
        <v>155</v>
      </c>
      <c r="F23" s="13">
        <v>18</v>
      </c>
      <c r="G23" s="13">
        <v>16.371000000000002</v>
      </c>
      <c r="H23" s="13">
        <f t="shared" si="0"/>
        <v>1.6289999999999978</v>
      </c>
    </row>
    <row r="24" spans="1:8">
      <c r="A24" t="s">
        <v>1423</v>
      </c>
      <c r="B24" t="s">
        <v>1380</v>
      </c>
      <c r="C24" t="s">
        <v>1424</v>
      </c>
      <c r="D24" s="61" t="s">
        <v>2100</v>
      </c>
      <c r="E24" s="13" t="s">
        <v>1828</v>
      </c>
      <c r="F24" s="13">
        <v>47</v>
      </c>
      <c r="G24" s="13">
        <v>42.746500000000005</v>
      </c>
      <c r="H24" s="13">
        <f t="shared" si="0"/>
        <v>4.2534999999999954</v>
      </c>
    </row>
    <row r="25" spans="1:8">
      <c r="A25" t="s">
        <v>1423</v>
      </c>
      <c r="B25" t="s">
        <v>1380</v>
      </c>
      <c r="C25" t="s">
        <v>1424</v>
      </c>
      <c r="D25" s="61" t="s">
        <v>2100</v>
      </c>
      <c r="E25" s="13" t="s">
        <v>1829</v>
      </c>
      <c r="F25" s="13">
        <v>11</v>
      </c>
      <c r="G25" s="13">
        <v>10.0045</v>
      </c>
      <c r="H25" s="13">
        <f t="shared" si="0"/>
        <v>0.99549999999999983</v>
      </c>
    </row>
    <row r="26" spans="1:8">
      <c r="A26" t="s">
        <v>1423</v>
      </c>
      <c r="B26" t="s">
        <v>1384</v>
      </c>
      <c r="C26" t="s">
        <v>1425</v>
      </c>
      <c r="D26" s="61" t="s">
        <v>2100</v>
      </c>
      <c r="E26" s="13" t="s">
        <v>155</v>
      </c>
      <c r="F26" s="13">
        <v>19</v>
      </c>
      <c r="G26" s="13">
        <v>17.2805</v>
      </c>
      <c r="H26" s="13">
        <f t="shared" si="0"/>
        <v>1.7195</v>
      </c>
    </row>
    <row r="27" spans="1:8">
      <c r="A27" t="s">
        <v>1423</v>
      </c>
      <c r="B27" t="s">
        <v>1384</v>
      </c>
      <c r="C27" t="s">
        <v>1425</v>
      </c>
      <c r="D27" s="61" t="s">
        <v>2100</v>
      </c>
      <c r="E27" s="13" t="s">
        <v>1828</v>
      </c>
      <c r="F27" s="13">
        <v>60</v>
      </c>
      <c r="G27" s="13">
        <v>54.57</v>
      </c>
      <c r="H27" s="13">
        <f t="shared" si="0"/>
        <v>5.43</v>
      </c>
    </row>
    <row r="28" spans="1:8">
      <c r="A28" t="s">
        <v>1423</v>
      </c>
      <c r="B28" t="s">
        <v>1384</v>
      </c>
      <c r="C28" t="s">
        <v>1425</v>
      </c>
      <c r="D28" s="61" t="s">
        <v>2100</v>
      </c>
      <c r="E28" s="13" t="s">
        <v>1829</v>
      </c>
      <c r="F28" s="13">
        <v>12</v>
      </c>
      <c r="G28" s="13">
        <v>10.914</v>
      </c>
      <c r="H28" s="13">
        <f t="shared" si="0"/>
        <v>1.0860000000000003</v>
      </c>
    </row>
    <row r="29" spans="1:8">
      <c r="A29" t="s">
        <v>1422</v>
      </c>
      <c r="B29" t="s">
        <v>1359</v>
      </c>
      <c r="C29" t="s">
        <v>1421</v>
      </c>
      <c r="D29" s="61" t="s">
        <v>2100</v>
      </c>
      <c r="E29" s="13" t="s">
        <v>155</v>
      </c>
      <c r="F29" s="13">
        <v>312</v>
      </c>
      <c r="G29" s="13">
        <v>283.76400000000001</v>
      </c>
      <c r="H29" s="13">
        <f t="shared" si="0"/>
        <v>28.23599999999999</v>
      </c>
    </row>
    <row r="30" spans="1:8">
      <c r="A30" t="s">
        <v>1422</v>
      </c>
      <c r="B30" t="s">
        <v>1359</v>
      </c>
      <c r="C30" t="s">
        <v>1421</v>
      </c>
      <c r="D30" s="61" t="s">
        <v>2100</v>
      </c>
      <c r="E30" s="13" t="s">
        <v>1828</v>
      </c>
      <c r="F30" s="13">
        <v>780</v>
      </c>
      <c r="G30" s="13">
        <v>709.41</v>
      </c>
      <c r="H30" s="13">
        <f t="shared" si="0"/>
        <v>70.590000000000032</v>
      </c>
    </row>
    <row r="31" spans="1:8">
      <c r="A31" t="s">
        <v>1422</v>
      </c>
      <c r="B31" t="s">
        <v>1359</v>
      </c>
      <c r="C31" t="s">
        <v>1421</v>
      </c>
      <c r="D31" s="61" t="s">
        <v>2100</v>
      </c>
      <c r="E31" s="13" t="s">
        <v>1829</v>
      </c>
      <c r="F31" s="13">
        <v>195</v>
      </c>
      <c r="G31" s="13">
        <v>177.35249999999999</v>
      </c>
      <c r="H31" s="13">
        <f t="shared" si="0"/>
        <v>17.647500000000008</v>
      </c>
    </row>
    <row r="32" spans="1:8">
      <c r="A32" t="s">
        <v>1418</v>
      </c>
      <c r="B32" t="s">
        <v>1380</v>
      </c>
      <c r="C32" t="s">
        <v>1419</v>
      </c>
      <c r="D32" s="61" t="s">
        <v>2100</v>
      </c>
      <c r="E32" s="13" t="s">
        <v>155</v>
      </c>
      <c r="F32" s="13">
        <v>18</v>
      </c>
      <c r="G32" s="13">
        <v>17.28</v>
      </c>
      <c r="H32" s="13">
        <f t="shared" si="0"/>
        <v>0.71999999999999886</v>
      </c>
    </row>
    <row r="33" spans="1:8">
      <c r="A33" t="s">
        <v>1418</v>
      </c>
      <c r="B33" t="s">
        <v>1380</v>
      </c>
      <c r="C33" t="s">
        <v>1419</v>
      </c>
      <c r="D33" s="61" t="s">
        <v>2100</v>
      </c>
      <c r="E33" s="13" t="s">
        <v>1828</v>
      </c>
      <c r="F33" s="13">
        <v>75</v>
      </c>
      <c r="G33" s="13">
        <v>68.209999999999994</v>
      </c>
      <c r="H33" s="13">
        <f t="shared" si="0"/>
        <v>6.7900000000000063</v>
      </c>
    </row>
    <row r="34" spans="1:8">
      <c r="A34" t="s">
        <v>1418</v>
      </c>
      <c r="B34" t="s">
        <v>1380</v>
      </c>
      <c r="C34" t="s">
        <v>1419</v>
      </c>
      <c r="D34" s="61" t="s">
        <v>2100</v>
      </c>
      <c r="E34" s="13" t="s">
        <v>1829</v>
      </c>
      <c r="F34" s="13">
        <v>3</v>
      </c>
      <c r="G34" s="13">
        <v>2.7284999999999999</v>
      </c>
      <c r="H34" s="13">
        <f t="shared" si="0"/>
        <v>0.27150000000000007</v>
      </c>
    </row>
    <row r="35" spans="1:8">
      <c r="A35" t="s">
        <v>1418</v>
      </c>
      <c r="B35" t="s">
        <v>1384</v>
      </c>
      <c r="C35" t="s">
        <v>1420</v>
      </c>
      <c r="D35" s="61" t="s">
        <v>2100</v>
      </c>
      <c r="E35" s="13" t="s">
        <v>155</v>
      </c>
      <c r="F35" s="13">
        <v>19</v>
      </c>
      <c r="G35" s="13">
        <v>17.2805</v>
      </c>
      <c r="H35" s="13">
        <f t="shared" si="0"/>
        <v>1.7195</v>
      </c>
    </row>
    <row r="36" spans="1:8">
      <c r="A36" t="s">
        <v>1418</v>
      </c>
      <c r="B36" t="s">
        <v>1384</v>
      </c>
      <c r="C36" t="s">
        <v>1420</v>
      </c>
      <c r="D36" s="61" t="s">
        <v>2100</v>
      </c>
      <c r="E36" s="13" t="s">
        <v>1828</v>
      </c>
      <c r="F36" s="13">
        <v>97</v>
      </c>
      <c r="G36" s="13">
        <v>88.221500000000006</v>
      </c>
      <c r="H36" s="13">
        <f t="shared" si="0"/>
        <v>8.778499999999994</v>
      </c>
    </row>
    <row r="37" spans="1:8">
      <c r="A37" t="s">
        <v>1418</v>
      </c>
      <c r="B37" t="s">
        <v>1384</v>
      </c>
      <c r="C37" t="s">
        <v>1420</v>
      </c>
      <c r="D37" s="61" t="s">
        <v>2100</v>
      </c>
      <c r="E37" s="13" t="s">
        <v>1829</v>
      </c>
      <c r="F37" s="13">
        <v>4</v>
      </c>
      <c r="G37" s="13">
        <v>3.6379999999999999</v>
      </c>
      <c r="H37" s="13">
        <f t="shared" si="0"/>
        <v>0.3620000000000001</v>
      </c>
    </row>
    <row r="38" spans="1:8">
      <c r="A38" t="s">
        <v>2558</v>
      </c>
      <c r="B38">
        <v>2</v>
      </c>
      <c r="C38" t="s">
        <v>2559</v>
      </c>
      <c r="D38" s="61" t="s">
        <v>2100</v>
      </c>
      <c r="E38" t="s">
        <v>1828</v>
      </c>
      <c r="F38" s="13">
        <v>13747</v>
      </c>
      <c r="G38" s="13">
        <v>12386.047</v>
      </c>
      <c r="H38" s="13">
        <f t="shared" si="0"/>
        <v>1360.9529999999995</v>
      </c>
    </row>
    <row r="39" spans="1:8">
      <c r="A39" t="s">
        <v>2558</v>
      </c>
      <c r="B39">
        <v>5</v>
      </c>
      <c r="C39" t="s">
        <v>2560</v>
      </c>
      <c r="D39" s="61" t="s">
        <v>2100</v>
      </c>
      <c r="E39" t="s">
        <v>1828</v>
      </c>
      <c r="F39" s="13">
        <v>3585</v>
      </c>
      <c r="G39" s="13">
        <v>3230.085</v>
      </c>
      <c r="H39" s="13">
        <f t="shared" si="0"/>
        <v>354.91499999999996</v>
      </c>
    </row>
    <row r="40" spans="1:8">
      <c r="A40" t="s">
        <v>2558</v>
      </c>
      <c r="B40">
        <v>1</v>
      </c>
      <c r="C40" t="s">
        <v>2561</v>
      </c>
      <c r="D40" s="61" t="s">
        <v>2100</v>
      </c>
      <c r="E40" t="s">
        <v>1828</v>
      </c>
      <c r="F40" s="13">
        <v>3585</v>
      </c>
      <c r="G40" s="13">
        <v>3230.085</v>
      </c>
      <c r="H40" s="13">
        <f t="shared" si="0"/>
        <v>354.91499999999996</v>
      </c>
    </row>
    <row r="41" spans="1:8">
      <c r="A41" t="s">
        <v>2558</v>
      </c>
      <c r="B41">
        <v>3</v>
      </c>
      <c r="C41" t="s">
        <v>2562</v>
      </c>
      <c r="D41" s="61" t="s">
        <v>2100</v>
      </c>
      <c r="E41" t="s">
        <v>1828</v>
      </c>
      <c r="F41" s="13">
        <v>13747</v>
      </c>
      <c r="G41" s="13">
        <v>12386.047</v>
      </c>
      <c r="H41" s="13">
        <f t="shared" si="0"/>
        <v>1360.9529999999995</v>
      </c>
    </row>
    <row r="42" spans="1:8">
      <c r="A42" t="s">
        <v>2563</v>
      </c>
      <c r="B42">
        <v>4</v>
      </c>
      <c r="C42" t="s">
        <v>2564</v>
      </c>
      <c r="D42" s="61" t="s">
        <v>2100</v>
      </c>
      <c r="E42" t="s">
        <v>1828</v>
      </c>
      <c r="F42" s="13">
        <v>769</v>
      </c>
      <c r="G42" s="13">
        <v>692.86899999999991</v>
      </c>
      <c r="H42" s="13">
        <f t="shared" si="0"/>
        <v>76.131000000000085</v>
      </c>
    </row>
    <row r="43" spans="1:8">
      <c r="A43" t="s">
        <v>2563</v>
      </c>
      <c r="B43">
        <v>5</v>
      </c>
      <c r="C43" t="s">
        <v>2565</v>
      </c>
      <c r="D43" s="61" t="s">
        <v>2100</v>
      </c>
      <c r="E43" t="s">
        <v>1828</v>
      </c>
      <c r="F43" s="13">
        <v>3078</v>
      </c>
      <c r="G43" s="13">
        <v>2773.2780000000002</v>
      </c>
      <c r="H43" s="13">
        <f t="shared" si="0"/>
        <v>304.72199999999975</v>
      </c>
    </row>
    <row r="44" spans="1:8">
      <c r="A44" t="s">
        <v>2566</v>
      </c>
      <c r="B44">
        <v>2</v>
      </c>
      <c r="C44" t="s">
        <v>2567</v>
      </c>
      <c r="D44" s="61" t="s">
        <v>2100</v>
      </c>
      <c r="E44" t="s">
        <v>1828</v>
      </c>
      <c r="F44" s="13">
        <v>534</v>
      </c>
      <c r="G44" s="13">
        <v>481.13399999999996</v>
      </c>
      <c r="H44" s="13">
        <f t="shared" si="0"/>
        <v>52.866000000000042</v>
      </c>
    </row>
    <row r="45" spans="1:8">
      <c r="A45" t="s">
        <v>2566</v>
      </c>
      <c r="B45">
        <v>3</v>
      </c>
      <c r="C45" t="s">
        <v>2568</v>
      </c>
      <c r="D45" s="61" t="s">
        <v>2100</v>
      </c>
      <c r="E45" t="s">
        <v>1828</v>
      </c>
      <c r="F45" s="13">
        <v>134</v>
      </c>
      <c r="G45" s="13">
        <v>120.73400000000001</v>
      </c>
      <c r="H45" s="13">
        <f t="shared" si="0"/>
        <v>13.265999999999991</v>
      </c>
    </row>
    <row r="46" spans="1:8">
      <c r="A46" t="s">
        <v>1873</v>
      </c>
      <c r="B46" t="s">
        <v>1359</v>
      </c>
      <c r="C46" t="s">
        <v>1860</v>
      </c>
      <c r="D46" s="61" t="s">
        <v>2100</v>
      </c>
      <c r="E46" s="13" t="s">
        <v>155</v>
      </c>
      <c r="F46" s="13">
        <v>153</v>
      </c>
      <c r="G46" s="13">
        <v>139.15</v>
      </c>
      <c r="H46" s="13">
        <f t="shared" si="0"/>
        <v>13.849999999999994</v>
      </c>
    </row>
    <row r="47" spans="1:8">
      <c r="A47" t="s">
        <v>1873</v>
      </c>
      <c r="B47" t="s">
        <v>1359</v>
      </c>
      <c r="C47" t="s">
        <v>1860</v>
      </c>
      <c r="D47" s="61" t="s">
        <v>2100</v>
      </c>
      <c r="E47" s="13" t="s">
        <v>1828</v>
      </c>
      <c r="F47" s="13">
        <v>615</v>
      </c>
      <c r="G47" s="13">
        <v>559.34249999999997</v>
      </c>
      <c r="H47" s="13">
        <f t="shared" si="0"/>
        <v>55.657500000000027</v>
      </c>
    </row>
    <row r="48" spans="1:8">
      <c r="A48" t="s">
        <v>1873</v>
      </c>
      <c r="B48" t="s">
        <v>1359</v>
      </c>
      <c r="C48" t="s">
        <v>1860</v>
      </c>
      <c r="D48" s="61" t="s">
        <v>2100</v>
      </c>
      <c r="E48" s="13" t="s">
        <v>1829</v>
      </c>
      <c r="F48" s="13">
        <v>92</v>
      </c>
      <c r="G48" s="13">
        <v>83.674000000000007</v>
      </c>
      <c r="H48" s="13">
        <f t="shared" si="0"/>
        <v>8.3259999999999934</v>
      </c>
    </row>
    <row r="49" spans="1:8">
      <c r="A49" t="s">
        <v>1874</v>
      </c>
      <c r="B49" t="s">
        <v>1359</v>
      </c>
      <c r="C49" t="s">
        <v>1861</v>
      </c>
      <c r="D49" s="61" t="s">
        <v>2100</v>
      </c>
      <c r="E49" s="13" t="s">
        <v>155</v>
      </c>
      <c r="F49" s="13">
        <v>112</v>
      </c>
      <c r="G49" s="13">
        <v>101.86</v>
      </c>
      <c r="H49" s="13">
        <f t="shared" si="0"/>
        <v>10.14</v>
      </c>
    </row>
    <row r="50" spans="1:8">
      <c r="A50" t="s">
        <v>1874</v>
      </c>
      <c r="B50" t="s">
        <v>1359</v>
      </c>
      <c r="C50" t="s">
        <v>1861</v>
      </c>
      <c r="D50" s="61" t="s">
        <v>2100</v>
      </c>
      <c r="E50" s="13" t="s">
        <v>1828</v>
      </c>
      <c r="F50" s="13">
        <v>451</v>
      </c>
      <c r="G50" s="13">
        <v>410.18450000000001</v>
      </c>
      <c r="H50" s="13">
        <f t="shared" si="0"/>
        <v>40.815499999999986</v>
      </c>
    </row>
    <row r="51" spans="1:8">
      <c r="A51" t="s">
        <v>1874</v>
      </c>
      <c r="B51" t="s">
        <v>1359</v>
      </c>
      <c r="C51" t="s">
        <v>1861</v>
      </c>
      <c r="D51" s="61" t="s">
        <v>2100</v>
      </c>
      <c r="E51" s="13" t="s">
        <v>1829</v>
      </c>
      <c r="F51" s="13">
        <v>67</v>
      </c>
      <c r="G51" s="13">
        <v>60.936500000000002</v>
      </c>
      <c r="H51" s="13">
        <f t="shared" si="0"/>
        <v>6.0634999999999977</v>
      </c>
    </row>
    <row r="52" spans="1:8">
      <c r="A52" t="s">
        <v>1875</v>
      </c>
      <c r="B52" t="s">
        <v>1359</v>
      </c>
      <c r="C52" t="s">
        <v>1862</v>
      </c>
      <c r="D52" s="61" t="s">
        <v>2100</v>
      </c>
      <c r="E52" s="13" t="s">
        <v>155</v>
      </c>
      <c r="F52" s="13">
        <v>112</v>
      </c>
      <c r="G52" s="13">
        <v>101.86</v>
      </c>
      <c r="H52" s="13">
        <f t="shared" si="0"/>
        <v>10.14</v>
      </c>
    </row>
    <row r="53" spans="1:8">
      <c r="A53" t="s">
        <v>1875</v>
      </c>
      <c r="B53" t="s">
        <v>1359</v>
      </c>
      <c r="C53" t="s">
        <v>1862</v>
      </c>
      <c r="D53" s="61" t="s">
        <v>2100</v>
      </c>
      <c r="E53" s="13" t="s">
        <v>1828</v>
      </c>
      <c r="F53" s="13">
        <v>451</v>
      </c>
      <c r="G53" s="13">
        <v>410.18450000000001</v>
      </c>
      <c r="H53" s="13">
        <f t="shared" si="0"/>
        <v>40.815499999999986</v>
      </c>
    </row>
    <row r="54" spans="1:8">
      <c r="A54" t="s">
        <v>1875</v>
      </c>
      <c r="B54" t="s">
        <v>1359</v>
      </c>
      <c r="C54" t="s">
        <v>1862</v>
      </c>
      <c r="D54" s="61" t="s">
        <v>2100</v>
      </c>
      <c r="E54" s="13" t="s">
        <v>1829</v>
      </c>
      <c r="F54" s="13">
        <v>67</v>
      </c>
      <c r="G54" s="13">
        <v>60.936500000000002</v>
      </c>
      <c r="H54" s="13">
        <f t="shared" si="0"/>
        <v>6.0634999999999977</v>
      </c>
    </row>
    <row r="55" spans="1:8">
      <c r="A55" t="s">
        <v>1879</v>
      </c>
      <c r="B55" t="s">
        <v>1359</v>
      </c>
      <c r="C55" t="s">
        <v>1863</v>
      </c>
      <c r="D55" s="61" t="s">
        <v>2100</v>
      </c>
      <c r="E55" s="13" t="s">
        <v>155</v>
      </c>
      <c r="F55" s="13">
        <v>39</v>
      </c>
      <c r="G55" s="13">
        <v>37.790999999999997</v>
      </c>
      <c r="H55" s="13">
        <f t="shared" si="0"/>
        <v>1.2090000000000032</v>
      </c>
    </row>
    <row r="56" spans="1:8">
      <c r="A56" t="s">
        <v>1879</v>
      </c>
      <c r="B56" t="s">
        <v>1359</v>
      </c>
      <c r="C56" t="s">
        <v>1863</v>
      </c>
      <c r="D56" s="61" t="s">
        <v>2100</v>
      </c>
      <c r="E56" s="13" t="s">
        <v>1828</v>
      </c>
      <c r="F56" s="13">
        <v>156</v>
      </c>
      <c r="G56" s="13">
        <v>151.16399999999999</v>
      </c>
      <c r="H56" s="13">
        <f t="shared" si="0"/>
        <v>4.8360000000000127</v>
      </c>
    </row>
    <row r="57" spans="1:8">
      <c r="A57" t="s">
        <v>1879</v>
      </c>
      <c r="B57" t="s">
        <v>1359</v>
      </c>
      <c r="C57" t="s">
        <v>1863</v>
      </c>
      <c r="D57" s="61" t="s">
        <v>2100</v>
      </c>
      <c r="E57" s="13" t="s">
        <v>1829</v>
      </c>
      <c r="F57" s="13">
        <v>23</v>
      </c>
      <c r="G57" s="13">
        <v>22.287000000000003</v>
      </c>
      <c r="H57" s="13">
        <f t="shared" si="0"/>
        <v>0.71299999999999741</v>
      </c>
    </row>
    <row r="58" spans="1:8">
      <c r="A58" t="s">
        <v>1880</v>
      </c>
      <c r="B58" t="s">
        <v>1359</v>
      </c>
      <c r="C58" t="s">
        <v>1864</v>
      </c>
      <c r="D58" s="61" t="s">
        <v>2100</v>
      </c>
      <c r="E58" s="13" t="s">
        <v>155</v>
      </c>
      <c r="F58" s="13">
        <v>39</v>
      </c>
      <c r="G58" s="13">
        <v>37.790999999999997</v>
      </c>
      <c r="H58" s="13">
        <f t="shared" si="0"/>
        <v>1.2090000000000032</v>
      </c>
    </row>
    <row r="59" spans="1:8">
      <c r="A59" t="s">
        <v>1880</v>
      </c>
      <c r="B59" t="s">
        <v>1359</v>
      </c>
      <c r="C59" t="s">
        <v>1864</v>
      </c>
      <c r="D59" s="61" t="s">
        <v>2100</v>
      </c>
      <c r="E59" s="13" t="s">
        <v>1828</v>
      </c>
      <c r="F59" s="13">
        <v>156</v>
      </c>
      <c r="G59" s="13">
        <v>151.16399999999999</v>
      </c>
      <c r="H59" s="13">
        <f t="shared" si="0"/>
        <v>4.8360000000000127</v>
      </c>
    </row>
    <row r="60" spans="1:8">
      <c r="A60" t="s">
        <v>1880</v>
      </c>
      <c r="B60" t="s">
        <v>1359</v>
      </c>
      <c r="C60" t="s">
        <v>1864</v>
      </c>
      <c r="D60" s="61" t="s">
        <v>2100</v>
      </c>
      <c r="E60" s="13" t="s">
        <v>1829</v>
      </c>
      <c r="F60" s="13">
        <v>23</v>
      </c>
      <c r="G60" s="13">
        <v>22.287000000000003</v>
      </c>
      <c r="H60" s="13">
        <f t="shared" si="0"/>
        <v>0.71299999999999741</v>
      </c>
    </row>
    <row r="61" spans="1:8">
      <c r="A61" t="s">
        <v>1881</v>
      </c>
      <c r="B61" t="s">
        <v>1359</v>
      </c>
      <c r="C61" t="s">
        <v>1865</v>
      </c>
      <c r="D61" s="61" t="s">
        <v>2100</v>
      </c>
      <c r="E61" s="13" t="s">
        <v>155</v>
      </c>
      <c r="F61" s="13">
        <v>39</v>
      </c>
      <c r="G61" s="13">
        <v>37.790999999999997</v>
      </c>
      <c r="H61" s="13">
        <f t="shared" si="0"/>
        <v>1.2090000000000032</v>
      </c>
    </row>
    <row r="62" spans="1:8">
      <c r="A62" t="s">
        <v>1881</v>
      </c>
      <c r="B62" t="s">
        <v>1359</v>
      </c>
      <c r="C62" t="s">
        <v>1865</v>
      </c>
      <c r="D62" s="61" t="s">
        <v>2100</v>
      </c>
      <c r="E62" s="13" t="s">
        <v>1828</v>
      </c>
      <c r="F62" s="13">
        <v>156</v>
      </c>
      <c r="G62" s="13">
        <v>151.16399999999999</v>
      </c>
      <c r="H62" s="13">
        <f t="shared" si="0"/>
        <v>4.8360000000000127</v>
      </c>
    </row>
    <row r="63" spans="1:8">
      <c r="A63" t="s">
        <v>1881</v>
      </c>
      <c r="B63" t="s">
        <v>1359</v>
      </c>
      <c r="C63" t="s">
        <v>1865</v>
      </c>
      <c r="D63" s="61" t="s">
        <v>2100</v>
      </c>
      <c r="E63" s="13" t="s">
        <v>1829</v>
      </c>
      <c r="F63" s="13">
        <v>23</v>
      </c>
      <c r="G63" s="13">
        <v>22.287000000000003</v>
      </c>
      <c r="H63" s="13">
        <f t="shared" si="0"/>
        <v>0.71299999999999741</v>
      </c>
    </row>
    <row r="64" spans="1:8">
      <c r="A64" t="s">
        <v>1882</v>
      </c>
      <c r="B64" t="s">
        <v>1359</v>
      </c>
      <c r="C64" t="s">
        <v>1866</v>
      </c>
      <c r="D64" s="61" t="s">
        <v>2100</v>
      </c>
      <c r="E64" s="13" t="s">
        <v>155</v>
      </c>
      <c r="F64" s="13">
        <v>39</v>
      </c>
      <c r="G64" s="13">
        <v>37.790999999999997</v>
      </c>
      <c r="H64" s="13">
        <f t="shared" si="0"/>
        <v>1.2090000000000032</v>
      </c>
    </row>
    <row r="65" spans="1:8">
      <c r="A65" t="s">
        <v>1882</v>
      </c>
      <c r="B65" t="s">
        <v>1359</v>
      </c>
      <c r="C65" t="s">
        <v>1866</v>
      </c>
      <c r="D65" s="61" t="s">
        <v>2100</v>
      </c>
      <c r="E65" s="13" t="s">
        <v>1828</v>
      </c>
      <c r="F65" s="13">
        <v>156</v>
      </c>
      <c r="G65" s="13">
        <v>151.16399999999999</v>
      </c>
      <c r="H65" s="13">
        <f t="shared" si="0"/>
        <v>4.8360000000000127</v>
      </c>
    </row>
    <row r="66" spans="1:8">
      <c r="A66" t="s">
        <v>1882</v>
      </c>
      <c r="B66" t="s">
        <v>1359</v>
      </c>
      <c r="C66" t="s">
        <v>1866</v>
      </c>
      <c r="D66" s="61" t="s">
        <v>2100</v>
      </c>
      <c r="E66" s="13" t="s">
        <v>1829</v>
      </c>
      <c r="F66" s="13">
        <v>23</v>
      </c>
      <c r="G66" s="13">
        <v>22.287000000000003</v>
      </c>
      <c r="H66" s="13">
        <f t="shared" si="0"/>
        <v>0.71299999999999741</v>
      </c>
    </row>
    <row r="67" spans="1:8">
      <c r="A67" t="s">
        <v>1883</v>
      </c>
      <c r="B67" t="s">
        <v>1359</v>
      </c>
      <c r="C67" t="s">
        <v>1867</v>
      </c>
      <c r="D67" s="61" t="s">
        <v>2100</v>
      </c>
      <c r="E67" s="13" t="s">
        <v>155</v>
      </c>
      <c r="F67" s="13">
        <v>282</v>
      </c>
      <c r="G67" s="13">
        <v>256.48</v>
      </c>
      <c r="H67" s="13">
        <f t="shared" si="0"/>
        <v>25.519999999999982</v>
      </c>
    </row>
    <row r="68" spans="1:8">
      <c r="A68" t="s">
        <v>1883</v>
      </c>
      <c r="B68" t="s">
        <v>1359</v>
      </c>
      <c r="C68" t="s">
        <v>1867</v>
      </c>
      <c r="D68" s="61" t="s">
        <v>2100</v>
      </c>
      <c r="E68" s="13" t="s">
        <v>1828</v>
      </c>
      <c r="F68" s="13">
        <v>1130</v>
      </c>
      <c r="G68" s="13">
        <v>1027.74</v>
      </c>
      <c r="H68" s="13">
        <f t="shared" si="0"/>
        <v>102.25999999999999</v>
      </c>
    </row>
    <row r="69" spans="1:8">
      <c r="A69" t="s">
        <v>1883</v>
      </c>
      <c r="B69" t="s">
        <v>1359</v>
      </c>
      <c r="C69" t="s">
        <v>1867</v>
      </c>
      <c r="D69" s="61" t="s">
        <v>2100</v>
      </c>
      <c r="E69" s="13" t="s">
        <v>1829</v>
      </c>
      <c r="F69" s="13">
        <v>169</v>
      </c>
      <c r="G69" s="13">
        <v>156.71</v>
      </c>
      <c r="H69" s="13">
        <f t="shared" si="0"/>
        <v>12.289999999999992</v>
      </c>
    </row>
    <row r="70" spans="1:8">
      <c r="A70" t="s">
        <v>1369</v>
      </c>
      <c r="B70" t="s">
        <v>1359</v>
      </c>
      <c r="C70" t="s">
        <v>1368</v>
      </c>
      <c r="D70" s="61" t="s">
        <v>2100</v>
      </c>
      <c r="E70" s="13" t="s">
        <v>155</v>
      </c>
      <c r="F70" s="13">
        <v>2492</v>
      </c>
      <c r="G70" s="13">
        <v>2266.4699999999998</v>
      </c>
      <c r="H70" s="13">
        <f t="shared" si="0"/>
        <v>225.5300000000002</v>
      </c>
    </row>
    <row r="71" spans="1:8">
      <c r="A71" t="s">
        <v>1369</v>
      </c>
      <c r="B71" t="s">
        <v>1359</v>
      </c>
      <c r="C71" t="s">
        <v>1368</v>
      </c>
      <c r="D71" s="61" t="s">
        <v>2100</v>
      </c>
      <c r="E71" s="13" t="s">
        <v>1828</v>
      </c>
      <c r="F71" s="13">
        <v>6232</v>
      </c>
      <c r="G71" s="13">
        <v>5668.0039999999999</v>
      </c>
      <c r="H71" s="13">
        <f t="shared" si="0"/>
        <v>563.99600000000009</v>
      </c>
    </row>
    <row r="72" spans="1:8">
      <c r="A72" t="s">
        <v>1369</v>
      </c>
      <c r="B72" t="s">
        <v>1359</v>
      </c>
      <c r="C72" t="s">
        <v>1368</v>
      </c>
      <c r="D72" s="61" t="s">
        <v>2100</v>
      </c>
      <c r="E72" s="13" t="s">
        <v>1829</v>
      </c>
      <c r="F72" s="13">
        <v>1558</v>
      </c>
      <c r="G72" s="13">
        <v>1417.001</v>
      </c>
      <c r="H72" s="13">
        <f t="shared" si="0"/>
        <v>140.99900000000002</v>
      </c>
    </row>
    <row r="73" spans="1:8">
      <c r="A73" t="s">
        <v>1370</v>
      </c>
      <c r="B73" t="s">
        <v>1359</v>
      </c>
      <c r="C73" t="s">
        <v>1372</v>
      </c>
      <c r="D73" s="61" t="s">
        <v>2100</v>
      </c>
      <c r="E73" s="13" t="s">
        <v>155</v>
      </c>
      <c r="F73" s="13">
        <v>74</v>
      </c>
      <c r="G73" s="13">
        <v>67.302999999999997</v>
      </c>
      <c r="H73" s="13">
        <f t="shared" si="0"/>
        <v>6.6970000000000027</v>
      </c>
    </row>
    <row r="74" spans="1:8">
      <c r="A74" t="s">
        <v>1370</v>
      </c>
      <c r="B74" t="s">
        <v>1359</v>
      </c>
      <c r="C74" t="s">
        <v>1372</v>
      </c>
      <c r="D74" s="61" t="s">
        <v>2100</v>
      </c>
      <c r="E74" s="13" t="s">
        <v>1828</v>
      </c>
      <c r="F74" s="13">
        <v>186</v>
      </c>
      <c r="G74" s="13">
        <v>169.167</v>
      </c>
      <c r="H74" s="13">
        <f t="shared" si="0"/>
        <v>16.832999999999998</v>
      </c>
    </row>
    <row r="75" spans="1:8">
      <c r="A75" t="s">
        <v>1370</v>
      </c>
      <c r="B75" t="s">
        <v>1359</v>
      </c>
      <c r="C75" t="s">
        <v>1372</v>
      </c>
      <c r="D75" s="61" t="s">
        <v>2100</v>
      </c>
      <c r="E75" s="13" t="s">
        <v>1829</v>
      </c>
      <c r="F75" s="13">
        <v>46</v>
      </c>
      <c r="G75" s="13">
        <v>41.837000000000003</v>
      </c>
      <c r="H75" s="13">
        <f t="shared" ref="H75:H138" si="1">F75-G75</f>
        <v>4.1629999999999967</v>
      </c>
    </row>
    <row r="76" spans="1:8">
      <c r="A76" t="s">
        <v>1370</v>
      </c>
      <c r="B76" t="s">
        <v>1365</v>
      </c>
      <c r="C76" t="s">
        <v>1371</v>
      </c>
      <c r="D76" s="61" t="s">
        <v>2100</v>
      </c>
      <c r="E76" s="13" t="s">
        <v>155</v>
      </c>
      <c r="F76" s="13">
        <v>75</v>
      </c>
      <c r="G76" s="13">
        <v>68.212500000000006</v>
      </c>
      <c r="H76" s="13">
        <f t="shared" si="1"/>
        <v>6.7874999999999943</v>
      </c>
    </row>
    <row r="77" spans="1:8">
      <c r="A77" t="s">
        <v>1370</v>
      </c>
      <c r="B77" t="s">
        <v>1365</v>
      </c>
      <c r="C77" t="s">
        <v>1371</v>
      </c>
      <c r="D77" s="61" t="s">
        <v>2100</v>
      </c>
      <c r="E77" s="13" t="s">
        <v>1828</v>
      </c>
      <c r="F77" s="13">
        <v>242</v>
      </c>
      <c r="G77" s="13">
        <v>220.09899999999999</v>
      </c>
      <c r="H77" s="13">
        <f t="shared" si="1"/>
        <v>21.90100000000001</v>
      </c>
    </row>
    <row r="78" spans="1:8">
      <c r="A78" t="s">
        <v>1370</v>
      </c>
      <c r="B78" t="s">
        <v>1365</v>
      </c>
      <c r="C78" t="s">
        <v>1371</v>
      </c>
      <c r="D78" s="61" t="s">
        <v>2100</v>
      </c>
      <c r="E78" s="13" t="s">
        <v>1829</v>
      </c>
      <c r="F78" s="13">
        <v>45</v>
      </c>
      <c r="G78" s="13">
        <v>40.927500000000002</v>
      </c>
      <c r="H78" s="13">
        <f t="shared" si="1"/>
        <v>4.072499999999998</v>
      </c>
    </row>
    <row r="79" spans="1:8">
      <c r="A79" t="s">
        <v>1884</v>
      </c>
      <c r="B79" t="s">
        <v>1362</v>
      </c>
      <c r="C79" t="s">
        <v>1868</v>
      </c>
      <c r="D79" s="61" t="s">
        <v>2100</v>
      </c>
      <c r="E79" s="13" t="s">
        <v>155</v>
      </c>
      <c r="F79" s="13">
        <v>272</v>
      </c>
      <c r="G79" s="13">
        <v>247.38</v>
      </c>
      <c r="H79" s="13">
        <f t="shared" si="1"/>
        <v>24.620000000000005</v>
      </c>
    </row>
    <row r="80" spans="1:8">
      <c r="A80" t="s">
        <v>1884</v>
      </c>
      <c r="B80" t="s">
        <v>1362</v>
      </c>
      <c r="C80" t="s">
        <v>1868</v>
      </c>
      <c r="D80" s="61" t="s">
        <v>2100</v>
      </c>
      <c r="E80" s="13" t="s">
        <v>1828</v>
      </c>
      <c r="F80" s="13">
        <v>680</v>
      </c>
      <c r="G80" s="13">
        <v>618.46</v>
      </c>
      <c r="H80" s="13">
        <f t="shared" si="1"/>
        <v>61.539999999999964</v>
      </c>
    </row>
    <row r="81" spans="1:8">
      <c r="A81" t="s">
        <v>1884</v>
      </c>
      <c r="B81" t="s">
        <v>1362</v>
      </c>
      <c r="C81" t="s">
        <v>1868</v>
      </c>
      <c r="D81" s="61" t="s">
        <v>2100</v>
      </c>
      <c r="E81" s="13" t="s">
        <v>1829</v>
      </c>
      <c r="F81" s="13">
        <v>102</v>
      </c>
      <c r="G81" s="13">
        <v>92.77</v>
      </c>
      <c r="H81" s="13">
        <f t="shared" si="1"/>
        <v>9.230000000000004</v>
      </c>
    </row>
    <row r="82" spans="1:8">
      <c r="A82" t="s">
        <v>2023</v>
      </c>
      <c r="B82" t="s">
        <v>1362</v>
      </c>
      <c r="C82" t="s">
        <v>2022</v>
      </c>
      <c r="D82" s="61" t="s">
        <v>2100</v>
      </c>
      <c r="E82" s="13" t="s">
        <v>155</v>
      </c>
      <c r="F82" s="13">
        <v>39</v>
      </c>
      <c r="G82" s="13">
        <v>37.79</v>
      </c>
      <c r="H82" s="13">
        <f t="shared" si="1"/>
        <v>1.2100000000000009</v>
      </c>
    </row>
    <row r="83" spans="1:8">
      <c r="A83" t="s">
        <v>2023</v>
      </c>
      <c r="B83" t="s">
        <v>1362</v>
      </c>
      <c r="C83" t="s">
        <v>2022</v>
      </c>
      <c r="D83" s="61" t="s">
        <v>2100</v>
      </c>
      <c r="E83" s="13" t="s">
        <v>1828</v>
      </c>
      <c r="F83" s="13">
        <v>156</v>
      </c>
      <c r="G83" s="13">
        <v>151.16</v>
      </c>
      <c r="H83" s="13">
        <f t="shared" si="1"/>
        <v>4.8400000000000034</v>
      </c>
    </row>
    <row r="84" spans="1:8">
      <c r="A84" t="s">
        <v>2023</v>
      </c>
      <c r="B84" t="s">
        <v>1362</v>
      </c>
      <c r="C84" t="s">
        <v>2022</v>
      </c>
      <c r="D84" s="61" t="s">
        <v>2100</v>
      </c>
      <c r="E84" s="13" t="s">
        <v>1829</v>
      </c>
      <c r="F84" s="13">
        <v>23</v>
      </c>
      <c r="G84" s="13">
        <v>22.29</v>
      </c>
      <c r="H84" s="13">
        <f t="shared" si="1"/>
        <v>0.71000000000000085</v>
      </c>
    </row>
    <row r="85" spans="1:8">
      <c r="A85" t="s">
        <v>2062</v>
      </c>
      <c r="B85">
        <v>2</v>
      </c>
      <c r="C85" t="s">
        <v>2060</v>
      </c>
      <c r="D85" t="s">
        <v>2100</v>
      </c>
      <c r="E85" t="s">
        <v>1828</v>
      </c>
      <c r="F85" s="13">
        <v>58</v>
      </c>
      <c r="G85" s="13">
        <v>53.244</v>
      </c>
      <c r="H85" s="13">
        <f t="shared" si="1"/>
        <v>4.7560000000000002</v>
      </c>
    </row>
    <row r="86" spans="1:8">
      <c r="A86" t="s">
        <v>2062</v>
      </c>
      <c r="B86">
        <v>7</v>
      </c>
      <c r="C86" t="s">
        <v>2061</v>
      </c>
      <c r="D86" t="s">
        <v>2100</v>
      </c>
      <c r="E86" t="s">
        <v>1828</v>
      </c>
      <c r="F86" s="13">
        <v>45</v>
      </c>
      <c r="G86" s="13">
        <v>41.31</v>
      </c>
      <c r="H86" s="13">
        <f t="shared" si="1"/>
        <v>3.6899999999999977</v>
      </c>
    </row>
    <row r="87" spans="1:8">
      <c r="A87" t="s">
        <v>2062</v>
      </c>
      <c r="B87">
        <v>2</v>
      </c>
      <c r="C87" t="s">
        <v>2060</v>
      </c>
      <c r="D87" t="s">
        <v>2100</v>
      </c>
      <c r="E87" t="s">
        <v>2109</v>
      </c>
      <c r="F87" s="13">
        <v>14</v>
      </c>
      <c r="G87" s="13">
        <v>12.852</v>
      </c>
      <c r="H87" s="13">
        <f t="shared" si="1"/>
        <v>1.1479999999999997</v>
      </c>
    </row>
    <row r="88" spans="1:8">
      <c r="A88" t="s">
        <v>2062</v>
      </c>
      <c r="B88">
        <v>7</v>
      </c>
      <c r="C88" t="s">
        <v>2061</v>
      </c>
      <c r="D88" t="s">
        <v>2100</v>
      </c>
      <c r="E88" t="s">
        <v>2109</v>
      </c>
      <c r="F88" s="13">
        <v>11</v>
      </c>
      <c r="G88" s="13">
        <v>10.097999999999999</v>
      </c>
      <c r="H88" s="13">
        <f t="shared" si="1"/>
        <v>0.90200000000000102</v>
      </c>
    </row>
    <row r="89" spans="1:8">
      <c r="A89" t="s">
        <v>2062</v>
      </c>
      <c r="B89">
        <v>2</v>
      </c>
      <c r="C89" t="s">
        <v>2060</v>
      </c>
      <c r="D89" t="s">
        <v>2100</v>
      </c>
      <c r="E89" t="s">
        <v>155</v>
      </c>
      <c r="F89" s="13">
        <v>23</v>
      </c>
      <c r="G89" s="13">
        <v>21.114000000000001</v>
      </c>
      <c r="H89" s="13">
        <f t="shared" si="1"/>
        <v>1.8859999999999992</v>
      </c>
    </row>
    <row r="90" spans="1:8">
      <c r="A90" t="s">
        <v>2062</v>
      </c>
      <c r="B90">
        <v>7</v>
      </c>
      <c r="C90" t="s">
        <v>2061</v>
      </c>
      <c r="D90" t="s">
        <v>2100</v>
      </c>
      <c r="E90" t="s">
        <v>155</v>
      </c>
      <c r="F90" s="13">
        <v>18</v>
      </c>
      <c r="G90" s="13">
        <v>16.524000000000001</v>
      </c>
      <c r="H90" s="13">
        <f t="shared" si="1"/>
        <v>1.4759999999999991</v>
      </c>
    </row>
    <row r="91" spans="1:8">
      <c r="A91" t="s">
        <v>2056</v>
      </c>
      <c r="B91" t="s">
        <v>1359</v>
      </c>
      <c r="C91" t="s">
        <v>2054</v>
      </c>
      <c r="D91" s="61" t="s">
        <v>2100</v>
      </c>
      <c r="E91" s="13" t="s">
        <v>155</v>
      </c>
      <c r="F91" s="13">
        <v>36</v>
      </c>
      <c r="G91" s="13">
        <v>32.71</v>
      </c>
      <c r="H91" s="13">
        <f t="shared" si="1"/>
        <v>3.2899999999999991</v>
      </c>
    </row>
    <row r="92" spans="1:8">
      <c r="A92" t="s">
        <v>2056</v>
      </c>
      <c r="B92" t="s">
        <v>1359</v>
      </c>
      <c r="C92" t="s">
        <v>2054</v>
      </c>
      <c r="D92" s="61" t="s">
        <v>2100</v>
      </c>
      <c r="E92" s="13" t="s">
        <v>1828</v>
      </c>
      <c r="F92" s="13">
        <v>91</v>
      </c>
      <c r="G92" s="13">
        <v>83.67</v>
      </c>
      <c r="H92" s="13">
        <f t="shared" si="1"/>
        <v>7.3299999999999983</v>
      </c>
    </row>
    <row r="93" spans="1:8">
      <c r="A93" t="s">
        <v>2056</v>
      </c>
      <c r="B93" t="s">
        <v>1359</v>
      </c>
      <c r="C93" t="s">
        <v>2054</v>
      </c>
      <c r="D93" s="61" t="s">
        <v>2100</v>
      </c>
      <c r="E93" s="13" t="s">
        <v>1829</v>
      </c>
      <c r="F93" s="13">
        <v>23</v>
      </c>
      <c r="G93" s="13">
        <v>20.92</v>
      </c>
      <c r="H93" s="13">
        <f t="shared" si="1"/>
        <v>2.0799999999999983</v>
      </c>
    </row>
    <row r="94" spans="1:8">
      <c r="A94" t="s">
        <v>2056</v>
      </c>
      <c r="B94" t="s">
        <v>1362</v>
      </c>
      <c r="C94" t="s">
        <v>2055</v>
      </c>
      <c r="D94" s="61" t="s">
        <v>2100</v>
      </c>
      <c r="E94" s="13" t="s">
        <v>155</v>
      </c>
      <c r="F94" s="13">
        <v>36</v>
      </c>
      <c r="G94" s="13">
        <v>32.71</v>
      </c>
      <c r="H94" s="13">
        <f t="shared" si="1"/>
        <v>3.2899999999999991</v>
      </c>
    </row>
    <row r="95" spans="1:8">
      <c r="A95" t="s">
        <v>2056</v>
      </c>
      <c r="B95" t="s">
        <v>1362</v>
      </c>
      <c r="C95" t="s">
        <v>2055</v>
      </c>
      <c r="D95" s="61" t="s">
        <v>2100</v>
      </c>
      <c r="E95" s="13" t="s">
        <v>1828</v>
      </c>
      <c r="F95" s="13">
        <v>120</v>
      </c>
      <c r="G95" s="13">
        <v>109.14</v>
      </c>
      <c r="H95" s="13">
        <f t="shared" si="1"/>
        <v>10.86</v>
      </c>
    </row>
    <row r="96" spans="1:8">
      <c r="A96" t="s">
        <v>2056</v>
      </c>
      <c r="B96" t="s">
        <v>1362</v>
      </c>
      <c r="C96" t="s">
        <v>2055</v>
      </c>
      <c r="D96" s="61" t="s">
        <v>2100</v>
      </c>
      <c r="E96" s="13" t="s">
        <v>1829</v>
      </c>
      <c r="F96" s="13">
        <v>22</v>
      </c>
      <c r="G96" s="13">
        <v>20.010000000000002</v>
      </c>
      <c r="H96" s="13">
        <f t="shared" si="1"/>
        <v>1.9899999999999984</v>
      </c>
    </row>
    <row r="97" spans="1:8">
      <c r="A97" t="s">
        <v>1374</v>
      </c>
      <c r="B97" t="s">
        <v>1362</v>
      </c>
      <c r="C97" t="s">
        <v>1373</v>
      </c>
      <c r="D97" s="61" t="s">
        <v>2100</v>
      </c>
      <c r="E97" s="13" t="s">
        <v>155</v>
      </c>
      <c r="F97" s="13">
        <v>2991</v>
      </c>
      <c r="G97" s="13">
        <v>2720.3145</v>
      </c>
      <c r="H97" s="13">
        <f t="shared" si="1"/>
        <v>270.68550000000005</v>
      </c>
    </row>
    <row r="98" spans="1:8">
      <c r="A98" t="s">
        <v>1374</v>
      </c>
      <c r="B98" t="s">
        <v>1362</v>
      </c>
      <c r="C98" t="s">
        <v>1373</v>
      </c>
      <c r="D98" s="61" t="s">
        <v>2100</v>
      </c>
      <c r="E98" s="13" t="s">
        <v>1828</v>
      </c>
      <c r="F98" s="13">
        <v>7478</v>
      </c>
      <c r="G98" s="13">
        <v>6801.241</v>
      </c>
      <c r="H98" s="13">
        <f t="shared" si="1"/>
        <v>676.75900000000001</v>
      </c>
    </row>
    <row r="99" spans="1:8">
      <c r="A99" t="s">
        <v>1374</v>
      </c>
      <c r="B99" t="s">
        <v>1362</v>
      </c>
      <c r="C99" t="s">
        <v>1373</v>
      </c>
      <c r="D99" s="61" t="s">
        <v>2100</v>
      </c>
      <c r="E99" s="13" t="s">
        <v>1829</v>
      </c>
      <c r="F99" s="13">
        <v>1869</v>
      </c>
      <c r="G99" s="13">
        <v>1699.8555000000001</v>
      </c>
      <c r="H99" s="13">
        <f t="shared" si="1"/>
        <v>169.14449999999988</v>
      </c>
    </row>
    <row r="100" spans="1:8">
      <c r="A100" t="s">
        <v>2057</v>
      </c>
      <c r="B100" t="s">
        <v>1359</v>
      </c>
      <c r="C100" t="s">
        <v>2058</v>
      </c>
      <c r="D100" s="61" t="s">
        <v>2100</v>
      </c>
      <c r="E100" s="13" t="s">
        <v>155</v>
      </c>
      <c r="F100" s="13">
        <v>26</v>
      </c>
      <c r="G100" s="13">
        <v>23.65</v>
      </c>
      <c r="H100" s="13">
        <f t="shared" si="1"/>
        <v>2.3500000000000014</v>
      </c>
    </row>
    <row r="101" spans="1:8">
      <c r="A101" t="s">
        <v>2057</v>
      </c>
      <c r="B101" t="s">
        <v>1359</v>
      </c>
      <c r="C101" t="s">
        <v>2058</v>
      </c>
      <c r="D101" s="61" t="s">
        <v>2100</v>
      </c>
      <c r="E101" s="13" t="s">
        <v>1828</v>
      </c>
      <c r="F101" s="13">
        <v>106</v>
      </c>
      <c r="G101" s="13">
        <v>96.41</v>
      </c>
      <c r="H101" s="13">
        <f t="shared" si="1"/>
        <v>9.5900000000000034</v>
      </c>
    </row>
    <row r="102" spans="1:8">
      <c r="A102" t="s">
        <v>2057</v>
      </c>
      <c r="B102" t="s">
        <v>1359</v>
      </c>
      <c r="C102" t="s">
        <v>2058</v>
      </c>
      <c r="D102" s="61" t="s">
        <v>2100</v>
      </c>
      <c r="E102" s="13" t="s">
        <v>1829</v>
      </c>
      <c r="F102" s="13">
        <v>26</v>
      </c>
      <c r="G102" s="13">
        <v>23.65</v>
      </c>
      <c r="H102" s="13">
        <f t="shared" si="1"/>
        <v>2.3500000000000014</v>
      </c>
    </row>
    <row r="103" spans="1:8">
      <c r="A103" t="s">
        <v>2057</v>
      </c>
      <c r="B103" t="s">
        <v>1362</v>
      </c>
      <c r="C103" t="s">
        <v>2059</v>
      </c>
      <c r="D103" s="61" t="s">
        <v>2100</v>
      </c>
      <c r="E103" s="13" t="s">
        <v>155</v>
      </c>
      <c r="F103" s="13">
        <v>27</v>
      </c>
      <c r="G103" s="13">
        <v>24.56</v>
      </c>
      <c r="H103" s="13">
        <f t="shared" si="1"/>
        <v>2.4400000000000013</v>
      </c>
    </row>
    <row r="104" spans="1:8">
      <c r="A104" t="s">
        <v>2057</v>
      </c>
      <c r="B104" t="s">
        <v>1362</v>
      </c>
      <c r="C104" t="s">
        <v>2059</v>
      </c>
      <c r="D104" s="61" t="s">
        <v>2100</v>
      </c>
      <c r="E104" s="13" t="s">
        <v>1828</v>
      </c>
      <c r="F104" s="13">
        <v>135</v>
      </c>
      <c r="G104" s="13">
        <v>122.78</v>
      </c>
      <c r="H104" s="13">
        <f t="shared" si="1"/>
        <v>12.219999999999999</v>
      </c>
    </row>
    <row r="105" spans="1:8">
      <c r="A105" t="s">
        <v>2057</v>
      </c>
      <c r="B105" s="60" t="s">
        <v>1362</v>
      </c>
      <c r="C105" t="s">
        <v>2059</v>
      </c>
      <c r="D105" s="61" t="s">
        <v>2100</v>
      </c>
      <c r="E105" s="13" t="s">
        <v>1829</v>
      </c>
      <c r="F105" s="13">
        <v>27</v>
      </c>
      <c r="G105" s="13">
        <v>24.56</v>
      </c>
      <c r="H105" s="13">
        <f t="shared" si="1"/>
        <v>2.4400000000000013</v>
      </c>
    </row>
    <row r="106" spans="1:8">
      <c r="A106" t="s">
        <v>2031</v>
      </c>
      <c r="B106" t="s">
        <v>1362</v>
      </c>
      <c r="C106" t="s">
        <v>2024</v>
      </c>
      <c r="D106" s="61" t="s">
        <v>2100</v>
      </c>
      <c r="E106" s="13" t="s">
        <v>155</v>
      </c>
      <c r="F106" s="13">
        <v>1604</v>
      </c>
      <c r="G106" s="13">
        <v>1458.8380000000002</v>
      </c>
      <c r="H106" s="13">
        <f t="shared" si="1"/>
        <v>145.16199999999981</v>
      </c>
    </row>
    <row r="107" spans="1:8">
      <c r="A107" t="s">
        <v>2031</v>
      </c>
      <c r="B107" t="s">
        <v>1362</v>
      </c>
      <c r="C107" t="s">
        <v>2024</v>
      </c>
      <c r="D107" s="61" t="s">
        <v>2100</v>
      </c>
      <c r="E107" s="13" t="s">
        <v>1828</v>
      </c>
      <c r="F107" s="13">
        <v>4011</v>
      </c>
      <c r="G107" s="13">
        <v>3409.35</v>
      </c>
      <c r="H107" s="13">
        <f t="shared" si="1"/>
        <v>601.65000000000009</v>
      </c>
    </row>
    <row r="108" spans="1:8">
      <c r="A108" t="s">
        <v>2031</v>
      </c>
      <c r="B108" t="s">
        <v>1362</v>
      </c>
      <c r="C108" t="s">
        <v>2024</v>
      </c>
      <c r="D108" s="61" t="s">
        <v>2100</v>
      </c>
      <c r="E108" s="13" t="s">
        <v>1829</v>
      </c>
      <c r="F108" s="13">
        <v>1002</v>
      </c>
      <c r="G108" s="13">
        <v>851.7</v>
      </c>
      <c r="H108" s="13">
        <f t="shared" si="1"/>
        <v>150.29999999999995</v>
      </c>
    </row>
    <row r="109" spans="1:8">
      <c r="A109" t="s">
        <v>2032</v>
      </c>
      <c r="B109" t="s">
        <v>1359</v>
      </c>
      <c r="C109" t="s">
        <v>2025</v>
      </c>
      <c r="D109" s="61" t="s">
        <v>2100</v>
      </c>
      <c r="E109" s="13" t="s">
        <v>155</v>
      </c>
      <c r="F109" s="13">
        <v>48</v>
      </c>
      <c r="G109" s="13">
        <v>40.799999999999997</v>
      </c>
      <c r="H109" s="13">
        <f t="shared" si="1"/>
        <v>7.2000000000000028</v>
      </c>
    </row>
    <row r="110" spans="1:8">
      <c r="A110" t="s">
        <v>2032</v>
      </c>
      <c r="B110" t="s">
        <v>1359</v>
      </c>
      <c r="C110" t="s">
        <v>2025</v>
      </c>
      <c r="D110" s="61" t="s">
        <v>2100</v>
      </c>
      <c r="E110" s="13" t="s">
        <v>1828</v>
      </c>
      <c r="F110" s="13">
        <v>120</v>
      </c>
      <c r="G110" s="13">
        <v>102</v>
      </c>
      <c r="H110" s="13">
        <f t="shared" si="1"/>
        <v>18</v>
      </c>
    </row>
    <row r="111" spans="1:8">
      <c r="A111" t="s">
        <v>2032</v>
      </c>
      <c r="B111" t="s">
        <v>1359</v>
      </c>
      <c r="C111" t="s">
        <v>2025</v>
      </c>
      <c r="D111" s="61" t="s">
        <v>2100</v>
      </c>
      <c r="E111" s="13" t="s">
        <v>1829</v>
      </c>
      <c r="F111" s="13">
        <v>30</v>
      </c>
      <c r="G111" s="13">
        <v>25.5</v>
      </c>
      <c r="H111" s="13">
        <f t="shared" si="1"/>
        <v>4.5</v>
      </c>
    </row>
    <row r="112" spans="1:8">
      <c r="A112" t="s">
        <v>2032</v>
      </c>
      <c r="B112" t="s">
        <v>1362</v>
      </c>
      <c r="C112" t="s">
        <v>2026</v>
      </c>
      <c r="D112" s="61" t="s">
        <v>2100</v>
      </c>
      <c r="E112" s="13" t="s">
        <v>155</v>
      </c>
      <c r="F112" s="13">
        <v>46</v>
      </c>
      <c r="G112" s="13">
        <v>39.1</v>
      </c>
      <c r="H112" s="13">
        <f t="shared" si="1"/>
        <v>6.8999999999999986</v>
      </c>
    </row>
    <row r="113" spans="1:8">
      <c r="A113" t="s">
        <v>2032</v>
      </c>
      <c r="B113" t="s">
        <v>1362</v>
      </c>
      <c r="C113" t="s">
        <v>2026</v>
      </c>
      <c r="D113" s="61" t="s">
        <v>2100</v>
      </c>
      <c r="E113" s="13" t="s">
        <v>1828</v>
      </c>
      <c r="F113" s="13">
        <v>155</v>
      </c>
      <c r="G113" s="13">
        <v>131.75</v>
      </c>
      <c r="H113" s="13">
        <f t="shared" si="1"/>
        <v>23.25</v>
      </c>
    </row>
    <row r="114" spans="1:8">
      <c r="A114" t="s">
        <v>2032</v>
      </c>
      <c r="B114" t="s">
        <v>1362</v>
      </c>
      <c r="C114" t="s">
        <v>2026</v>
      </c>
      <c r="D114" s="61" t="s">
        <v>2100</v>
      </c>
      <c r="E114" s="13" t="s">
        <v>1829</v>
      </c>
      <c r="F114" s="13">
        <v>29</v>
      </c>
      <c r="G114" s="13">
        <v>24.65</v>
      </c>
      <c r="H114" s="13">
        <f t="shared" si="1"/>
        <v>4.3500000000000014</v>
      </c>
    </row>
    <row r="115" spans="1:8">
      <c r="A115" t="s">
        <v>2033</v>
      </c>
      <c r="B115" t="s">
        <v>1359</v>
      </c>
      <c r="C115" t="s">
        <v>2027</v>
      </c>
      <c r="D115" s="61" t="s">
        <v>2100</v>
      </c>
      <c r="E115" s="13" t="s">
        <v>155</v>
      </c>
      <c r="F115" s="13">
        <v>30</v>
      </c>
      <c r="G115" s="13">
        <v>25.5</v>
      </c>
      <c r="H115" s="13">
        <f t="shared" si="1"/>
        <v>4.5</v>
      </c>
    </row>
    <row r="116" spans="1:8">
      <c r="A116" t="s">
        <v>2033</v>
      </c>
      <c r="B116" t="s">
        <v>1359</v>
      </c>
      <c r="C116" t="s">
        <v>2027</v>
      </c>
      <c r="D116" s="61" t="s">
        <v>2100</v>
      </c>
      <c r="E116" s="13" t="s">
        <v>1828</v>
      </c>
      <c r="F116" s="13">
        <v>120</v>
      </c>
      <c r="G116" s="13">
        <v>102</v>
      </c>
      <c r="H116" s="13">
        <f t="shared" si="1"/>
        <v>18</v>
      </c>
    </row>
    <row r="117" spans="1:8">
      <c r="A117" t="s">
        <v>2033</v>
      </c>
      <c r="B117" t="s">
        <v>1359</v>
      </c>
      <c r="C117" t="s">
        <v>2027</v>
      </c>
      <c r="D117" s="61" t="s">
        <v>2100</v>
      </c>
      <c r="E117" s="13" t="s">
        <v>1829</v>
      </c>
      <c r="F117" s="13">
        <v>30</v>
      </c>
      <c r="G117" s="13">
        <v>25.5</v>
      </c>
      <c r="H117" s="13">
        <f t="shared" si="1"/>
        <v>4.5</v>
      </c>
    </row>
    <row r="118" spans="1:8">
      <c r="A118" t="s">
        <v>2033</v>
      </c>
      <c r="B118" t="s">
        <v>1362</v>
      </c>
      <c r="C118" t="s">
        <v>2028</v>
      </c>
      <c r="D118" s="61" t="s">
        <v>2100</v>
      </c>
      <c r="E118" s="13" t="s">
        <v>155</v>
      </c>
      <c r="F118" s="13">
        <v>29</v>
      </c>
      <c r="G118" s="13">
        <v>24.65</v>
      </c>
      <c r="H118" s="13">
        <f t="shared" si="1"/>
        <v>4.3500000000000014</v>
      </c>
    </row>
    <row r="119" spans="1:8">
      <c r="A119" t="s">
        <v>2033</v>
      </c>
      <c r="B119" t="s">
        <v>1362</v>
      </c>
      <c r="C119" t="s">
        <v>2028</v>
      </c>
      <c r="D119" s="61" t="s">
        <v>2100</v>
      </c>
      <c r="E119" s="13" t="s">
        <v>1828</v>
      </c>
      <c r="F119" s="13">
        <v>155</v>
      </c>
      <c r="G119" s="13">
        <v>131.75</v>
      </c>
      <c r="H119" s="13">
        <f t="shared" si="1"/>
        <v>23.25</v>
      </c>
    </row>
    <row r="120" spans="1:8">
      <c r="A120" t="s">
        <v>2033</v>
      </c>
      <c r="B120" t="s">
        <v>1362</v>
      </c>
      <c r="C120" t="s">
        <v>2028</v>
      </c>
      <c r="D120" s="61" t="s">
        <v>2100</v>
      </c>
      <c r="E120" s="13" t="s">
        <v>1829</v>
      </c>
      <c r="F120" s="13">
        <v>29</v>
      </c>
      <c r="G120" s="13">
        <v>24.65</v>
      </c>
      <c r="H120" s="13">
        <f t="shared" si="1"/>
        <v>4.3500000000000014</v>
      </c>
    </row>
    <row r="121" spans="1:8">
      <c r="A121" t="s">
        <v>2034</v>
      </c>
      <c r="B121" t="s">
        <v>1359</v>
      </c>
      <c r="C121" t="s">
        <v>2029</v>
      </c>
      <c r="D121" s="61" t="s">
        <v>2100</v>
      </c>
      <c r="E121" s="13" t="s">
        <v>155</v>
      </c>
      <c r="F121" s="13">
        <v>9</v>
      </c>
      <c r="G121" s="13">
        <v>7.65</v>
      </c>
      <c r="H121" s="13">
        <f t="shared" si="1"/>
        <v>1.3499999999999996</v>
      </c>
    </row>
    <row r="122" spans="1:8">
      <c r="A122" t="s">
        <v>2034</v>
      </c>
      <c r="B122" t="s">
        <v>1359</v>
      </c>
      <c r="C122" t="s">
        <v>2029</v>
      </c>
      <c r="D122" s="61" t="s">
        <v>2100</v>
      </c>
      <c r="E122" s="13" t="s">
        <v>1828</v>
      </c>
      <c r="F122" s="13">
        <v>36</v>
      </c>
      <c r="G122" s="13">
        <v>30.6</v>
      </c>
      <c r="H122" s="13">
        <f t="shared" si="1"/>
        <v>5.3999999999999986</v>
      </c>
    </row>
    <row r="123" spans="1:8">
      <c r="A123" t="s">
        <v>2034</v>
      </c>
      <c r="B123" t="s">
        <v>1359</v>
      </c>
      <c r="C123" t="s">
        <v>2029</v>
      </c>
      <c r="D123" s="61" t="s">
        <v>2100</v>
      </c>
      <c r="E123" s="13" t="s">
        <v>1829</v>
      </c>
      <c r="F123" s="13">
        <v>9</v>
      </c>
      <c r="G123" s="13">
        <v>7.65</v>
      </c>
      <c r="H123" s="13">
        <f t="shared" si="1"/>
        <v>1.3499999999999996</v>
      </c>
    </row>
    <row r="124" spans="1:8">
      <c r="A124" t="s">
        <v>2034</v>
      </c>
      <c r="B124" t="s">
        <v>1362</v>
      </c>
      <c r="C124" t="s">
        <v>2030</v>
      </c>
      <c r="D124" s="61" t="s">
        <v>2100</v>
      </c>
      <c r="E124" s="13" t="s">
        <v>155</v>
      </c>
      <c r="F124" s="13">
        <v>8</v>
      </c>
      <c r="G124" s="13">
        <v>6.8</v>
      </c>
      <c r="H124" s="13">
        <f t="shared" si="1"/>
        <v>1.2000000000000002</v>
      </c>
    </row>
    <row r="125" spans="1:8">
      <c r="A125" t="s">
        <v>2034</v>
      </c>
      <c r="B125" t="s">
        <v>1362</v>
      </c>
      <c r="C125" t="s">
        <v>2030</v>
      </c>
      <c r="D125" s="61" t="s">
        <v>2100</v>
      </c>
      <c r="E125" s="13" t="s">
        <v>1828</v>
      </c>
      <c r="F125" s="13">
        <v>46</v>
      </c>
      <c r="G125" s="13">
        <v>39.1</v>
      </c>
      <c r="H125" s="13">
        <f t="shared" si="1"/>
        <v>6.8999999999999986</v>
      </c>
    </row>
    <row r="126" spans="1:8">
      <c r="A126" t="s">
        <v>2034</v>
      </c>
      <c r="B126" t="s">
        <v>1362</v>
      </c>
      <c r="C126" t="s">
        <v>2030</v>
      </c>
      <c r="D126" s="61" t="s">
        <v>2100</v>
      </c>
      <c r="E126" s="13" t="s">
        <v>1829</v>
      </c>
      <c r="F126" s="13">
        <v>8</v>
      </c>
      <c r="G126" s="13">
        <v>6.8</v>
      </c>
      <c r="H126" s="13">
        <f t="shared" si="1"/>
        <v>1.2000000000000002</v>
      </c>
    </row>
    <row r="127" spans="1:8">
      <c r="A127" t="s">
        <v>1375</v>
      </c>
      <c r="B127" t="s">
        <v>1362</v>
      </c>
      <c r="C127" t="s">
        <v>2403</v>
      </c>
      <c r="D127" s="61" t="s">
        <v>2100</v>
      </c>
      <c r="E127" s="13" t="s">
        <v>1828</v>
      </c>
      <c r="F127" s="13">
        <v>229</v>
      </c>
      <c r="G127" s="13">
        <v>210.22</v>
      </c>
      <c r="H127" s="13">
        <f t="shared" si="1"/>
        <v>18.78</v>
      </c>
    </row>
    <row r="128" spans="1:8">
      <c r="A128" t="s">
        <v>1375</v>
      </c>
      <c r="B128" t="s">
        <v>1362</v>
      </c>
      <c r="C128" t="s">
        <v>2404</v>
      </c>
      <c r="D128" s="61" t="s">
        <v>2100</v>
      </c>
      <c r="E128" s="13" t="s">
        <v>1828</v>
      </c>
      <c r="F128" s="13">
        <v>229</v>
      </c>
      <c r="G128" s="13">
        <v>210.22</v>
      </c>
      <c r="H128" s="13">
        <f t="shared" si="1"/>
        <v>18.78</v>
      </c>
    </row>
    <row r="129" spans="1:8">
      <c r="A129" t="s">
        <v>1375</v>
      </c>
      <c r="B129" t="s">
        <v>1362</v>
      </c>
      <c r="C129" t="s">
        <v>2403</v>
      </c>
      <c r="D129" s="61" t="s">
        <v>2100</v>
      </c>
      <c r="E129" s="13" t="s">
        <v>2109</v>
      </c>
      <c r="F129" s="13">
        <v>57</v>
      </c>
      <c r="G129" s="13">
        <v>52.33</v>
      </c>
      <c r="H129" s="13">
        <f t="shared" si="1"/>
        <v>4.6700000000000017</v>
      </c>
    </row>
    <row r="130" spans="1:8">
      <c r="A130" t="s">
        <v>1375</v>
      </c>
      <c r="B130" t="s">
        <v>1359</v>
      </c>
      <c r="C130" t="s">
        <v>2404</v>
      </c>
      <c r="D130" s="61" t="s">
        <v>2100</v>
      </c>
      <c r="E130" s="13" t="s">
        <v>2109</v>
      </c>
      <c r="F130" s="13">
        <v>57</v>
      </c>
      <c r="G130" s="13">
        <v>52.33</v>
      </c>
      <c r="H130" s="13">
        <f t="shared" si="1"/>
        <v>4.6700000000000017</v>
      </c>
    </row>
    <row r="131" spans="1:8">
      <c r="A131" t="s">
        <v>1375</v>
      </c>
      <c r="B131" t="s">
        <v>1359</v>
      </c>
      <c r="C131" t="s">
        <v>2403</v>
      </c>
      <c r="D131" s="61" t="s">
        <v>2100</v>
      </c>
      <c r="E131" s="13" t="s">
        <v>155</v>
      </c>
      <c r="F131" s="13">
        <v>91</v>
      </c>
      <c r="G131" s="13">
        <v>83.54</v>
      </c>
      <c r="H131" s="13">
        <f t="shared" si="1"/>
        <v>7.4599999999999937</v>
      </c>
    </row>
    <row r="132" spans="1:8">
      <c r="A132" t="s">
        <v>1375</v>
      </c>
      <c r="B132" t="s">
        <v>1359</v>
      </c>
      <c r="C132" t="s">
        <v>2404</v>
      </c>
      <c r="D132" s="61" t="s">
        <v>2100</v>
      </c>
      <c r="E132" s="13" t="s">
        <v>155</v>
      </c>
      <c r="F132" s="13">
        <v>91</v>
      </c>
      <c r="G132" s="13">
        <v>83.54</v>
      </c>
      <c r="H132" s="13">
        <f t="shared" si="1"/>
        <v>7.4599999999999937</v>
      </c>
    </row>
    <row r="133" spans="1:8">
      <c r="A133" t="s">
        <v>1376</v>
      </c>
      <c r="B133" t="s">
        <v>1365</v>
      </c>
      <c r="C133" t="s">
        <v>2405</v>
      </c>
      <c r="D133" s="61" t="s">
        <v>2100</v>
      </c>
      <c r="E133" t="s">
        <v>1828</v>
      </c>
      <c r="F133" s="13">
        <v>15122</v>
      </c>
      <c r="G133" s="13">
        <v>13881.996000000001</v>
      </c>
      <c r="H133" s="13">
        <f t="shared" si="1"/>
        <v>1240.003999999999</v>
      </c>
    </row>
    <row r="134" spans="1:8">
      <c r="A134" t="s">
        <v>1376</v>
      </c>
      <c r="B134" t="s">
        <v>1365</v>
      </c>
      <c r="C134" t="s">
        <v>2405</v>
      </c>
      <c r="D134" s="61" t="s">
        <v>2100</v>
      </c>
      <c r="E134" t="s">
        <v>2109</v>
      </c>
      <c r="F134" s="13">
        <v>3780</v>
      </c>
      <c r="G134" s="13">
        <v>3470.04</v>
      </c>
      <c r="H134" s="13">
        <f t="shared" si="1"/>
        <v>309.96000000000004</v>
      </c>
    </row>
    <row r="135" spans="1:8">
      <c r="A135" t="s">
        <v>1376</v>
      </c>
      <c r="B135" t="s">
        <v>1365</v>
      </c>
      <c r="C135" t="s">
        <v>2405</v>
      </c>
      <c r="D135" s="61" t="s">
        <v>2100</v>
      </c>
      <c r="E135" t="s">
        <v>155</v>
      </c>
      <c r="F135" s="13">
        <v>6049</v>
      </c>
      <c r="G135" s="13">
        <v>5552.982</v>
      </c>
      <c r="H135" s="13">
        <f t="shared" si="1"/>
        <v>496.01800000000003</v>
      </c>
    </row>
    <row r="136" spans="1:8">
      <c r="A136" t="s">
        <v>1378</v>
      </c>
      <c r="B136" t="s">
        <v>1359</v>
      </c>
      <c r="C136" t="s">
        <v>2391</v>
      </c>
      <c r="D136" s="61" t="s">
        <v>2100</v>
      </c>
      <c r="E136" t="s">
        <v>1828</v>
      </c>
      <c r="F136" s="13">
        <v>987</v>
      </c>
      <c r="G136" s="13">
        <v>906.06600000000003</v>
      </c>
      <c r="H136" s="13">
        <f t="shared" si="1"/>
        <v>80.933999999999969</v>
      </c>
    </row>
    <row r="137" spans="1:8">
      <c r="A137" t="s">
        <v>1378</v>
      </c>
      <c r="B137" t="s">
        <v>1359</v>
      </c>
      <c r="C137" t="s">
        <v>2391</v>
      </c>
      <c r="D137" s="61" t="s">
        <v>2100</v>
      </c>
      <c r="E137" t="s">
        <v>2109</v>
      </c>
      <c r="F137" s="13">
        <v>246</v>
      </c>
      <c r="G137" s="13">
        <v>225.828</v>
      </c>
      <c r="H137" s="13">
        <f t="shared" si="1"/>
        <v>20.171999999999997</v>
      </c>
    </row>
    <row r="138" spans="1:8">
      <c r="A138" t="s">
        <v>1378</v>
      </c>
      <c r="B138" t="s">
        <v>1359</v>
      </c>
      <c r="C138" t="s">
        <v>2391</v>
      </c>
      <c r="D138" s="61" t="s">
        <v>2100</v>
      </c>
      <c r="E138" t="s">
        <v>155</v>
      </c>
      <c r="F138" s="13">
        <v>395</v>
      </c>
      <c r="G138" s="13">
        <v>362.61</v>
      </c>
      <c r="H138" s="13">
        <f t="shared" si="1"/>
        <v>32.389999999999986</v>
      </c>
    </row>
    <row r="139" spans="1:8">
      <c r="A139" t="s">
        <v>1377</v>
      </c>
      <c r="B139" t="s">
        <v>1362</v>
      </c>
      <c r="C139" t="s">
        <v>2406</v>
      </c>
      <c r="D139" s="61" t="s">
        <v>2100</v>
      </c>
      <c r="E139" t="s">
        <v>1828</v>
      </c>
      <c r="F139" s="13">
        <v>3944</v>
      </c>
      <c r="G139" s="13">
        <v>3620.5920000000001</v>
      </c>
      <c r="H139" s="13">
        <f t="shared" ref="H139:H202" si="2">F139-G139</f>
        <v>323.4079999999999</v>
      </c>
    </row>
    <row r="140" spans="1:8">
      <c r="A140" t="s">
        <v>1377</v>
      </c>
      <c r="B140" t="s">
        <v>1362</v>
      </c>
      <c r="C140" t="s">
        <v>2406</v>
      </c>
      <c r="D140" s="61" t="s">
        <v>2100</v>
      </c>
      <c r="E140" t="s">
        <v>2109</v>
      </c>
      <c r="F140" s="13">
        <v>986</v>
      </c>
      <c r="G140" s="13">
        <v>905.14800000000002</v>
      </c>
      <c r="H140" s="13">
        <f t="shared" si="2"/>
        <v>80.851999999999975</v>
      </c>
    </row>
    <row r="141" spans="1:8">
      <c r="A141" t="s">
        <v>1377</v>
      </c>
      <c r="B141" t="s">
        <v>1362</v>
      </c>
      <c r="C141" t="s">
        <v>2406</v>
      </c>
      <c r="D141" s="61" t="s">
        <v>2100</v>
      </c>
      <c r="E141" t="s">
        <v>155</v>
      </c>
      <c r="F141" s="13">
        <v>1577</v>
      </c>
      <c r="G141" s="13">
        <v>1447.6860000000001</v>
      </c>
      <c r="H141" s="13">
        <f t="shared" si="2"/>
        <v>129.31399999999985</v>
      </c>
    </row>
    <row r="142" spans="1:8">
      <c r="A142" t="s">
        <v>1885</v>
      </c>
      <c r="B142" t="s">
        <v>1362</v>
      </c>
      <c r="C142" t="s">
        <v>1869</v>
      </c>
      <c r="D142" s="61" t="s">
        <v>2100</v>
      </c>
      <c r="E142" s="13" t="s">
        <v>155</v>
      </c>
      <c r="F142" s="13">
        <v>232</v>
      </c>
      <c r="G142" s="13">
        <v>211</v>
      </c>
      <c r="H142" s="13">
        <f t="shared" si="2"/>
        <v>21</v>
      </c>
    </row>
    <row r="143" spans="1:8">
      <c r="A143" t="s">
        <v>1885</v>
      </c>
      <c r="B143" t="s">
        <v>1362</v>
      </c>
      <c r="C143" t="s">
        <v>1869</v>
      </c>
      <c r="D143" s="61" t="s">
        <v>2100</v>
      </c>
      <c r="E143" s="13" t="s">
        <v>1828</v>
      </c>
      <c r="F143" s="13">
        <v>580</v>
      </c>
      <c r="G143" s="13">
        <v>527.51</v>
      </c>
      <c r="H143" s="13">
        <f t="shared" si="2"/>
        <v>52.490000000000009</v>
      </c>
    </row>
    <row r="144" spans="1:8">
      <c r="A144" t="s">
        <v>1885</v>
      </c>
      <c r="B144" t="s">
        <v>1362</v>
      </c>
      <c r="C144" t="s">
        <v>1869</v>
      </c>
      <c r="D144" s="61" t="s">
        <v>2100</v>
      </c>
      <c r="E144" s="13" t="s">
        <v>1829</v>
      </c>
      <c r="F144" s="13">
        <v>87</v>
      </c>
      <c r="G144" s="13">
        <v>79.13</v>
      </c>
      <c r="H144" s="13">
        <f t="shared" si="2"/>
        <v>7.8700000000000045</v>
      </c>
    </row>
    <row r="145" spans="1:8">
      <c r="A145" t="s">
        <v>1886</v>
      </c>
      <c r="B145" t="s">
        <v>1362</v>
      </c>
      <c r="C145" t="s">
        <v>1870</v>
      </c>
      <c r="D145" s="61" t="s">
        <v>2100</v>
      </c>
      <c r="E145" s="13" t="s">
        <v>155</v>
      </c>
      <c r="F145" s="13">
        <v>124</v>
      </c>
      <c r="G145" s="13">
        <v>112.78</v>
      </c>
      <c r="H145" s="13">
        <f t="shared" si="2"/>
        <v>11.219999999999999</v>
      </c>
    </row>
    <row r="146" spans="1:8">
      <c r="A146" t="s">
        <v>1886</v>
      </c>
      <c r="B146" t="s">
        <v>1362</v>
      </c>
      <c r="C146" t="s">
        <v>1870</v>
      </c>
      <c r="D146" s="61" t="s">
        <v>2100</v>
      </c>
      <c r="E146" s="13" t="s">
        <v>1828</v>
      </c>
      <c r="F146" s="13">
        <v>310</v>
      </c>
      <c r="G146" s="13">
        <v>281.95</v>
      </c>
      <c r="H146" s="13">
        <f t="shared" si="2"/>
        <v>28.050000000000011</v>
      </c>
    </row>
    <row r="147" spans="1:8">
      <c r="A147" t="s">
        <v>1886</v>
      </c>
      <c r="B147" t="s">
        <v>1362</v>
      </c>
      <c r="C147" t="s">
        <v>1870</v>
      </c>
      <c r="D147" s="61" t="s">
        <v>2100</v>
      </c>
      <c r="E147" s="13" t="s">
        <v>1829</v>
      </c>
      <c r="F147" s="13">
        <v>46</v>
      </c>
      <c r="G147" s="13">
        <v>41.84</v>
      </c>
      <c r="H147" s="13">
        <f t="shared" si="2"/>
        <v>4.1599999999999966</v>
      </c>
    </row>
    <row r="148" spans="1:8">
      <c r="A148" t="s">
        <v>1830</v>
      </c>
      <c r="B148" t="s">
        <v>1384</v>
      </c>
      <c r="C148" t="s">
        <v>2035</v>
      </c>
      <c r="D148" s="61" t="s">
        <v>2100</v>
      </c>
      <c r="E148" s="13" t="s">
        <v>155</v>
      </c>
      <c r="F148" s="13">
        <v>199</v>
      </c>
      <c r="G148" s="13">
        <v>180.9905</v>
      </c>
      <c r="H148" s="13">
        <f t="shared" si="2"/>
        <v>18.009500000000003</v>
      </c>
    </row>
    <row r="149" spans="1:8">
      <c r="A149" t="s">
        <v>1830</v>
      </c>
      <c r="B149" t="s">
        <v>1384</v>
      </c>
      <c r="C149" t="s">
        <v>2035</v>
      </c>
      <c r="D149" s="61" t="s">
        <v>2100</v>
      </c>
      <c r="E149" s="13" t="s">
        <v>1828</v>
      </c>
      <c r="F149" s="13">
        <v>499</v>
      </c>
      <c r="G149" s="13">
        <v>452.93100000000004</v>
      </c>
      <c r="H149" s="13">
        <f t="shared" si="2"/>
        <v>46.06899999999996</v>
      </c>
    </row>
    <row r="150" spans="1:8">
      <c r="A150" t="s">
        <v>1830</v>
      </c>
      <c r="B150" t="s">
        <v>1384</v>
      </c>
      <c r="C150" t="s">
        <v>2035</v>
      </c>
      <c r="D150" s="61" t="s">
        <v>2100</v>
      </c>
      <c r="E150" s="13" t="s">
        <v>1829</v>
      </c>
      <c r="F150" s="13">
        <v>74</v>
      </c>
      <c r="G150" s="13">
        <v>67.302999999999997</v>
      </c>
      <c r="H150" s="13">
        <f t="shared" si="2"/>
        <v>6.6970000000000027</v>
      </c>
    </row>
    <row r="151" spans="1:8">
      <c r="A151" t="s">
        <v>2438</v>
      </c>
      <c r="C151" t="s">
        <v>2436</v>
      </c>
      <c r="D151" t="s">
        <v>2100</v>
      </c>
      <c r="E151" t="s">
        <v>1828</v>
      </c>
      <c r="F151" s="13">
        <v>295</v>
      </c>
      <c r="G151" s="13">
        <v>270.81</v>
      </c>
      <c r="H151" s="13">
        <f t="shared" si="2"/>
        <v>24.189999999999998</v>
      </c>
    </row>
    <row r="152" spans="1:8">
      <c r="A152" t="s">
        <v>2438</v>
      </c>
      <c r="C152" t="s">
        <v>2436</v>
      </c>
      <c r="D152" t="s">
        <v>2100</v>
      </c>
      <c r="E152" t="s">
        <v>155</v>
      </c>
      <c r="F152" s="13">
        <v>73</v>
      </c>
      <c r="G152" s="13">
        <v>67.013999999999996</v>
      </c>
      <c r="H152" s="13">
        <f t="shared" si="2"/>
        <v>5.9860000000000042</v>
      </c>
    </row>
    <row r="153" spans="1:8">
      <c r="A153" t="s">
        <v>2439</v>
      </c>
      <c r="C153" t="s">
        <v>2437</v>
      </c>
      <c r="D153" t="s">
        <v>2100</v>
      </c>
      <c r="E153" t="s">
        <v>1828</v>
      </c>
      <c r="F153" s="13">
        <v>295</v>
      </c>
      <c r="G153" s="13">
        <v>270.81</v>
      </c>
      <c r="H153" s="13">
        <f t="shared" si="2"/>
        <v>24.189999999999998</v>
      </c>
    </row>
    <row r="154" spans="1:8">
      <c r="A154" t="s">
        <v>2439</v>
      </c>
      <c r="C154" t="s">
        <v>2437</v>
      </c>
      <c r="D154" t="s">
        <v>2100</v>
      </c>
      <c r="E154" t="s">
        <v>155</v>
      </c>
      <c r="F154" s="13">
        <v>73</v>
      </c>
      <c r="G154" s="13">
        <v>67.013999999999996</v>
      </c>
      <c r="H154" s="13">
        <f t="shared" si="2"/>
        <v>5.9860000000000042</v>
      </c>
    </row>
    <row r="155" spans="1:8">
      <c r="A155" t="s">
        <v>2501</v>
      </c>
      <c r="C155" t="s">
        <v>2500</v>
      </c>
      <c r="D155" t="s">
        <v>2100</v>
      </c>
      <c r="E155" t="s">
        <v>1828</v>
      </c>
      <c r="F155" s="13">
        <v>295</v>
      </c>
      <c r="G155" s="13">
        <v>268.3</v>
      </c>
      <c r="H155" s="13">
        <f t="shared" si="2"/>
        <v>26.699999999999989</v>
      </c>
    </row>
    <row r="156" spans="1:8">
      <c r="A156" t="s">
        <v>1379</v>
      </c>
      <c r="B156" t="s">
        <v>1380</v>
      </c>
      <c r="C156" t="s">
        <v>2407</v>
      </c>
      <c r="D156" s="61" t="s">
        <v>2100</v>
      </c>
      <c r="E156" t="s">
        <v>1828</v>
      </c>
      <c r="F156" s="13">
        <v>188</v>
      </c>
      <c r="G156" s="13">
        <v>172.584</v>
      </c>
      <c r="H156" s="13">
        <f t="shared" si="2"/>
        <v>15.415999999999997</v>
      </c>
    </row>
    <row r="157" spans="1:8">
      <c r="A157" t="s">
        <v>1379</v>
      </c>
      <c r="B157" t="s">
        <v>1380</v>
      </c>
      <c r="C157" t="s">
        <v>2408</v>
      </c>
      <c r="D157" s="61" t="s">
        <v>2100</v>
      </c>
      <c r="E157" t="s">
        <v>1828</v>
      </c>
      <c r="F157" s="13">
        <v>188</v>
      </c>
      <c r="G157" s="13">
        <v>172.584</v>
      </c>
      <c r="H157" s="13">
        <f t="shared" si="2"/>
        <v>15.415999999999997</v>
      </c>
    </row>
    <row r="158" spans="1:8">
      <c r="A158" t="s">
        <v>1381</v>
      </c>
      <c r="B158" t="s">
        <v>1380</v>
      </c>
      <c r="C158" t="s">
        <v>2409</v>
      </c>
      <c r="D158" s="61" t="s">
        <v>2100</v>
      </c>
      <c r="E158" t="s">
        <v>2109</v>
      </c>
      <c r="F158" s="13">
        <v>138</v>
      </c>
      <c r="G158" s="13">
        <v>119.232</v>
      </c>
      <c r="H158" s="13">
        <f t="shared" si="2"/>
        <v>18.768000000000001</v>
      </c>
    </row>
    <row r="159" spans="1:8">
      <c r="A159" t="s">
        <v>1381</v>
      </c>
      <c r="B159" t="s">
        <v>1380</v>
      </c>
      <c r="C159" t="s">
        <v>1985</v>
      </c>
      <c r="D159" s="61" t="s">
        <v>2100</v>
      </c>
      <c r="E159" t="s">
        <v>1828</v>
      </c>
      <c r="F159" s="13">
        <v>49</v>
      </c>
      <c r="G159" s="13">
        <v>44.98</v>
      </c>
      <c r="H159" s="13">
        <f t="shared" si="2"/>
        <v>4.0200000000000031</v>
      </c>
    </row>
    <row r="160" spans="1:8">
      <c r="A160" t="s">
        <v>1987</v>
      </c>
      <c r="B160">
        <v>4</v>
      </c>
      <c r="C160" t="s">
        <v>2105</v>
      </c>
      <c r="D160" s="61" t="s">
        <v>2100</v>
      </c>
      <c r="E160" s="13" t="s">
        <v>2109</v>
      </c>
      <c r="F160" s="13">
        <v>65</v>
      </c>
      <c r="G160" s="13">
        <v>59.1175</v>
      </c>
      <c r="H160" s="13">
        <f t="shared" si="2"/>
        <v>5.8825000000000003</v>
      </c>
    </row>
    <row r="161" spans="1:8">
      <c r="A161" t="s">
        <v>1987</v>
      </c>
      <c r="B161">
        <v>4</v>
      </c>
      <c r="C161" t="s">
        <v>2105</v>
      </c>
      <c r="D161" s="61" t="s">
        <v>2100</v>
      </c>
      <c r="E161" s="13" t="s">
        <v>1828</v>
      </c>
      <c r="F161" s="13">
        <v>187</v>
      </c>
      <c r="G161" s="13">
        <v>170.07649999999998</v>
      </c>
      <c r="H161" s="13">
        <f t="shared" si="2"/>
        <v>16.923500000000018</v>
      </c>
    </row>
    <row r="162" spans="1:8">
      <c r="A162" t="s">
        <v>1987</v>
      </c>
      <c r="B162">
        <v>3</v>
      </c>
      <c r="C162" t="s">
        <v>2106</v>
      </c>
      <c r="D162" s="61" t="s">
        <v>2100</v>
      </c>
      <c r="E162" s="13" t="s">
        <v>155</v>
      </c>
      <c r="F162" s="13">
        <v>49</v>
      </c>
      <c r="G162" s="13">
        <v>44.5655</v>
      </c>
      <c r="H162" s="13">
        <f t="shared" si="2"/>
        <v>4.4344999999999999</v>
      </c>
    </row>
    <row r="163" spans="1:8">
      <c r="A163" t="s">
        <v>1988</v>
      </c>
      <c r="B163">
        <v>4</v>
      </c>
      <c r="C163" t="s">
        <v>2107</v>
      </c>
      <c r="D163" s="61" t="s">
        <v>2100</v>
      </c>
      <c r="E163" s="13" t="s">
        <v>2109</v>
      </c>
      <c r="F163" s="13">
        <v>65</v>
      </c>
      <c r="G163" s="13">
        <v>59.1175</v>
      </c>
      <c r="H163" s="13">
        <f t="shared" si="2"/>
        <v>5.8825000000000003</v>
      </c>
    </row>
    <row r="164" spans="1:8">
      <c r="A164" t="s">
        <v>1988</v>
      </c>
      <c r="B164">
        <v>4</v>
      </c>
      <c r="C164" t="s">
        <v>2107</v>
      </c>
      <c r="D164" s="61" t="s">
        <v>2100</v>
      </c>
      <c r="E164" s="13" t="s">
        <v>1828</v>
      </c>
      <c r="F164" s="13">
        <v>186</v>
      </c>
      <c r="G164" s="13">
        <v>169.167</v>
      </c>
      <c r="H164" s="13">
        <f t="shared" si="2"/>
        <v>16.832999999999998</v>
      </c>
    </row>
    <row r="165" spans="1:8">
      <c r="A165" t="s">
        <v>1988</v>
      </c>
      <c r="B165">
        <v>2</v>
      </c>
      <c r="C165" t="s">
        <v>1986</v>
      </c>
      <c r="D165" s="61" t="s">
        <v>2100</v>
      </c>
      <c r="E165" s="13" t="s">
        <v>1828</v>
      </c>
      <c r="F165" s="13">
        <v>49</v>
      </c>
      <c r="G165" s="13">
        <v>44.5655</v>
      </c>
      <c r="H165" s="13">
        <f t="shared" si="2"/>
        <v>4.4344999999999999</v>
      </c>
    </row>
    <row r="166" spans="1:8">
      <c r="A166" t="s">
        <v>1988</v>
      </c>
      <c r="B166">
        <v>3</v>
      </c>
      <c r="C166" t="s">
        <v>2108</v>
      </c>
      <c r="D166" s="61" t="s">
        <v>2100</v>
      </c>
      <c r="E166" s="13" t="s">
        <v>155</v>
      </c>
      <c r="F166" s="13">
        <v>49</v>
      </c>
      <c r="G166" s="13">
        <v>44.5655</v>
      </c>
      <c r="H166" s="13">
        <f t="shared" si="2"/>
        <v>4.4344999999999999</v>
      </c>
    </row>
    <row r="167" spans="1:8">
      <c r="A167" t="s">
        <v>1994</v>
      </c>
      <c r="B167" t="s">
        <v>1382</v>
      </c>
      <c r="C167" t="s">
        <v>1995</v>
      </c>
      <c r="D167" s="61" t="s">
        <v>2100</v>
      </c>
      <c r="E167" s="13" t="s">
        <v>155</v>
      </c>
      <c r="F167" s="13">
        <v>9</v>
      </c>
      <c r="G167" s="13">
        <v>7.2759999999999998</v>
      </c>
      <c r="H167" s="13">
        <f t="shared" si="2"/>
        <v>1.7240000000000002</v>
      </c>
    </row>
    <row r="168" spans="1:8">
      <c r="A168" t="s">
        <v>1994</v>
      </c>
      <c r="B168" t="s">
        <v>1382</v>
      </c>
      <c r="C168" t="s">
        <v>1995</v>
      </c>
      <c r="D168" s="61" t="s">
        <v>2100</v>
      </c>
      <c r="E168" s="13" t="s">
        <v>1828</v>
      </c>
      <c r="F168" s="13">
        <v>36</v>
      </c>
      <c r="G168" s="13">
        <v>32.74</v>
      </c>
      <c r="H168" s="13">
        <f t="shared" si="2"/>
        <v>3.259999999999998</v>
      </c>
    </row>
    <row r="169" spans="1:8">
      <c r="A169" t="s">
        <v>1994</v>
      </c>
      <c r="B169" t="s">
        <v>1382</v>
      </c>
      <c r="C169" t="s">
        <v>1995</v>
      </c>
      <c r="D169" s="61" t="s">
        <v>2100</v>
      </c>
      <c r="E169" s="13" t="s">
        <v>1829</v>
      </c>
      <c r="F169" s="13">
        <v>9</v>
      </c>
      <c r="G169" s="13">
        <v>8.19</v>
      </c>
      <c r="H169" s="13">
        <f t="shared" si="2"/>
        <v>0.8100000000000005</v>
      </c>
    </row>
    <row r="170" spans="1:8">
      <c r="A170" t="s">
        <v>1994</v>
      </c>
      <c r="B170" t="s">
        <v>1382</v>
      </c>
      <c r="C170" t="s">
        <v>1993</v>
      </c>
      <c r="D170" s="61" t="s">
        <v>2100</v>
      </c>
      <c r="E170" s="13" t="s">
        <v>155</v>
      </c>
      <c r="F170" s="13">
        <v>9</v>
      </c>
      <c r="G170" s="13">
        <v>8.19</v>
      </c>
      <c r="H170" s="13">
        <f t="shared" si="2"/>
        <v>0.8100000000000005</v>
      </c>
    </row>
    <row r="171" spans="1:8">
      <c r="A171" t="s">
        <v>1994</v>
      </c>
      <c r="B171" t="s">
        <v>1382</v>
      </c>
      <c r="C171" t="s">
        <v>1993</v>
      </c>
      <c r="D171" s="61" t="s">
        <v>2100</v>
      </c>
      <c r="E171" s="13" t="s">
        <v>1828</v>
      </c>
      <c r="F171" s="13">
        <v>46</v>
      </c>
      <c r="G171" s="13">
        <v>41.84</v>
      </c>
      <c r="H171" s="13">
        <f t="shared" si="2"/>
        <v>4.1599999999999966</v>
      </c>
    </row>
    <row r="172" spans="1:8">
      <c r="A172" t="s">
        <v>1994</v>
      </c>
      <c r="B172" t="s">
        <v>1382</v>
      </c>
      <c r="C172" t="s">
        <v>1993</v>
      </c>
      <c r="D172" s="61" t="s">
        <v>2100</v>
      </c>
      <c r="E172" s="13" t="s">
        <v>1829</v>
      </c>
      <c r="F172" s="13">
        <v>9</v>
      </c>
      <c r="G172" s="13">
        <v>8.19</v>
      </c>
      <c r="H172" s="13">
        <f t="shared" si="2"/>
        <v>0.8100000000000005</v>
      </c>
    </row>
    <row r="173" spans="1:8">
      <c r="A173" t="s">
        <v>1997</v>
      </c>
      <c r="B173" t="s">
        <v>1362</v>
      </c>
      <c r="C173" t="s">
        <v>1998</v>
      </c>
      <c r="D173" s="61" t="s">
        <v>2100</v>
      </c>
      <c r="E173" s="13" t="s">
        <v>155</v>
      </c>
      <c r="F173" s="13">
        <v>2462</v>
      </c>
      <c r="G173" s="13">
        <v>2239.1889999999999</v>
      </c>
      <c r="H173" s="13">
        <f t="shared" si="2"/>
        <v>222.81100000000015</v>
      </c>
    </row>
    <row r="174" spans="1:8">
      <c r="A174" t="s">
        <v>1997</v>
      </c>
      <c r="B174" t="s">
        <v>1362</v>
      </c>
      <c r="C174" t="s">
        <v>1998</v>
      </c>
      <c r="D174" s="61" t="s">
        <v>2100</v>
      </c>
      <c r="E174" s="13" t="s">
        <v>1828</v>
      </c>
      <c r="F174" s="13">
        <v>6156</v>
      </c>
      <c r="G174" s="13">
        <v>5598.8820000000005</v>
      </c>
      <c r="H174" s="13">
        <f t="shared" si="2"/>
        <v>557.11799999999948</v>
      </c>
    </row>
    <row r="175" spans="1:8">
      <c r="A175" t="s">
        <v>1997</v>
      </c>
      <c r="B175" t="s">
        <v>1362</v>
      </c>
      <c r="C175" t="s">
        <v>1998</v>
      </c>
      <c r="D175" s="61" t="s">
        <v>2100</v>
      </c>
      <c r="E175" s="13" t="s">
        <v>1829</v>
      </c>
      <c r="F175" s="13">
        <v>1539</v>
      </c>
      <c r="G175" s="13">
        <v>1399.7205000000001</v>
      </c>
      <c r="H175" s="13">
        <f t="shared" si="2"/>
        <v>139.27949999999987</v>
      </c>
    </row>
    <row r="176" spans="1:8">
      <c r="A176" t="s">
        <v>1997</v>
      </c>
      <c r="B176" t="s">
        <v>1359</v>
      </c>
      <c r="C176" t="s">
        <v>1996</v>
      </c>
      <c r="D176" s="61" t="s">
        <v>2100</v>
      </c>
      <c r="E176" s="13" t="s">
        <v>155</v>
      </c>
      <c r="F176" s="13">
        <v>308</v>
      </c>
      <c r="G176" s="13">
        <v>280.12600000000003</v>
      </c>
      <c r="H176" s="13">
        <f t="shared" si="2"/>
        <v>27.873999999999967</v>
      </c>
    </row>
    <row r="177" spans="1:8">
      <c r="A177" t="s">
        <v>1997</v>
      </c>
      <c r="B177" t="s">
        <v>1359</v>
      </c>
      <c r="C177" t="s">
        <v>1996</v>
      </c>
      <c r="D177" s="61" t="s">
        <v>2100</v>
      </c>
      <c r="E177" s="13" t="s">
        <v>1828</v>
      </c>
      <c r="F177" s="13">
        <v>770</v>
      </c>
      <c r="G177" s="13">
        <v>700.31500000000005</v>
      </c>
      <c r="H177" s="13">
        <f t="shared" si="2"/>
        <v>69.684999999999945</v>
      </c>
    </row>
    <row r="178" spans="1:8">
      <c r="A178" t="s">
        <v>1997</v>
      </c>
      <c r="B178" t="s">
        <v>1359</v>
      </c>
      <c r="C178" t="s">
        <v>1996</v>
      </c>
      <c r="D178" s="61" t="s">
        <v>2100</v>
      </c>
      <c r="E178" s="13" t="s">
        <v>1829</v>
      </c>
      <c r="F178" s="13">
        <v>192</v>
      </c>
      <c r="G178" s="13">
        <v>174.624</v>
      </c>
      <c r="H178" s="13">
        <f t="shared" si="2"/>
        <v>17.376000000000005</v>
      </c>
    </row>
    <row r="179" spans="1:8">
      <c r="A179" t="s">
        <v>1383</v>
      </c>
      <c r="B179" t="s">
        <v>1384</v>
      </c>
      <c r="C179" t="s">
        <v>2036</v>
      </c>
      <c r="D179" t="s">
        <v>2100</v>
      </c>
      <c r="E179" t="s">
        <v>155</v>
      </c>
      <c r="F179" s="13">
        <v>555</v>
      </c>
      <c r="G179" s="13">
        <v>504.77</v>
      </c>
      <c r="H179" s="13">
        <f t="shared" si="2"/>
        <v>50.230000000000018</v>
      </c>
    </row>
    <row r="180" spans="1:8">
      <c r="A180" t="s">
        <v>1383</v>
      </c>
      <c r="B180" t="s">
        <v>1384</v>
      </c>
      <c r="C180" t="s">
        <v>2036</v>
      </c>
      <c r="D180" t="s">
        <v>2100</v>
      </c>
      <c r="E180" t="s">
        <v>1828</v>
      </c>
      <c r="F180" s="13">
        <v>2221</v>
      </c>
      <c r="G180" s="13">
        <v>2120</v>
      </c>
      <c r="H180" s="13">
        <f t="shared" si="2"/>
        <v>101</v>
      </c>
    </row>
    <row r="181" spans="1:8">
      <c r="A181" t="s">
        <v>1383</v>
      </c>
      <c r="B181" t="s">
        <v>1384</v>
      </c>
      <c r="C181" t="s">
        <v>2036</v>
      </c>
      <c r="D181" t="s">
        <v>2100</v>
      </c>
      <c r="E181" t="s">
        <v>1829</v>
      </c>
      <c r="F181" s="13">
        <v>555</v>
      </c>
      <c r="G181" s="13">
        <v>504.77</v>
      </c>
      <c r="H181" s="13">
        <f t="shared" si="2"/>
        <v>50.230000000000018</v>
      </c>
    </row>
    <row r="182" spans="1:8">
      <c r="A182" t="s">
        <v>2101</v>
      </c>
      <c r="B182">
        <v>9</v>
      </c>
      <c r="C182" t="s">
        <v>2389</v>
      </c>
      <c r="D182" t="s">
        <v>2100</v>
      </c>
      <c r="E182" t="s">
        <v>1828</v>
      </c>
      <c r="F182" s="13">
        <v>145</v>
      </c>
      <c r="G182" s="13">
        <v>133.11000000000001</v>
      </c>
      <c r="H182" s="13">
        <f t="shared" si="2"/>
        <v>11.889999999999986</v>
      </c>
    </row>
    <row r="183" spans="1:8">
      <c r="A183" t="s">
        <v>2101</v>
      </c>
      <c r="B183">
        <v>9</v>
      </c>
      <c r="C183" t="s">
        <v>2389</v>
      </c>
      <c r="D183" s="65" t="s">
        <v>2100</v>
      </c>
      <c r="E183" t="s">
        <v>155</v>
      </c>
      <c r="F183" s="13">
        <v>29</v>
      </c>
      <c r="G183" s="13">
        <v>26.32</v>
      </c>
      <c r="H183" s="13">
        <f t="shared" si="2"/>
        <v>2.6799999999999997</v>
      </c>
    </row>
    <row r="184" spans="1:8">
      <c r="A184" t="s">
        <v>2101</v>
      </c>
      <c r="B184">
        <v>9</v>
      </c>
      <c r="C184" t="s">
        <v>2389</v>
      </c>
      <c r="D184" s="65" t="s">
        <v>2100</v>
      </c>
      <c r="E184" t="s">
        <v>2109</v>
      </c>
      <c r="F184" s="13">
        <v>29</v>
      </c>
      <c r="G184" s="13">
        <v>26.32</v>
      </c>
      <c r="H184" s="13">
        <f t="shared" si="2"/>
        <v>2.6799999999999997</v>
      </c>
    </row>
    <row r="185" spans="1:8">
      <c r="A185" t="s">
        <v>2101</v>
      </c>
      <c r="B185">
        <v>6</v>
      </c>
      <c r="C185" t="s">
        <v>2390</v>
      </c>
      <c r="D185" s="65" t="s">
        <v>2100</v>
      </c>
      <c r="E185" t="s">
        <v>1828</v>
      </c>
      <c r="F185" s="13">
        <v>145</v>
      </c>
      <c r="G185" s="13">
        <v>133.11000000000001</v>
      </c>
      <c r="H185" s="13">
        <f t="shared" si="2"/>
        <v>11.889999999999986</v>
      </c>
    </row>
    <row r="186" spans="1:8">
      <c r="A186" t="s">
        <v>2101</v>
      </c>
      <c r="B186">
        <v>6</v>
      </c>
      <c r="C186" t="s">
        <v>2390</v>
      </c>
      <c r="D186" s="65" t="s">
        <v>2100</v>
      </c>
      <c r="E186" t="s">
        <v>155</v>
      </c>
      <c r="F186" s="13">
        <v>29</v>
      </c>
      <c r="G186" s="13">
        <v>26.32</v>
      </c>
      <c r="H186" s="13">
        <f t="shared" si="2"/>
        <v>2.6799999999999997</v>
      </c>
    </row>
    <row r="187" spans="1:8">
      <c r="A187" t="s">
        <v>2101</v>
      </c>
      <c r="B187">
        <v>6</v>
      </c>
      <c r="C187" t="s">
        <v>2390</v>
      </c>
      <c r="D187" s="65" t="s">
        <v>2100</v>
      </c>
      <c r="E187" t="s">
        <v>2109</v>
      </c>
      <c r="F187" s="13">
        <v>29</v>
      </c>
      <c r="G187" s="13">
        <v>26.32</v>
      </c>
      <c r="H187" s="13">
        <f t="shared" si="2"/>
        <v>2.6799999999999997</v>
      </c>
    </row>
    <row r="188" spans="1:8">
      <c r="A188" t="s">
        <v>1990</v>
      </c>
      <c r="B188" t="s">
        <v>1362</v>
      </c>
      <c r="C188" t="s">
        <v>1989</v>
      </c>
      <c r="D188" s="61" t="s">
        <v>2100</v>
      </c>
      <c r="E188" s="13" t="s">
        <v>155</v>
      </c>
      <c r="F188" s="13">
        <v>3639</v>
      </c>
      <c r="G188" s="13">
        <v>3309.67</v>
      </c>
      <c r="H188" s="13">
        <f t="shared" si="2"/>
        <v>329.32999999999993</v>
      </c>
    </row>
    <row r="189" spans="1:8">
      <c r="A189" t="s">
        <v>1990</v>
      </c>
      <c r="B189" t="s">
        <v>1362</v>
      </c>
      <c r="C189" t="s">
        <v>1989</v>
      </c>
      <c r="D189" s="61" t="s">
        <v>2100</v>
      </c>
      <c r="E189" s="13" t="s">
        <v>1828</v>
      </c>
      <c r="F189" s="13">
        <v>14557</v>
      </c>
      <c r="G189" s="13">
        <v>13239.59</v>
      </c>
      <c r="H189" s="13">
        <f t="shared" si="2"/>
        <v>1317.4099999999999</v>
      </c>
    </row>
    <row r="190" spans="1:8">
      <c r="A190" t="s">
        <v>1990</v>
      </c>
      <c r="B190" t="s">
        <v>1362</v>
      </c>
      <c r="C190" t="s">
        <v>1989</v>
      </c>
      <c r="D190" s="61" t="s">
        <v>2100</v>
      </c>
      <c r="E190" s="13" t="s">
        <v>1829</v>
      </c>
      <c r="F190" s="13">
        <v>3639</v>
      </c>
      <c r="G190" s="13">
        <v>3309.67</v>
      </c>
      <c r="H190" s="13">
        <f t="shared" si="2"/>
        <v>329.32999999999993</v>
      </c>
    </row>
    <row r="191" spans="1:8">
      <c r="A191" t="s">
        <v>1386</v>
      </c>
      <c r="B191" t="s">
        <v>1384</v>
      </c>
      <c r="C191" t="s">
        <v>2037</v>
      </c>
      <c r="D191" s="61" t="s">
        <v>2100</v>
      </c>
      <c r="E191" s="13" t="s">
        <v>155</v>
      </c>
      <c r="F191" s="13">
        <v>5012</v>
      </c>
      <c r="G191" s="13">
        <v>4558.41</v>
      </c>
      <c r="H191" s="13">
        <f t="shared" si="2"/>
        <v>453.59000000000015</v>
      </c>
    </row>
    <row r="192" spans="1:8">
      <c r="A192" t="s">
        <v>1386</v>
      </c>
      <c r="B192" t="s">
        <v>1384</v>
      </c>
      <c r="C192" t="s">
        <v>2037</v>
      </c>
      <c r="D192" s="61" t="s">
        <v>2100</v>
      </c>
      <c r="E192" s="13" t="s">
        <v>1828</v>
      </c>
      <c r="F192" s="13">
        <v>20049</v>
      </c>
      <c r="G192" s="13">
        <v>18234.57</v>
      </c>
      <c r="H192" s="13">
        <f t="shared" si="2"/>
        <v>1814.4300000000003</v>
      </c>
    </row>
    <row r="193" spans="1:8">
      <c r="A193" t="s">
        <v>1386</v>
      </c>
      <c r="B193" t="s">
        <v>1384</v>
      </c>
      <c r="C193" t="s">
        <v>2037</v>
      </c>
      <c r="D193" s="61" t="s">
        <v>2100</v>
      </c>
      <c r="E193" s="13" t="s">
        <v>1829</v>
      </c>
      <c r="F193" s="13">
        <v>5012</v>
      </c>
      <c r="G193" s="13">
        <v>4558.41</v>
      </c>
      <c r="H193" s="13">
        <f t="shared" si="2"/>
        <v>453.59000000000015</v>
      </c>
    </row>
    <row r="194" spans="1:8">
      <c r="A194" t="s">
        <v>1991</v>
      </c>
      <c r="B194" t="s">
        <v>1380</v>
      </c>
      <c r="C194" t="s">
        <v>1992</v>
      </c>
      <c r="D194" s="66" t="s">
        <v>2100</v>
      </c>
      <c r="E194" s="13" t="s">
        <v>155</v>
      </c>
      <c r="F194" s="13">
        <v>427</v>
      </c>
      <c r="G194" s="13">
        <v>388.36</v>
      </c>
      <c r="H194" s="13">
        <f t="shared" si="2"/>
        <v>38.639999999999986</v>
      </c>
    </row>
    <row r="195" spans="1:8">
      <c r="A195" t="s">
        <v>1991</v>
      </c>
      <c r="B195" t="s">
        <v>1380</v>
      </c>
      <c r="C195" t="s">
        <v>1992</v>
      </c>
      <c r="D195" s="66" t="s">
        <v>2100</v>
      </c>
      <c r="E195" s="13" t="s">
        <v>1828</v>
      </c>
      <c r="F195" s="13">
        <v>1069</v>
      </c>
      <c r="G195" s="13">
        <v>972.26</v>
      </c>
      <c r="H195" s="13">
        <f t="shared" si="2"/>
        <v>96.740000000000009</v>
      </c>
    </row>
    <row r="196" spans="1:8">
      <c r="A196" t="s">
        <v>1991</v>
      </c>
      <c r="B196" t="s">
        <v>1380</v>
      </c>
      <c r="C196" t="s">
        <v>1992</v>
      </c>
      <c r="D196" s="66" t="s">
        <v>2100</v>
      </c>
      <c r="E196" s="13" t="s">
        <v>1829</v>
      </c>
      <c r="F196" s="13">
        <v>267</v>
      </c>
      <c r="G196" s="13">
        <v>242.84</v>
      </c>
      <c r="H196" s="13">
        <f t="shared" si="2"/>
        <v>24.159999999999997</v>
      </c>
    </row>
    <row r="197" spans="1:8">
      <c r="A197" t="s">
        <v>1387</v>
      </c>
      <c r="B197" t="s">
        <v>1385</v>
      </c>
      <c r="C197" t="s">
        <v>1999</v>
      </c>
      <c r="D197" s="66" t="s">
        <v>2100</v>
      </c>
      <c r="E197" s="13" t="s">
        <v>155</v>
      </c>
      <c r="F197" s="13">
        <v>53</v>
      </c>
      <c r="G197" s="13">
        <v>48.2</v>
      </c>
      <c r="H197" s="13">
        <f t="shared" si="2"/>
        <v>4.7999999999999972</v>
      </c>
    </row>
    <row r="198" spans="1:8">
      <c r="A198" t="s">
        <v>1387</v>
      </c>
      <c r="B198" t="s">
        <v>1385</v>
      </c>
      <c r="C198" t="s">
        <v>1999</v>
      </c>
      <c r="D198" s="66" t="s">
        <v>2100</v>
      </c>
      <c r="E198" s="13" t="s">
        <v>1828</v>
      </c>
      <c r="F198" s="13">
        <v>134</v>
      </c>
      <c r="G198" s="13">
        <v>121.87</v>
      </c>
      <c r="H198" s="13">
        <f t="shared" si="2"/>
        <v>12.129999999999995</v>
      </c>
    </row>
    <row r="199" spans="1:8">
      <c r="A199" t="s">
        <v>1387</v>
      </c>
      <c r="B199" t="s">
        <v>1385</v>
      </c>
      <c r="C199" t="s">
        <v>1999</v>
      </c>
      <c r="D199" s="67" t="s">
        <v>2100</v>
      </c>
      <c r="E199" s="13" t="s">
        <v>1829</v>
      </c>
      <c r="F199" s="13">
        <v>33</v>
      </c>
      <c r="G199" s="13">
        <v>30.01</v>
      </c>
      <c r="H199" s="13">
        <f t="shared" si="2"/>
        <v>2.9899999999999984</v>
      </c>
    </row>
    <row r="200" spans="1:8">
      <c r="A200" t="s">
        <v>1887</v>
      </c>
      <c r="B200" t="s">
        <v>1362</v>
      </c>
      <c r="C200" t="s">
        <v>1871</v>
      </c>
      <c r="D200" s="61" t="s">
        <v>2100</v>
      </c>
      <c r="E200" s="13" t="s">
        <v>155</v>
      </c>
      <c r="F200" s="13">
        <v>39</v>
      </c>
      <c r="G200" s="13">
        <v>37.790999999999997</v>
      </c>
      <c r="H200" s="13">
        <f t="shared" si="2"/>
        <v>1.2090000000000032</v>
      </c>
    </row>
    <row r="201" spans="1:8">
      <c r="A201" t="s">
        <v>1887</v>
      </c>
      <c r="B201" t="s">
        <v>1362</v>
      </c>
      <c r="C201" t="s">
        <v>1871</v>
      </c>
      <c r="D201" s="61" t="s">
        <v>2100</v>
      </c>
      <c r="E201" s="13" t="s">
        <v>1828</v>
      </c>
      <c r="F201" s="13">
        <v>156</v>
      </c>
      <c r="G201" s="13">
        <v>151.16399999999999</v>
      </c>
      <c r="H201" s="13">
        <f t="shared" si="2"/>
        <v>4.8360000000000127</v>
      </c>
    </row>
    <row r="202" spans="1:8">
      <c r="A202" t="s">
        <v>1887</v>
      </c>
      <c r="B202" t="s">
        <v>1362</v>
      </c>
      <c r="C202" t="s">
        <v>1871</v>
      </c>
      <c r="D202" s="61" t="s">
        <v>2100</v>
      </c>
      <c r="E202" s="13" t="s">
        <v>1829</v>
      </c>
      <c r="F202" s="13">
        <v>23</v>
      </c>
      <c r="G202" s="13">
        <v>22.287000000000003</v>
      </c>
      <c r="H202" s="13">
        <f t="shared" si="2"/>
        <v>0.71299999999999741</v>
      </c>
    </row>
    <row r="203" spans="1:8">
      <c r="A203" t="s">
        <v>1888</v>
      </c>
      <c r="B203" t="s">
        <v>1362</v>
      </c>
      <c r="C203" t="s">
        <v>1872</v>
      </c>
      <c r="D203" s="61" t="s">
        <v>2100</v>
      </c>
      <c r="E203" s="13" t="s">
        <v>155</v>
      </c>
      <c r="F203" s="13">
        <v>39</v>
      </c>
      <c r="G203" s="13">
        <v>37.790999999999997</v>
      </c>
      <c r="H203" s="13">
        <f t="shared" ref="H203:H205" si="3">F203-G203</f>
        <v>1.2090000000000032</v>
      </c>
    </row>
    <row r="204" spans="1:8">
      <c r="A204" t="s">
        <v>1888</v>
      </c>
      <c r="B204" t="s">
        <v>1362</v>
      </c>
      <c r="C204" t="s">
        <v>1872</v>
      </c>
      <c r="D204" s="61" t="s">
        <v>2100</v>
      </c>
      <c r="E204" s="13" t="s">
        <v>1828</v>
      </c>
      <c r="F204" s="13">
        <v>156</v>
      </c>
      <c r="G204" s="13">
        <v>151.16399999999999</v>
      </c>
      <c r="H204" s="13">
        <f t="shared" si="3"/>
        <v>4.8360000000000127</v>
      </c>
    </row>
    <row r="205" spans="1:8">
      <c r="A205" t="s">
        <v>1888</v>
      </c>
      <c r="B205" t="s">
        <v>1362</v>
      </c>
      <c r="C205" t="s">
        <v>1872</v>
      </c>
      <c r="D205" s="61" t="s">
        <v>2100</v>
      </c>
      <c r="E205" s="13" t="s">
        <v>1829</v>
      </c>
      <c r="F205" s="13">
        <v>23</v>
      </c>
      <c r="G205" s="13">
        <v>22.287000000000003</v>
      </c>
      <c r="H205" s="13">
        <f t="shared" si="3"/>
        <v>0.71299999999999741</v>
      </c>
    </row>
  </sheetData>
  <sheetProtection algorithmName="SHA-512" hashValue="QVIcpTjRuiePUGjVBo63pupPg7X3Y2LGQodNc6hoTpe9GiLosvltfoXefwDGAKWqYJy5j5ew9UFUwcUc5M0dmw==" saltValue="MfAgf69eSTdvQRuzxCTL3A==" spinCount="100000" sheet="1" objects="1" scenarios="1"/>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999FA-A40F-4826-B525-09221626CD4E}">
  <dimension ref="A1:J58"/>
  <sheetViews>
    <sheetView zoomScale="80" zoomScaleNormal="80" workbookViewId="0">
      <pane ySplit="1" topLeftCell="A2" activePane="bottomLeft" state="frozen"/>
      <selection pane="bottomLeft" activeCell="C11" sqref="C11"/>
    </sheetView>
  </sheetViews>
  <sheetFormatPr defaultColWidth="52.28515625" defaultRowHeight="15"/>
  <cols>
    <col min="1" max="1" width="17" bestFit="1" customWidth="1"/>
    <col min="2" max="2" width="6.5703125" bestFit="1" customWidth="1"/>
    <col min="3" max="3" width="88.7109375" customWidth="1"/>
    <col min="4" max="5" width="17.140625" customWidth="1"/>
    <col min="6" max="6" width="17.7109375" bestFit="1" customWidth="1"/>
    <col min="7" max="7" width="19" style="13" customWidth="1"/>
    <col min="8" max="8" width="21.42578125" customWidth="1"/>
    <col min="9" max="9" width="17.28515625" customWidth="1"/>
  </cols>
  <sheetData>
    <row r="1" spans="1:10">
      <c r="A1" s="46" t="s">
        <v>1395</v>
      </c>
      <c r="B1" s="46" t="s">
        <v>1357</v>
      </c>
      <c r="C1" s="46" t="s">
        <v>1358</v>
      </c>
      <c r="D1" s="46" t="s">
        <v>2094</v>
      </c>
      <c r="E1" s="46" t="s">
        <v>2095</v>
      </c>
      <c r="F1" s="46" t="s">
        <v>1389</v>
      </c>
      <c r="G1" s="68" t="s">
        <v>1391</v>
      </c>
      <c r="H1" s="43" t="s">
        <v>1390</v>
      </c>
      <c r="I1" s="46" t="s">
        <v>1392</v>
      </c>
      <c r="J1" s="46" t="s">
        <v>1130</v>
      </c>
    </row>
    <row r="2" spans="1:10">
      <c r="A2" t="s">
        <v>1443</v>
      </c>
      <c r="B2">
        <v>3</v>
      </c>
      <c r="C2" t="s">
        <v>1444</v>
      </c>
      <c r="D2" t="s">
        <v>2099</v>
      </c>
      <c r="E2" s="61" t="s">
        <v>2098</v>
      </c>
      <c r="F2" s="13" t="s">
        <v>1828</v>
      </c>
      <c r="G2" s="13">
        <v>100</v>
      </c>
      <c r="H2" s="13">
        <v>90.95</v>
      </c>
      <c r="I2" s="13">
        <f>G2-H2</f>
        <v>9.0499999999999972</v>
      </c>
    </row>
    <row r="3" spans="1:10">
      <c r="A3" t="s">
        <v>1443</v>
      </c>
      <c r="B3">
        <v>1</v>
      </c>
      <c r="C3" t="s">
        <v>1445</v>
      </c>
      <c r="D3" t="s">
        <v>2096</v>
      </c>
      <c r="E3" s="61" t="s">
        <v>2098</v>
      </c>
      <c r="F3" s="13" t="s">
        <v>1828</v>
      </c>
      <c r="G3" s="13">
        <v>180</v>
      </c>
      <c r="H3" s="13">
        <v>163.71</v>
      </c>
      <c r="I3" s="13">
        <f t="shared" ref="I3:I58" si="0">G3-H3</f>
        <v>16.289999999999992</v>
      </c>
    </row>
    <row r="4" spans="1:10">
      <c r="A4" t="s">
        <v>1443</v>
      </c>
      <c r="B4">
        <v>1</v>
      </c>
      <c r="C4" t="s">
        <v>1445</v>
      </c>
      <c r="D4" t="s">
        <v>2096</v>
      </c>
      <c r="E4" s="61" t="s">
        <v>2097</v>
      </c>
      <c r="F4" s="13" t="s">
        <v>1828</v>
      </c>
      <c r="G4" s="13">
        <v>180</v>
      </c>
      <c r="H4" s="13">
        <v>163.71</v>
      </c>
      <c r="I4" s="13">
        <f t="shared" si="0"/>
        <v>16.289999999999992</v>
      </c>
    </row>
    <row r="5" spans="1:10">
      <c r="A5" t="s">
        <v>2000</v>
      </c>
      <c r="B5">
        <v>3</v>
      </c>
      <c r="C5" t="s">
        <v>2001</v>
      </c>
      <c r="D5" t="s">
        <v>2099</v>
      </c>
      <c r="E5" t="s">
        <v>2098</v>
      </c>
      <c r="F5" s="13" t="s">
        <v>1828</v>
      </c>
      <c r="G5" s="13">
        <v>374</v>
      </c>
      <c r="H5" s="13">
        <v>340.15299999999996</v>
      </c>
      <c r="I5" s="13">
        <f t="shared" si="0"/>
        <v>33.847000000000037</v>
      </c>
    </row>
    <row r="6" spans="1:10">
      <c r="A6" t="s">
        <v>2412</v>
      </c>
      <c r="B6">
        <v>2</v>
      </c>
      <c r="C6" t="s">
        <v>2410</v>
      </c>
      <c r="D6" t="s">
        <v>2099</v>
      </c>
      <c r="E6" t="s">
        <v>2104</v>
      </c>
      <c r="F6" s="13" t="s">
        <v>1828</v>
      </c>
      <c r="G6" s="13">
        <v>7142.04</v>
      </c>
      <c r="H6" s="13">
        <v>6495.6276000000007</v>
      </c>
      <c r="I6" s="13">
        <f t="shared" si="0"/>
        <v>646.41239999999925</v>
      </c>
    </row>
    <row r="7" spans="1:10">
      <c r="A7" t="s">
        <v>2412</v>
      </c>
      <c r="B7">
        <v>2</v>
      </c>
      <c r="C7" t="s">
        <v>2410</v>
      </c>
      <c r="D7" t="s">
        <v>2099</v>
      </c>
      <c r="E7" t="s">
        <v>2098</v>
      </c>
      <c r="F7" s="13" t="s">
        <v>1828</v>
      </c>
      <c r="G7" s="13">
        <v>7142</v>
      </c>
      <c r="H7" s="13">
        <v>6495.6489999999994</v>
      </c>
      <c r="I7" s="13">
        <f t="shared" si="0"/>
        <v>646.35100000000057</v>
      </c>
    </row>
    <row r="8" spans="1:10">
      <c r="A8" t="s">
        <v>2412</v>
      </c>
      <c r="B8">
        <v>4</v>
      </c>
      <c r="C8" t="s">
        <v>2411</v>
      </c>
      <c r="D8" t="s">
        <v>2096</v>
      </c>
      <c r="E8" t="s">
        <v>2098</v>
      </c>
      <c r="F8" s="13" t="s">
        <v>1828</v>
      </c>
      <c r="G8" s="13">
        <v>17931.990000000002</v>
      </c>
      <c r="H8" s="13">
        <v>16309.1433</v>
      </c>
      <c r="I8" s="13">
        <f t="shared" si="0"/>
        <v>1622.8467000000019</v>
      </c>
    </row>
    <row r="9" spans="1:10">
      <c r="A9" t="s">
        <v>2412</v>
      </c>
      <c r="B9">
        <v>4</v>
      </c>
      <c r="C9" t="s">
        <v>2411</v>
      </c>
      <c r="D9" t="s">
        <v>2096</v>
      </c>
      <c r="E9" t="s">
        <v>2097</v>
      </c>
      <c r="F9" s="13" t="s">
        <v>1828</v>
      </c>
      <c r="G9" s="13">
        <v>17932</v>
      </c>
      <c r="H9" s="13">
        <v>16309.154</v>
      </c>
      <c r="I9" s="13">
        <f t="shared" si="0"/>
        <v>1622.8459999999995</v>
      </c>
    </row>
    <row r="10" spans="1:10">
      <c r="A10" t="s">
        <v>2392</v>
      </c>
      <c r="B10">
        <v>3</v>
      </c>
      <c r="C10" t="s">
        <v>1394</v>
      </c>
      <c r="D10" t="s">
        <v>2096</v>
      </c>
      <c r="E10" t="s">
        <v>2098</v>
      </c>
      <c r="F10" s="13" t="s">
        <v>1828</v>
      </c>
      <c r="G10" s="13">
        <v>4679.01</v>
      </c>
      <c r="H10" s="13">
        <v>4255.5612000000001</v>
      </c>
      <c r="I10" s="13">
        <f t="shared" si="0"/>
        <v>423.44880000000012</v>
      </c>
    </row>
    <row r="11" spans="1:10">
      <c r="A11" t="s">
        <v>2392</v>
      </c>
      <c r="B11">
        <v>3</v>
      </c>
      <c r="C11" t="s">
        <v>1394</v>
      </c>
      <c r="D11" t="s">
        <v>2096</v>
      </c>
      <c r="E11" t="s">
        <v>2097</v>
      </c>
      <c r="F11" s="13" t="s">
        <v>1828</v>
      </c>
      <c r="G11" s="13">
        <v>4679</v>
      </c>
      <c r="H11" s="13">
        <v>4255.5505000000003</v>
      </c>
      <c r="I11" s="13">
        <f t="shared" si="0"/>
        <v>423.44949999999972</v>
      </c>
    </row>
    <row r="12" spans="1:10">
      <c r="A12" t="s">
        <v>2392</v>
      </c>
      <c r="B12">
        <v>4</v>
      </c>
      <c r="C12" t="s">
        <v>1393</v>
      </c>
      <c r="D12" t="s">
        <v>2099</v>
      </c>
      <c r="E12" t="s">
        <v>2104</v>
      </c>
      <c r="F12" s="13" t="s">
        <v>1828</v>
      </c>
      <c r="G12" s="13">
        <v>1863</v>
      </c>
      <c r="H12" s="13">
        <v>1694.3663999999999</v>
      </c>
      <c r="I12" s="13">
        <f t="shared" si="0"/>
        <v>168.63360000000011</v>
      </c>
    </row>
    <row r="13" spans="1:10">
      <c r="A13" t="s">
        <v>2392</v>
      </c>
      <c r="B13">
        <v>4</v>
      </c>
      <c r="C13" t="s">
        <v>1393</v>
      </c>
      <c r="D13" t="s">
        <v>2099</v>
      </c>
      <c r="E13" t="s">
        <v>2098</v>
      </c>
      <c r="F13" s="13" t="s">
        <v>1828</v>
      </c>
      <c r="G13" s="13">
        <v>1863</v>
      </c>
      <c r="H13" s="13">
        <v>1694.3985</v>
      </c>
      <c r="I13" s="13">
        <f t="shared" si="0"/>
        <v>168.60149999999999</v>
      </c>
    </row>
    <row r="14" spans="1:10">
      <c r="A14" t="s">
        <v>2569</v>
      </c>
      <c r="B14">
        <v>1</v>
      </c>
      <c r="C14" t="s">
        <v>2570</v>
      </c>
      <c r="D14" t="s">
        <v>2099</v>
      </c>
      <c r="E14" t="s">
        <v>2098</v>
      </c>
      <c r="F14" s="13" t="s">
        <v>1828</v>
      </c>
      <c r="G14" s="13">
        <v>142</v>
      </c>
      <c r="H14" s="13">
        <v>127.94200000000001</v>
      </c>
      <c r="I14" s="13">
        <f t="shared" si="0"/>
        <v>14.057999999999993</v>
      </c>
    </row>
    <row r="15" spans="1:10">
      <c r="A15" t="s">
        <v>2569</v>
      </c>
      <c r="B15">
        <v>1</v>
      </c>
      <c r="C15" t="s">
        <v>2570</v>
      </c>
      <c r="D15" t="s">
        <v>2099</v>
      </c>
      <c r="E15" t="s">
        <v>2104</v>
      </c>
      <c r="F15" s="13" t="s">
        <v>1828</v>
      </c>
      <c r="G15" s="13">
        <f>141.96/12</f>
        <v>11.83</v>
      </c>
      <c r="H15" s="13">
        <f>127.9632/12</f>
        <v>10.663600000000001</v>
      </c>
      <c r="I15" s="13">
        <f t="shared" si="0"/>
        <v>1.1663999999999994</v>
      </c>
    </row>
    <row r="16" spans="1:10">
      <c r="A16" t="s">
        <v>2569</v>
      </c>
      <c r="B16">
        <v>2</v>
      </c>
      <c r="C16" t="s">
        <v>2571</v>
      </c>
      <c r="D16" t="s">
        <v>2096</v>
      </c>
      <c r="E16" t="s">
        <v>2097</v>
      </c>
      <c r="F16" s="13" t="s">
        <v>1828</v>
      </c>
      <c r="G16" s="13">
        <v>354</v>
      </c>
      <c r="H16" s="13">
        <v>318.95399999999995</v>
      </c>
      <c r="I16" s="13">
        <f t="shared" si="0"/>
        <v>35.046000000000049</v>
      </c>
    </row>
    <row r="17" spans="1:9">
      <c r="A17" t="s">
        <v>2569</v>
      </c>
      <c r="B17">
        <v>2</v>
      </c>
      <c r="C17" t="s">
        <v>2571</v>
      </c>
      <c r="D17" t="s">
        <v>2096</v>
      </c>
      <c r="E17" t="s">
        <v>2098</v>
      </c>
      <c r="F17" s="13" t="s">
        <v>1828</v>
      </c>
      <c r="G17" s="13">
        <v>354</v>
      </c>
      <c r="H17" s="13">
        <v>318.95399999999995</v>
      </c>
      <c r="I17" s="13">
        <f t="shared" si="0"/>
        <v>35.046000000000049</v>
      </c>
    </row>
    <row r="18" spans="1:9">
      <c r="A18" t="s">
        <v>2572</v>
      </c>
      <c r="B18">
        <v>1</v>
      </c>
      <c r="C18" t="s">
        <v>2573</v>
      </c>
      <c r="D18" t="s">
        <v>2099</v>
      </c>
      <c r="E18" t="s">
        <v>2098</v>
      </c>
      <c r="F18" s="13" t="s">
        <v>1828</v>
      </c>
      <c r="G18" s="13">
        <v>52</v>
      </c>
      <c r="H18" s="13">
        <v>46.852000000000004</v>
      </c>
      <c r="I18" s="13">
        <f t="shared" si="0"/>
        <v>5.1479999999999961</v>
      </c>
    </row>
    <row r="19" spans="1:9">
      <c r="A19" t="s">
        <v>2572</v>
      </c>
      <c r="B19">
        <v>1</v>
      </c>
      <c r="C19" t="s">
        <v>2573</v>
      </c>
      <c r="D19" t="s">
        <v>2099</v>
      </c>
      <c r="E19" t="s">
        <v>2104</v>
      </c>
      <c r="F19" s="13" t="s">
        <v>1828</v>
      </c>
      <c r="G19" s="13">
        <f>51.96/12</f>
        <v>4.33</v>
      </c>
      <c r="H19" s="13">
        <f>46.8096/12</f>
        <v>3.9008000000000003</v>
      </c>
      <c r="I19" s="13">
        <f t="shared" si="0"/>
        <v>0.4291999999999998</v>
      </c>
    </row>
    <row r="20" spans="1:9">
      <c r="A20" t="s">
        <v>2572</v>
      </c>
      <c r="B20">
        <v>2</v>
      </c>
      <c r="C20" t="s">
        <v>2574</v>
      </c>
      <c r="D20" t="s">
        <v>2096</v>
      </c>
      <c r="E20" t="s">
        <v>2097</v>
      </c>
      <c r="F20" s="13" t="s">
        <v>1828</v>
      </c>
      <c r="G20" s="13">
        <v>130</v>
      </c>
      <c r="H20" s="13">
        <v>117.13</v>
      </c>
      <c r="I20" s="13">
        <f t="shared" si="0"/>
        <v>12.870000000000005</v>
      </c>
    </row>
    <row r="21" spans="1:9">
      <c r="A21" t="s">
        <v>2572</v>
      </c>
      <c r="B21">
        <v>2</v>
      </c>
      <c r="C21" t="s">
        <v>2574</v>
      </c>
      <c r="D21" t="s">
        <v>2096</v>
      </c>
      <c r="E21" t="s">
        <v>2098</v>
      </c>
      <c r="F21" s="13" t="s">
        <v>1828</v>
      </c>
      <c r="G21" s="13">
        <v>129.99</v>
      </c>
      <c r="H21" s="13">
        <v>117.1194</v>
      </c>
      <c r="I21" s="13">
        <f t="shared" si="0"/>
        <v>12.87060000000001</v>
      </c>
    </row>
    <row r="22" spans="1:9">
      <c r="A22" t="s">
        <v>2101</v>
      </c>
      <c r="B22">
        <v>7</v>
      </c>
      <c r="C22" t="s">
        <v>2102</v>
      </c>
      <c r="D22" t="s">
        <v>2099</v>
      </c>
      <c r="E22" t="s">
        <v>2098</v>
      </c>
      <c r="F22" s="13" t="s">
        <v>1828</v>
      </c>
      <c r="G22" s="13">
        <v>90</v>
      </c>
      <c r="H22" s="13">
        <v>81.855000000000004</v>
      </c>
      <c r="I22" s="13">
        <f t="shared" si="0"/>
        <v>8.144999999999996</v>
      </c>
    </row>
    <row r="23" spans="1:9">
      <c r="A23" t="s">
        <v>2101</v>
      </c>
      <c r="B23">
        <v>7</v>
      </c>
      <c r="C23" t="s">
        <v>2102</v>
      </c>
      <c r="D23" t="s">
        <v>2099</v>
      </c>
      <c r="E23" t="s">
        <v>2104</v>
      </c>
      <c r="F23" s="13" t="s">
        <v>1828</v>
      </c>
      <c r="G23" s="13">
        <v>90</v>
      </c>
      <c r="H23" s="13">
        <v>81.790800000000004</v>
      </c>
      <c r="I23" s="13">
        <f t="shared" si="0"/>
        <v>8.2091999999999956</v>
      </c>
    </row>
    <row r="24" spans="1:9">
      <c r="A24" t="s">
        <v>2101</v>
      </c>
      <c r="B24">
        <v>8</v>
      </c>
      <c r="C24" t="s">
        <v>2103</v>
      </c>
      <c r="D24" t="s">
        <v>2096</v>
      </c>
      <c r="E24" t="s">
        <v>2098</v>
      </c>
      <c r="F24" s="13" t="s">
        <v>1828</v>
      </c>
      <c r="G24" s="13">
        <v>168</v>
      </c>
      <c r="H24" s="13">
        <v>152.79600000000002</v>
      </c>
      <c r="I24" s="13">
        <f t="shared" si="0"/>
        <v>15.203999999999979</v>
      </c>
    </row>
    <row r="25" spans="1:9">
      <c r="A25" t="s">
        <v>2101</v>
      </c>
      <c r="B25">
        <v>8</v>
      </c>
      <c r="C25" t="s">
        <v>2103</v>
      </c>
      <c r="D25" t="s">
        <v>2096</v>
      </c>
      <c r="E25" t="s">
        <v>2097</v>
      </c>
      <c r="F25" s="13" t="s">
        <v>1828</v>
      </c>
      <c r="G25" s="13">
        <v>168</v>
      </c>
      <c r="H25" s="13">
        <v>152.79600000000002</v>
      </c>
      <c r="I25" s="13">
        <f t="shared" si="0"/>
        <v>15.203999999999979</v>
      </c>
    </row>
    <row r="26" spans="1:9">
      <c r="A26" t="s">
        <v>2101</v>
      </c>
      <c r="B26">
        <v>8</v>
      </c>
      <c r="C26" t="s">
        <v>2103</v>
      </c>
      <c r="D26" t="s">
        <v>2096</v>
      </c>
      <c r="E26" t="s">
        <v>2104</v>
      </c>
      <c r="F26" s="13" t="s">
        <v>1828</v>
      </c>
      <c r="G26" s="13">
        <v>168.12</v>
      </c>
      <c r="H26" s="13">
        <v>152.92439999999999</v>
      </c>
      <c r="I26" s="13">
        <f t="shared" si="0"/>
        <v>15.195600000000013</v>
      </c>
    </row>
    <row r="27" spans="1:9">
      <c r="A27" t="s">
        <v>2062</v>
      </c>
      <c r="B27">
        <v>3</v>
      </c>
      <c r="C27" t="s">
        <v>2004</v>
      </c>
      <c r="D27" t="s">
        <v>2099</v>
      </c>
      <c r="E27" t="s">
        <v>2098</v>
      </c>
      <c r="F27" s="13" t="s">
        <v>1828</v>
      </c>
      <c r="G27" s="13">
        <v>23</v>
      </c>
      <c r="H27" s="13">
        <v>20.918500000000002</v>
      </c>
      <c r="I27" s="13">
        <f t="shared" si="0"/>
        <v>2.0814999999999984</v>
      </c>
    </row>
    <row r="28" spans="1:9">
      <c r="A28" t="s">
        <v>2062</v>
      </c>
      <c r="B28">
        <v>3</v>
      </c>
      <c r="C28" t="s">
        <v>2004</v>
      </c>
      <c r="D28" t="s">
        <v>2099</v>
      </c>
      <c r="E28" t="s">
        <v>2104</v>
      </c>
      <c r="F28" s="13" t="s">
        <v>1828</v>
      </c>
      <c r="G28" s="13">
        <v>23.04</v>
      </c>
      <c r="H28" s="13">
        <v>20.929199999999998</v>
      </c>
      <c r="I28" s="13">
        <f t="shared" si="0"/>
        <v>2.1108000000000011</v>
      </c>
    </row>
    <row r="29" spans="1:9">
      <c r="A29" t="s">
        <v>2062</v>
      </c>
      <c r="B29">
        <v>4</v>
      </c>
      <c r="C29" t="s">
        <v>2003</v>
      </c>
      <c r="D29" t="s">
        <v>2096</v>
      </c>
      <c r="E29" t="s">
        <v>2098</v>
      </c>
      <c r="F29" s="13" t="s">
        <v>1828</v>
      </c>
      <c r="G29" s="13">
        <v>56.01</v>
      </c>
      <c r="H29" s="13">
        <v>50.942700000000002</v>
      </c>
      <c r="I29" s="13">
        <f t="shared" si="0"/>
        <v>5.0672999999999959</v>
      </c>
    </row>
    <row r="30" spans="1:9">
      <c r="A30" t="s">
        <v>2062</v>
      </c>
      <c r="B30">
        <v>4</v>
      </c>
      <c r="C30" t="s">
        <v>2003</v>
      </c>
      <c r="D30" t="s">
        <v>2096</v>
      </c>
      <c r="E30" t="s">
        <v>2097</v>
      </c>
      <c r="F30" s="13" t="s">
        <v>1828</v>
      </c>
      <c r="G30" s="13">
        <v>56</v>
      </c>
      <c r="H30" s="13">
        <v>50.932000000000002</v>
      </c>
      <c r="I30" s="13">
        <f t="shared" si="0"/>
        <v>5.0679999999999978</v>
      </c>
    </row>
    <row r="31" spans="1:9">
      <c r="A31" t="s">
        <v>2062</v>
      </c>
      <c r="B31">
        <v>5</v>
      </c>
      <c r="C31" t="s">
        <v>2005</v>
      </c>
      <c r="D31" t="s">
        <v>2096</v>
      </c>
      <c r="E31" t="s">
        <v>2098</v>
      </c>
      <c r="F31" s="13" t="s">
        <v>1828</v>
      </c>
      <c r="G31" s="13">
        <v>69</v>
      </c>
      <c r="H31" s="13">
        <v>62.755499999999998</v>
      </c>
      <c r="I31" s="13">
        <f t="shared" si="0"/>
        <v>6.2445000000000022</v>
      </c>
    </row>
    <row r="32" spans="1:9">
      <c r="A32" t="s">
        <v>2062</v>
      </c>
      <c r="B32">
        <v>5</v>
      </c>
      <c r="C32" t="s">
        <v>2005</v>
      </c>
      <c r="D32" t="s">
        <v>2096</v>
      </c>
      <c r="E32" t="s">
        <v>2097</v>
      </c>
      <c r="F32" s="13" t="s">
        <v>1828</v>
      </c>
      <c r="G32" s="13">
        <v>69</v>
      </c>
      <c r="H32" s="13">
        <v>62.755499999999998</v>
      </c>
      <c r="I32" s="13">
        <f t="shared" si="0"/>
        <v>6.2445000000000022</v>
      </c>
    </row>
    <row r="33" spans="1:9">
      <c r="A33" t="s">
        <v>2062</v>
      </c>
      <c r="B33">
        <v>6</v>
      </c>
      <c r="C33" t="s">
        <v>2002</v>
      </c>
      <c r="D33" t="s">
        <v>2099</v>
      </c>
      <c r="E33" t="s">
        <v>2098</v>
      </c>
      <c r="F33" s="13" t="s">
        <v>1828</v>
      </c>
      <c r="G33" s="13">
        <v>19</v>
      </c>
      <c r="H33" s="13">
        <v>17.2805</v>
      </c>
      <c r="I33" s="13">
        <f t="shared" si="0"/>
        <v>1.7195</v>
      </c>
    </row>
    <row r="34" spans="1:9">
      <c r="A34" t="s">
        <v>2062</v>
      </c>
      <c r="B34">
        <v>6</v>
      </c>
      <c r="C34" t="s">
        <v>2002</v>
      </c>
      <c r="D34" t="s">
        <v>2099</v>
      </c>
      <c r="E34" t="s">
        <v>2104</v>
      </c>
      <c r="F34" s="13" t="s">
        <v>1828</v>
      </c>
      <c r="G34" s="13">
        <v>18.96</v>
      </c>
      <c r="H34" s="13">
        <v>17.334</v>
      </c>
      <c r="I34" s="13">
        <f t="shared" si="0"/>
        <v>1.6260000000000012</v>
      </c>
    </row>
    <row r="35" spans="1:9">
      <c r="A35" t="s">
        <v>1994</v>
      </c>
      <c r="B35">
        <v>2</v>
      </c>
      <c r="C35" t="s">
        <v>2007</v>
      </c>
      <c r="D35" t="s">
        <v>2096</v>
      </c>
      <c r="E35" t="s">
        <v>2098</v>
      </c>
      <c r="F35" s="13" t="s">
        <v>1828</v>
      </c>
      <c r="G35" s="13">
        <v>33</v>
      </c>
      <c r="H35" s="13">
        <v>30.013500000000001</v>
      </c>
      <c r="I35" s="13">
        <f t="shared" si="0"/>
        <v>2.9864999999999995</v>
      </c>
    </row>
    <row r="36" spans="1:9">
      <c r="A36" t="s">
        <v>1994</v>
      </c>
      <c r="B36">
        <v>2</v>
      </c>
      <c r="C36" t="s">
        <v>2007</v>
      </c>
      <c r="D36" t="s">
        <v>2096</v>
      </c>
      <c r="E36" t="s">
        <v>2097</v>
      </c>
      <c r="F36" s="13" t="s">
        <v>1828</v>
      </c>
      <c r="G36" s="13">
        <v>33</v>
      </c>
      <c r="H36" s="13">
        <v>30.013500000000001</v>
      </c>
      <c r="I36" s="13">
        <f t="shared" si="0"/>
        <v>2.9864999999999995</v>
      </c>
    </row>
    <row r="37" spans="1:9">
      <c r="A37" t="s">
        <v>1994</v>
      </c>
      <c r="B37">
        <v>3</v>
      </c>
      <c r="C37" t="s">
        <v>2009</v>
      </c>
      <c r="D37" t="s">
        <v>2096</v>
      </c>
      <c r="E37" t="s">
        <v>2098</v>
      </c>
      <c r="F37" s="13" t="s">
        <v>1828</v>
      </c>
      <c r="G37" s="13">
        <v>39</v>
      </c>
      <c r="H37" s="13">
        <v>35.470500000000001</v>
      </c>
      <c r="I37" s="13">
        <f t="shared" si="0"/>
        <v>3.5294999999999987</v>
      </c>
    </row>
    <row r="38" spans="1:9">
      <c r="A38" t="s">
        <v>1994</v>
      </c>
      <c r="B38">
        <v>3</v>
      </c>
      <c r="C38" t="s">
        <v>2009</v>
      </c>
      <c r="D38" t="s">
        <v>2096</v>
      </c>
      <c r="E38" t="s">
        <v>2097</v>
      </c>
      <c r="F38" s="13" t="s">
        <v>1828</v>
      </c>
      <c r="G38" s="13">
        <v>39</v>
      </c>
      <c r="H38" s="13">
        <v>35.470500000000001</v>
      </c>
      <c r="I38" s="13">
        <f t="shared" si="0"/>
        <v>3.5294999999999987</v>
      </c>
    </row>
    <row r="39" spans="1:9">
      <c r="A39" t="s">
        <v>1994</v>
      </c>
      <c r="B39">
        <v>4</v>
      </c>
      <c r="C39" t="s">
        <v>2008</v>
      </c>
      <c r="D39" t="s">
        <v>2099</v>
      </c>
      <c r="E39" t="s">
        <v>2098</v>
      </c>
      <c r="F39" s="13" t="s">
        <v>1828</v>
      </c>
      <c r="G39" s="13">
        <v>13</v>
      </c>
      <c r="H39" s="13">
        <v>11.823500000000001</v>
      </c>
      <c r="I39" s="13">
        <f t="shared" si="0"/>
        <v>1.176499999999999</v>
      </c>
    </row>
    <row r="40" spans="1:9">
      <c r="A40" t="s">
        <v>1994</v>
      </c>
      <c r="B40">
        <v>4</v>
      </c>
      <c r="C40" t="s">
        <v>2008</v>
      </c>
      <c r="D40" t="s">
        <v>2099</v>
      </c>
      <c r="E40" t="s">
        <v>2104</v>
      </c>
      <c r="F40" s="13" t="s">
        <v>1828</v>
      </c>
      <c r="G40" s="13">
        <v>12.96</v>
      </c>
      <c r="H40" s="13">
        <v>11.812799999999999</v>
      </c>
      <c r="I40" s="13">
        <f t="shared" si="0"/>
        <v>1.1472000000000016</v>
      </c>
    </row>
    <row r="41" spans="1:9">
      <c r="A41" t="s">
        <v>1994</v>
      </c>
      <c r="B41">
        <v>5</v>
      </c>
      <c r="C41" t="s">
        <v>2006</v>
      </c>
      <c r="D41" t="s">
        <v>2099</v>
      </c>
      <c r="E41" t="s">
        <v>2098</v>
      </c>
      <c r="F41" s="13" t="s">
        <v>1828</v>
      </c>
      <c r="G41" s="13">
        <v>11</v>
      </c>
      <c r="H41" s="13">
        <v>10.0045</v>
      </c>
      <c r="I41" s="13">
        <f t="shared" si="0"/>
        <v>0.99549999999999983</v>
      </c>
    </row>
    <row r="42" spans="1:9">
      <c r="A42" t="s">
        <v>1994</v>
      </c>
      <c r="B42">
        <v>5</v>
      </c>
      <c r="C42" t="s">
        <v>2006</v>
      </c>
      <c r="D42" t="s">
        <v>2099</v>
      </c>
      <c r="E42" t="s">
        <v>2104</v>
      </c>
      <c r="F42" s="13" t="s">
        <v>1828</v>
      </c>
      <c r="G42" s="13">
        <v>11.04</v>
      </c>
      <c r="H42" s="13">
        <v>10.0152</v>
      </c>
      <c r="I42" s="13">
        <f t="shared" si="0"/>
        <v>1.024799999999999</v>
      </c>
    </row>
    <row r="43" spans="1:9">
      <c r="A43" t="s">
        <v>1997</v>
      </c>
      <c r="B43">
        <v>4</v>
      </c>
      <c r="C43" t="s">
        <v>2394</v>
      </c>
      <c r="D43" t="s">
        <v>2096</v>
      </c>
      <c r="E43" t="s">
        <v>2097</v>
      </c>
      <c r="F43" s="13" t="s">
        <v>1828</v>
      </c>
      <c r="G43" s="13">
        <v>3637</v>
      </c>
      <c r="H43" s="13">
        <v>3307.8514999999998</v>
      </c>
      <c r="I43" s="13">
        <f t="shared" si="0"/>
        <v>329.14850000000024</v>
      </c>
    </row>
    <row r="44" spans="1:9">
      <c r="A44" t="s">
        <v>1997</v>
      </c>
      <c r="B44">
        <v>4</v>
      </c>
      <c r="C44" t="s">
        <v>2394</v>
      </c>
      <c r="D44" t="s">
        <v>2096</v>
      </c>
      <c r="E44" t="s">
        <v>2098</v>
      </c>
      <c r="F44" s="13" t="s">
        <v>1828</v>
      </c>
      <c r="G44" s="13">
        <v>3636.99</v>
      </c>
      <c r="H44" s="13">
        <v>3307.8407999999999</v>
      </c>
      <c r="I44" s="13">
        <f t="shared" si="0"/>
        <v>329.14919999999984</v>
      </c>
    </row>
    <row r="45" spans="1:9">
      <c r="A45" t="s">
        <v>1997</v>
      </c>
      <c r="B45">
        <v>5</v>
      </c>
      <c r="C45" t="s">
        <v>2393</v>
      </c>
      <c r="D45" t="s">
        <v>2099</v>
      </c>
      <c r="E45" t="s">
        <v>2104</v>
      </c>
      <c r="F45" s="13" t="s">
        <v>1828</v>
      </c>
      <c r="G45" s="13">
        <v>1742.04</v>
      </c>
      <c r="H45" s="13">
        <v>1584.3276000000001</v>
      </c>
      <c r="I45" s="13">
        <f t="shared" si="0"/>
        <v>157.71239999999989</v>
      </c>
    </row>
    <row r="46" spans="1:9">
      <c r="A46" t="s">
        <v>1997</v>
      </c>
      <c r="B46">
        <v>5</v>
      </c>
      <c r="C46" t="s">
        <v>2393</v>
      </c>
      <c r="D46" t="s">
        <v>2099</v>
      </c>
      <c r="E46" t="s">
        <v>2098</v>
      </c>
      <c r="F46" s="13" t="s">
        <v>1828</v>
      </c>
      <c r="G46" s="13">
        <v>1742</v>
      </c>
      <c r="H46" s="13">
        <v>1584.3490000000002</v>
      </c>
      <c r="I46" s="13">
        <f t="shared" si="0"/>
        <v>157.65099999999984</v>
      </c>
    </row>
    <row r="47" spans="1:9">
      <c r="A47" t="s">
        <v>1991</v>
      </c>
      <c r="B47">
        <v>2</v>
      </c>
      <c r="C47" t="s">
        <v>2010</v>
      </c>
      <c r="D47" t="s">
        <v>2099</v>
      </c>
      <c r="E47" t="s">
        <v>2098</v>
      </c>
      <c r="F47" s="13" t="s">
        <v>1828</v>
      </c>
      <c r="G47" s="13">
        <v>251</v>
      </c>
      <c r="H47" s="13">
        <v>228.28450000000001</v>
      </c>
      <c r="I47" s="13">
        <f t="shared" si="0"/>
        <v>22.715499999999992</v>
      </c>
    </row>
    <row r="48" spans="1:9">
      <c r="A48" t="s">
        <v>1991</v>
      </c>
      <c r="B48">
        <v>2</v>
      </c>
      <c r="C48" t="s">
        <v>2010</v>
      </c>
      <c r="D48" t="s">
        <v>2099</v>
      </c>
      <c r="E48" t="s">
        <v>2104</v>
      </c>
      <c r="F48" s="13" t="s">
        <v>1828</v>
      </c>
      <c r="G48" s="13">
        <v>251.04</v>
      </c>
      <c r="H48" s="13">
        <v>228.29520000000002</v>
      </c>
      <c r="I48" s="13">
        <f t="shared" si="0"/>
        <v>22.744799999999969</v>
      </c>
    </row>
    <row r="49" spans="1:9">
      <c r="A49" t="s">
        <v>1991</v>
      </c>
      <c r="B49">
        <v>3</v>
      </c>
      <c r="C49" t="s">
        <v>2011</v>
      </c>
      <c r="D49" t="s">
        <v>2096</v>
      </c>
      <c r="E49" t="s">
        <v>2098</v>
      </c>
      <c r="F49" s="13" t="s">
        <v>1828</v>
      </c>
      <c r="G49" s="13">
        <v>639</v>
      </c>
      <c r="H49" s="13">
        <v>581.17049999999995</v>
      </c>
      <c r="I49" s="13">
        <f t="shared" si="0"/>
        <v>57.829500000000053</v>
      </c>
    </row>
    <row r="50" spans="1:9">
      <c r="A50" t="s">
        <v>1991</v>
      </c>
      <c r="B50">
        <v>3</v>
      </c>
      <c r="C50" t="s">
        <v>2011</v>
      </c>
      <c r="D50" t="s">
        <v>2096</v>
      </c>
      <c r="E50" t="s">
        <v>2097</v>
      </c>
      <c r="F50" s="13" t="s">
        <v>1828</v>
      </c>
      <c r="G50" s="13">
        <v>639</v>
      </c>
      <c r="H50" s="13">
        <v>581.17049999999995</v>
      </c>
      <c r="I50" s="13">
        <f t="shared" si="0"/>
        <v>57.829500000000053</v>
      </c>
    </row>
    <row r="51" spans="1:9">
      <c r="A51" t="s">
        <v>1997</v>
      </c>
      <c r="B51">
        <v>6</v>
      </c>
      <c r="C51" t="s">
        <v>2458</v>
      </c>
      <c r="D51" t="s">
        <v>2096</v>
      </c>
      <c r="E51" t="s">
        <v>2098</v>
      </c>
      <c r="F51" s="13" t="s">
        <v>1828</v>
      </c>
      <c r="G51" s="13">
        <v>909</v>
      </c>
      <c r="H51" s="13">
        <v>834.43</v>
      </c>
      <c r="I51" s="13">
        <f t="shared" si="0"/>
        <v>74.57000000000005</v>
      </c>
    </row>
    <row r="52" spans="1:9">
      <c r="A52" t="s">
        <v>1997</v>
      </c>
      <c r="B52">
        <v>6</v>
      </c>
      <c r="C52" t="s">
        <v>2458</v>
      </c>
      <c r="D52" t="s">
        <v>2096</v>
      </c>
      <c r="E52" t="s">
        <v>2097</v>
      </c>
      <c r="F52" s="13" t="s">
        <v>1828</v>
      </c>
      <c r="G52" s="13">
        <v>909</v>
      </c>
      <c r="H52" s="13">
        <v>834.43</v>
      </c>
      <c r="I52" s="13">
        <f t="shared" si="0"/>
        <v>74.57000000000005</v>
      </c>
    </row>
    <row r="53" spans="1:9">
      <c r="A53" t="s">
        <v>1997</v>
      </c>
      <c r="B53">
        <v>7</v>
      </c>
      <c r="C53" t="s">
        <v>2459</v>
      </c>
      <c r="D53" t="s">
        <v>2099</v>
      </c>
      <c r="E53" t="s">
        <v>2098</v>
      </c>
      <c r="F53" s="13" t="s">
        <v>1828</v>
      </c>
      <c r="G53" s="13">
        <v>435</v>
      </c>
      <c r="H53" s="13">
        <v>399.33</v>
      </c>
      <c r="I53" s="13">
        <f t="shared" si="0"/>
        <v>35.670000000000016</v>
      </c>
    </row>
    <row r="54" spans="1:9">
      <c r="A54" t="s">
        <v>1997</v>
      </c>
      <c r="B54">
        <v>7</v>
      </c>
      <c r="C54" t="s">
        <v>2459</v>
      </c>
      <c r="D54" t="s">
        <v>2099</v>
      </c>
      <c r="E54" t="s">
        <v>2104</v>
      </c>
      <c r="F54" s="13" t="s">
        <v>1828</v>
      </c>
      <c r="G54" s="13">
        <v>435</v>
      </c>
      <c r="H54" s="13">
        <v>399.33</v>
      </c>
      <c r="I54" s="13">
        <f t="shared" si="0"/>
        <v>35.670000000000016</v>
      </c>
    </row>
    <row r="55" spans="1:9">
      <c r="A55" t="s">
        <v>1991</v>
      </c>
      <c r="B55">
        <v>6</v>
      </c>
      <c r="C55" t="s">
        <v>2460</v>
      </c>
      <c r="D55" t="s">
        <v>2099</v>
      </c>
      <c r="E55" t="s">
        <v>2098</v>
      </c>
      <c r="F55" s="13" t="s">
        <v>1828</v>
      </c>
      <c r="G55" s="13">
        <v>62</v>
      </c>
      <c r="H55" s="13">
        <v>57.97</v>
      </c>
      <c r="I55" s="13">
        <f t="shared" si="0"/>
        <v>4.0300000000000011</v>
      </c>
    </row>
    <row r="56" spans="1:9">
      <c r="A56" t="s">
        <v>1991</v>
      </c>
      <c r="B56">
        <v>6</v>
      </c>
      <c r="C56" t="s">
        <v>2460</v>
      </c>
      <c r="D56" t="s">
        <v>2099</v>
      </c>
      <c r="E56" t="s">
        <v>2104</v>
      </c>
      <c r="F56" s="13" t="s">
        <v>1828</v>
      </c>
      <c r="G56" s="13">
        <v>62.04</v>
      </c>
      <c r="H56" s="13">
        <v>56.89</v>
      </c>
      <c r="I56" s="13">
        <f t="shared" si="0"/>
        <v>5.1499999999999986</v>
      </c>
    </row>
    <row r="57" spans="1:9">
      <c r="A57" t="s">
        <v>1991</v>
      </c>
      <c r="B57">
        <v>7</v>
      </c>
      <c r="C57" t="s">
        <v>2461</v>
      </c>
      <c r="D57" t="s">
        <v>2096</v>
      </c>
      <c r="E57" t="s">
        <v>2098</v>
      </c>
      <c r="F57" s="13" t="s">
        <v>1828</v>
      </c>
      <c r="G57" s="13">
        <v>159</v>
      </c>
      <c r="H57" s="13">
        <v>145.96</v>
      </c>
      <c r="I57" s="13">
        <f t="shared" si="0"/>
        <v>13.039999999999992</v>
      </c>
    </row>
    <row r="58" spans="1:9">
      <c r="A58" t="s">
        <v>1991</v>
      </c>
      <c r="B58">
        <v>7</v>
      </c>
      <c r="C58" t="s">
        <v>2461</v>
      </c>
      <c r="D58" t="s">
        <v>2096</v>
      </c>
      <c r="E58" t="s">
        <v>2097</v>
      </c>
      <c r="F58" s="13" t="s">
        <v>1828</v>
      </c>
      <c r="G58" s="13">
        <v>159</v>
      </c>
      <c r="H58" s="13">
        <v>145.96</v>
      </c>
      <c r="I58" s="13">
        <f t="shared" si="0"/>
        <v>13.039999999999992</v>
      </c>
    </row>
  </sheetData>
  <sheetProtection algorithmName="SHA-512" hashValue="8OlNF4/m4iVzj80ICd8z6UlG5fwP1+hcbbPrayWSN6ojZ0wHufq820GPWQo2QpkBzQX8E4DVsdMrN1Ai+aLfsQ==" saltValue="eZ565Zr6rqb2xSshlnGmpQ==" spinCount="100000" sheet="1" objects="1" scenarios="1"/>
  <hyperlinks>
    <hyperlink ref="J1" location="'Incentives Guide'!A1" display="Global H2 Incentive" xr:uid="{80E4D467-E895-477D-A3F1-1BFD1B4CD0B2}"/>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B2744-0339-432F-BA2F-80A57359C1E1}">
  <dimension ref="A1:A8"/>
  <sheetViews>
    <sheetView topLeftCell="A19" zoomScaleNormal="100" workbookViewId="0">
      <selection activeCell="O26" sqref="O26"/>
    </sheetView>
  </sheetViews>
  <sheetFormatPr defaultRowHeight="15"/>
  <sheetData>
    <row r="1" spans="1:1">
      <c r="A1" s="3" t="s">
        <v>147</v>
      </c>
    </row>
    <row r="2" spans="1:1">
      <c r="A2" t="s">
        <v>148</v>
      </c>
    </row>
    <row r="3" spans="1:1">
      <c r="A3" t="s">
        <v>149</v>
      </c>
    </row>
    <row r="4" spans="1:1">
      <c r="A4" t="s">
        <v>153</v>
      </c>
    </row>
    <row r="5" spans="1:1">
      <c r="A5" t="s">
        <v>758</v>
      </c>
    </row>
    <row r="6" spans="1:1">
      <c r="A6" t="s">
        <v>1168</v>
      </c>
    </row>
    <row r="8" spans="1:1">
      <c r="A8" t="s">
        <v>455</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7EBC693F86B904EB06C80335F0CD439" ma:contentTypeVersion="18" ma:contentTypeDescription="Create a new document." ma:contentTypeScope="" ma:versionID="25059f97b00c59b4bf7afd32a35eda5c">
  <xsd:schema xmlns:xsd="http://www.w3.org/2001/XMLSchema" xmlns:xs="http://www.w3.org/2001/XMLSchema" xmlns:p="http://schemas.microsoft.com/office/2006/metadata/properties" xmlns:ns2="498a99dc-cf3e-4c16-8e24-a026cd851e2d" xmlns:ns3="f46b7895-e14e-4249-baf1-9ea4123d630a" targetNamespace="http://schemas.microsoft.com/office/2006/metadata/properties" ma:root="true" ma:fieldsID="322f14495a45d15c25e477319ec04499" ns2:_="" ns3:_="">
    <xsd:import namespace="498a99dc-cf3e-4c16-8e24-a026cd851e2d"/>
    <xsd:import namespace="f46b7895-e14e-4249-baf1-9ea4123d630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8a99dc-cf3e-4c16-8e24-a026cd851e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46bf604-087f-42a5-8317-596654009f4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6b7895-e14e-4249-baf1-9ea4123d630a"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d903079-1545-462e-abaf-55a6cf31da0b}" ma:internalName="TaxCatchAll" ma:showField="CatchAllData" ma:web="f46b7895-e14e-4249-baf1-9ea4123d63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46b7895-e14e-4249-baf1-9ea4123d630a" xsi:nil="true"/>
    <lcf76f155ced4ddcb4097134ff3c332f xmlns="498a99dc-cf3e-4c16-8e24-a026cd851e2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9B03456-66F7-4039-B665-DCF8ABC63A6A}">
  <ds:schemaRefs>
    <ds:schemaRef ds:uri="http://schemas.microsoft.com/sharepoint/v3/contenttype/forms"/>
  </ds:schemaRefs>
</ds:datastoreItem>
</file>

<file path=customXml/itemProps2.xml><?xml version="1.0" encoding="utf-8"?>
<ds:datastoreItem xmlns:ds="http://schemas.openxmlformats.org/officeDocument/2006/customXml" ds:itemID="{D28603C6-F302-4FDF-848B-78A70704B622}"/>
</file>

<file path=customXml/itemProps3.xml><?xml version="1.0" encoding="utf-8"?>
<ds:datastoreItem xmlns:ds="http://schemas.openxmlformats.org/officeDocument/2006/customXml" ds:itemID="{537CAEFC-E8DA-4B00-893C-92CF5DD97177}">
  <ds:schemaRefs>
    <ds:schemaRef ds:uri="f46b7895-e14e-4249-baf1-9ea4123d630a"/>
    <ds:schemaRef ds:uri="http://www.w3.org/XML/1998/namespace"/>
    <ds:schemaRef ds:uri="http://schemas.microsoft.com/office/2006/documentManagement/types"/>
    <ds:schemaRef ds:uri="http://schemas.microsoft.com/office/2006/metadata/properties"/>
    <ds:schemaRef ds:uri="http://purl.org/dc/dcmitype/"/>
    <ds:schemaRef ds:uri="http://purl.org/dc/elements/1.1/"/>
    <ds:schemaRef ds:uri="498a99dc-cf3e-4c16-8e24-a026cd851e2d"/>
    <ds:schemaRef ds:uri="http://schemas.microsoft.com/office/infopath/2007/PartnerControl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Notes &amp; Instructions</vt:lpstr>
      <vt:lpstr>Corporate Reseller USD</vt:lpstr>
      <vt:lpstr>Academic Reseller USD</vt:lpstr>
      <vt:lpstr>Charity Reseller USD</vt:lpstr>
      <vt:lpstr>Perpetual Software USD</vt:lpstr>
      <vt:lpstr>CSP Software USD</vt:lpstr>
      <vt:lpstr>Incentives Guide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Botha</dc:creator>
  <cp:lastModifiedBy>Cecelia Stapelberg [4Sight Channel Cluster]</cp:lastModifiedBy>
  <cp:lastPrinted>2019-07-03T15:08:11Z</cp:lastPrinted>
  <dcterms:created xsi:type="dcterms:W3CDTF">2018-03-18T13:52:44Z</dcterms:created>
  <dcterms:modified xsi:type="dcterms:W3CDTF">2024-07-01T11:25:45Z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0x010100A7EBC693F86B904EB06C80335F0CD439</vt:lpwstr>
  </property>
  <property fmtid="{D5CDD505-2E9C-101B-9397-08002B2CF9AE}" pid="3" name="MediaServiceImageTags">
    <vt:lpwstr/>
  </property>
</Properties>
</file>