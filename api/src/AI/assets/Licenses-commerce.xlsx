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https://dynamicsafrica.sharepoint.com/sites/DynamicsAfrica/Dynamics Africa/CSP/Reference Price List/2024/July/"/>
    </mc:Choice>
  </mc:AlternateContent>
  <xr:revisionPtr revIDLastSave="0" documentId="8_{3DC9CDB9-71B8-4CD8-9988-FEE3AE8B26EF}" xr6:coauthVersionLast="47" xr6:coauthVersionMax="47" xr10:uidLastSave="{00000000-0000-0000-0000-000000000000}"/>
  <bookViews>
    <workbookView xWindow="-28920" yWindow="-120" windowWidth="29040" windowHeight="15720" firstSheet="1" activeTab="1" xr2:uid="{C8F90757-39F1-4E66-9E50-932DE3834064}"/>
  </bookViews>
  <sheets>
    <sheet name="Notes &amp; Instructions" sheetId="1" r:id="rId1"/>
    <sheet name="Corporate Reseller USD" sheetId="2" r:id="rId2"/>
    <sheet name="Academic Reseller USD" sheetId="23" r:id="rId3"/>
    <sheet name="Charity Reseller USD" sheetId="24" r:id="rId4"/>
    <sheet name="ISV Index" sheetId="3" r:id="rId5"/>
    <sheet name="4Sight" sheetId="4" r:id="rId6"/>
    <sheet name="Agriculture" sheetId="20" r:id="rId7"/>
    <sheet name="Banking &amp; Insurance" sheetId="5" r:id="rId8"/>
    <sheet name="Collections" sheetId="6" r:id="rId9"/>
    <sheet name="Communications" sheetId="7" r:id="rId10"/>
    <sheet name="Cyber Security" sheetId="8" r:id="rId11"/>
    <sheet name="Digital Transformation" sheetId="21" r:id="rId12"/>
    <sheet name="Document Management" sheetId="9" r:id="rId13"/>
    <sheet name="E-Commerce" sheetId="22" r:id="rId14"/>
    <sheet name="e-Learning" sheetId="10" r:id="rId15"/>
    <sheet name="Education - Campus &amp; School" sheetId="11" r:id="rId16"/>
    <sheet name="Email Signature Management" sheetId="25" r:id="rId17"/>
    <sheet name="Field Service" sheetId="12" r:id="rId18"/>
    <sheet name="Goverance, Risk &amp; Compliance" sheetId="13" r:id="rId19"/>
    <sheet name="Healthcare" sheetId="14" r:id="rId20"/>
    <sheet name="Payment Services" sheetId="15" r:id="rId21"/>
    <sheet name="Payroll &amp; HR" sheetId="16" r:id="rId22"/>
    <sheet name="Point of Sale" sheetId="17" r:id="rId23"/>
    <sheet name="Property Management" sheetId="18" r:id="rId24"/>
    <sheet name="Reporting &amp; Forecasting" sheetId="19" r:id="rId25"/>
  </sheets>
  <externalReferences>
    <externalReference r:id="rId26"/>
  </externalReferences>
  <definedNames>
    <definedName name="_xlnm._FilterDatabase" localSheetId="1" hidden="1">'Corporate Reseller USD'!$A$1:$K$14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45" i="2" l="1"/>
  <c r="I244" i="2"/>
  <c r="I511" i="23"/>
  <c r="I512" i="23"/>
  <c r="I513" i="23"/>
  <c r="I510" i="23"/>
  <c r="I472" i="23"/>
  <c r="I459" i="23"/>
  <c r="I458" i="23"/>
  <c r="I457" i="23"/>
  <c r="I456" i="23"/>
  <c r="I221" i="23"/>
  <c r="I220" i="23"/>
  <c r="I214" i="23"/>
  <c r="I215" i="23"/>
  <c r="I216" i="23"/>
  <c r="I217" i="23"/>
  <c r="I209" i="23"/>
  <c r="I208" i="23"/>
  <c r="I179" i="23"/>
  <c r="I178" i="23"/>
  <c r="I173" i="23"/>
  <c r="I172" i="23"/>
  <c r="I169" i="23"/>
  <c r="I168" i="23"/>
  <c r="I161" i="23"/>
  <c r="I160" i="23"/>
  <c r="I156" i="23"/>
  <c r="I157" i="23"/>
  <c r="I148" i="23"/>
  <c r="I149" i="23"/>
  <c r="I152" i="23"/>
  <c r="I153" i="23"/>
  <c r="I144" i="23"/>
  <c r="I145" i="23"/>
  <c r="I137" i="23"/>
  <c r="I136" i="23"/>
  <c r="I133" i="23"/>
  <c r="I132" i="23"/>
  <c r="I117" i="23"/>
  <c r="I116" i="23"/>
  <c r="I129" i="23"/>
  <c r="I128" i="23"/>
  <c r="I125" i="23"/>
  <c r="I124" i="23"/>
  <c r="I123" i="23"/>
  <c r="I122" i="23"/>
  <c r="I109" i="23"/>
  <c r="I108" i="23"/>
  <c r="I61" i="23"/>
  <c r="I60" i="23"/>
  <c r="I49" i="23"/>
  <c r="I48" i="23"/>
  <c r="I28" i="23"/>
  <c r="I27" i="23"/>
  <c r="I12" i="23"/>
  <c r="I257" i="2"/>
  <c r="I256" i="2"/>
  <c r="I253" i="2"/>
  <c r="I252" i="2"/>
  <c r="I255" i="2"/>
  <c r="I254" i="2"/>
  <c r="I171" i="2"/>
  <c r="I881" i="2"/>
  <c r="I880" i="2"/>
  <c r="I857" i="2"/>
  <c r="I804" i="2"/>
  <c r="I795" i="2"/>
  <c r="I794" i="2"/>
  <c r="I793" i="2"/>
  <c r="I792" i="2"/>
  <c r="I791" i="2"/>
  <c r="I790" i="2"/>
  <c r="I766" i="2"/>
  <c r="I767" i="2"/>
  <c r="I768" i="2"/>
  <c r="I769" i="2"/>
  <c r="I770" i="2"/>
  <c r="I771" i="2"/>
  <c r="I451" i="2"/>
  <c r="I450" i="2"/>
  <c r="I288" i="2"/>
  <c r="I262" i="2"/>
  <c r="I263" i="2"/>
  <c r="I264" i="2"/>
  <c r="I157" i="2"/>
  <c r="I158" i="2"/>
  <c r="I159" i="2"/>
  <c r="I160" i="2"/>
  <c r="I98" i="2"/>
  <c r="I99" i="2"/>
  <c r="I63" i="2" l="1"/>
  <c r="I64" i="2"/>
  <c r="I202" i="24"/>
  <c r="I203" i="24"/>
  <c r="I204" i="24"/>
  <c r="I205" i="24"/>
  <c r="I206" i="24"/>
  <c r="I207" i="24"/>
  <c r="I208" i="24"/>
  <c r="I209" i="24"/>
  <c r="I210" i="24"/>
  <c r="I211" i="24"/>
  <c r="I212" i="24"/>
  <c r="I213" i="24"/>
  <c r="I214" i="24"/>
  <c r="I215" i="24"/>
  <c r="I216" i="24"/>
  <c r="I217" i="24"/>
  <c r="I218" i="24"/>
  <c r="I219" i="24"/>
  <c r="I220" i="24"/>
  <c r="I221" i="24"/>
  <c r="I222" i="24"/>
  <c r="I223" i="24"/>
  <c r="I224" i="24"/>
  <c r="I225" i="24"/>
  <c r="I226" i="24"/>
  <c r="I201" i="24"/>
  <c r="I385" i="23" l="1"/>
  <c r="I386" i="23"/>
  <c r="I387" i="23"/>
  <c r="I388" i="23"/>
  <c r="I389" i="23"/>
  <c r="I390" i="23"/>
  <c r="I391" i="23"/>
  <c r="I392" i="23"/>
  <c r="I393" i="23"/>
  <c r="I394" i="23"/>
  <c r="I395" i="23"/>
  <c r="I396" i="23"/>
  <c r="I397" i="23"/>
  <c r="I398" i="23"/>
  <c r="I399" i="23"/>
  <c r="I400" i="23"/>
  <c r="I401" i="23"/>
  <c r="I402" i="23"/>
  <c r="I403" i="23"/>
  <c r="I404" i="23"/>
  <c r="I405" i="23"/>
  <c r="I406" i="23"/>
  <c r="I407" i="23"/>
  <c r="I408" i="23"/>
  <c r="I409" i="23"/>
  <c r="I410" i="23"/>
  <c r="I411" i="23"/>
  <c r="I412" i="23"/>
  <c r="I413" i="23"/>
  <c r="I414" i="23"/>
  <c r="I415" i="23"/>
  <c r="I416" i="23"/>
  <c r="I417" i="23"/>
  <c r="I418" i="23"/>
  <c r="I419" i="23"/>
  <c r="I420" i="23"/>
  <c r="I421" i="23"/>
  <c r="I422" i="23"/>
  <c r="I423" i="23"/>
  <c r="I424" i="23"/>
  <c r="I425" i="23"/>
  <c r="I426" i="23"/>
  <c r="I427" i="23"/>
  <c r="I428" i="23"/>
  <c r="I429" i="23"/>
  <c r="I430" i="23"/>
  <c r="I431" i="23"/>
  <c r="I432" i="23"/>
  <c r="I433" i="23"/>
  <c r="I434" i="23"/>
  <c r="I435" i="23"/>
  <c r="I384" i="23"/>
  <c r="I54" i="2"/>
  <c r="I53" i="2"/>
  <c r="I45" i="2"/>
  <c r="I44" i="2"/>
  <c r="I43" i="2"/>
  <c r="I39" i="2"/>
  <c r="I38" i="2"/>
  <c r="I37" i="2"/>
  <c r="I32" i="2" l="1"/>
  <c r="I33" i="2"/>
  <c r="I381" i="2"/>
  <c r="I380" i="2"/>
  <c r="I377" i="2"/>
  <c r="I376" i="2"/>
  <c r="I375" i="2"/>
  <c r="I369" i="2"/>
  <c r="I368" i="2"/>
  <c r="I362" i="2"/>
  <c r="I363" i="2"/>
  <c r="I364" i="2"/>
  <c r="I365" i="2"/>
  <c r="I21" i="2"/>
  <c r="I20" i="2"/>
  <c r="I320" i="24"/>
  <c r="I237" i="24"/>
  <c r="I230" i="24"/>
  <c r="I231" i="24"/>
  <c r="I232" i="24"/>
  <c r="I233" i="24"/>
  <c r="I234" i="24"/>
  <c r="I148" i="24"/>
  <c r="I7" i="24"/>
  <c r="I87" i="24"/>
  <c r="I88" i="24"/>
  <c r="I89" i="24"/>
  <c r="I90" i="24"/>
  <c r="I94" i="24"/>
  <c r="I196" i="24"/>
  <c r="I198" i="24"/>
  <c r="I292" i="24"/>
  <c r="I294" i="24"/>
  <c r="I296" i="24"/>
  <c r="I255" i="24"/>
  <c r="I257" i="24"/>
  <c r="I298" i="24"/>
  <c r="I48" i="24"/>
  <c r="I50" i="24"/>
  <c r="I51" i="24"/>
  <c r="I3" i="24"/>
  <c r="I5" i="24"/>
  <c r="I11" i="24"/>
  <c r="I10" i="24"/>
  <c r="I52" i="24"/>
  <c r="I53" i="24"/>
  <c r="I12" i="24"/>
  <c r="I55" i="24"/>
  <c r="I57" i="24"/>
  <c r="I64" i="24"/>
  <c r="I63" i="24"/>
  <c r="I66" i="24"/>
  <c r="I65" i="24"/>
  <c r="I68" i="24"/>
  <c r="I67" i="24"/>
  <c r="I70" i="24"/>
  <c r="I69" i="24"/>
  <c r="I72" i="24"/>
  <c r="I71" i="24"/>
  <c r="I61" i="24"/>
  <c r="I62" i="24"/>
  <c r="I59" i="24"/>
  <c r="I76" i="24"/>
  <c r="I75" i="24"/>
  <c r="I74" i="24"/>
  <c r="I73" i="24"/>
  <c r="I163" i="24"/>
  <c r="I162" i="24"/>
  <c r="I161" i="24"/>
  <c r="I160" i="24"/>
  <c r="I20" i="24"/>
  <c r="I19" i="24"/>
  <c r="I22" i="24"/>
  <c r="I21" i="24"/>
  <c r="I23" i="24"/>
  <c r="I28" i="24"/>
  <c r="I27" i="24"/>
  <c r="I29" i="24"/>
  <c r="I25" i="24"/>
  <c r="I31" i="24"/>
  <c r="I35" i="24"/>
  <c r="I33" i="24"/>
  <c r="I37" i="24"/>
  <c r="I308" i="24"/>
  <c r="I307" i="24"/>
  <c r="I306" i="24"/>
  <c r="I303" i="24"/>
  <c r="I305" i="24"/>
  <c r="I302" i="24"/>
  <c r="I79" i="24"/>
  <c r="I81" i="24"/>
  <c r="I83" i="24"/>
  <c r="I84" i="24"/>
  <c r="I85" i="24"/>
  <c r="I86" i="24"/>
  <c r="I312" i="24"/>
  <c r="I313" i="24"/>
  <c r="I314" i="24"/>
  <c r="I315" i="24"/>
  <c r="I316" i="24"/>
  <c r="I317" i="24"/>
  <c r="I39" i="24"/>
  <c r="I43" i="24"/>
  <c r="I42" i="24"/>
  <c r="I44" i="24"/>
  <c r="I126" i="24"/>
  <c r="I128" i="24"/>
  <c r="I129" i="24"/>
  <c r="I130" i="24"/>
  <c r="I131" i="24"/>
  <c r="I132" i="24"/>
  <c r="I134" i="24"/>
  <c r="I136" i="24"/>
  <c r="I138" i="24"/>
  <c r="I98" i="24"/>
  <c r="I100" i="24"/>
  <c r="I101" i="24"/>
  <c r="I102" i="24"/>
  <c r="I104" i="24"/>
  <c r="I106" i="24"/>
  <c r="I107" i="24"/>
  <c r="I108" i="24"/>
  <c r="I109" i="24"/>
  <c r="I110" i="24"/>
  <c r="I151" i="24"/>
  <c r="I150" i="24"/>
  <c r="I153" i="24"/>
  <c r="I152" i="24"/>
  <c r="I154" i="24"/>
  <c r="I157" i="24"/>
  <c r="I156" i="24"/>
  <c r="I159" i="24"/>
  <c r="I158" i="24"/>
  <c r="I114" i="24"/>
  <c r="I116" i="24"/>
  <c r="I117" i="24"/>
  <c r="I118" i="24"/>
  <c r="I119" i="24"/>
  <c r="I123" i="24"/>
  <c r="I122" i="24"/>
  <c r="I329" i="24"/>
  <c r="I330" i="24"/>
  <c r="I331" i="24"/>
  <c r="I328" i="24"/>
  <c r="I322" i="24"/>
  <c r="I323" i="24"/>
  <c r="I324" i="24"/>
  <c r="I325" i="24"/>
  <c r="I290" i="24"/>
  <c r="I288" i="24"/>
  <c r="I284" i="24"/>
  <c r="I283" i="24"/>
  <c r="I254" i="24"/>
  <c r="I252" i="24"/>
  <c r="I248" i="24"/>
  <c r="I247" i="24"/>
  <c r="I242" i="24"/>
  <c r="I250" i="24"/>
  <c r="I249" i="24"/>
  <c r="I245" i="24"/>
  <c r="I244" i="24"/>
  <c r="I277" i="24"/>
  <c r="I278" i="24"/>
  <c r="I270" i="24"/>
  <c r="I262" i="24"/>
  <c r="I263" i="24"/>
  <c r="I264" i="24"/>
  <c r="I265" i="24"/>
  <c r="I266" i="24"/>
  <c r="I267" i="24"/>
  <c r="I261" i="24"/>
  <c r="I229" i="24"/>
  <c r="I183" i="24"/>
  <c r="I181" i="24"/>
  <c r="I177" i="24"/>
  <c r="I174" i="24"/>
  <c r="I173" i="24"/>
  <c r="I168" i="24"/>
  <c r="I169" i="24"/>
  <c r="I170" i="24"/>
  <c r="I171" i="24"/>
  <c r="I172" i="24"/>
  <c r="I175" i="24"/>
  <c r="I176" i="24"/>
  <c r="I178" i="24"/>
  <c r="I179" i="24"/>
  <c r="I180" i="24"/>
  <c r="I182" i="24"/>
  <c r="I184" i="24"/>
  <c r="I167" i="24"/>
  <c r="I146" i="24"/>
  <c r="I144" i="24"/>
  <c r="I143" i="24"/>
  <c r="I142" i="24"/>
  <c r="I18" i="24"/>
  <c r="I15" i="24"/>
  <c r="I14" i="24"/>
  <c r="I141" i="24"/>
  <c r="I321" i="24"/>
  <c r="I311" i="24"/>
  <c r="I304" i="24"/>
  <c r="I299" i="24"/>
  <c r="I297" i="24"/>
  <c r="I295" i="24"/>
  <c r="I293" i="24"/>
  <c r="I291" i="24"/>
  <c r="I289" i="24"/>
  <c r="I285" i="24"/>
  <c r="I282" i="24"/>
  <c r="I281" i="24"/>
  <c r="I276" i="24"/>
  <c r="I275" i="24"/>
  <c r="I274" i="24"/>
  <c r="I271" i="24"/>
  <c r="I258" i="24"/>
  <c r="I256" i="24"/>
  <c r="I253" i="24"/>
  <c r="I251" i="24"/>
  <c r="I246" i="24"/>
  <c r="I243" i="24"/>
  <c r="I241" i="24"/>
  <c r="I240" i="24"/>
  <c r="I239" i="24"/>
  <c r="I238" i="24"/>
  <c r="I199" i="24"/>
  <c r="I197" i="24"/>
  <c r="I195" i="24"/>
  <c r="I194" i="24"/>
  <c r="I193" i="24"/>
  <c r="I192" i="24"/>
  <c r="I191" i="24"/>
  <c r="I190" i="24"/>
  <c r="I187" i="24"/>
  <c r="I155" i="24"/>
  <c r="I149" i="24"/>
  <c r="I147" i="24"/>
  <c r="I145" i="24"/>
  <c r="I140" i="24"/>
  <c r="I139" i="24"/>
  <c r="I137" i="24"/>
  <c r="I135" i="24"/>
  <c r="I133" i="24"/>
  <c r="I127" i="24"/>
  <c r="I115" i="24"/>
  <c r="I111" i="24"/>
  <c r="I105" i="24"/>
  <c r="I103" i="24"/>
  <c r="I99" i="24"/>
  <c r="I95" i="24"/>
  <c r="I93" i="24"/>
  <c r="I82" i="24"/>
  <c r="I80" i="24"/>
  <c r="I60" i="24"/>
  <c r="I58" i="24"/>
  <c r="I56" i="24"/>
  <c r="I54" i="24"/>
  <c r="I49" i="24"/>
  <c r="I45" i="24"/>
  <c r="I41" i="24"/>
  <c r="I40" i="24"/>
  <c r="I38" i="24"/>
  <c r="I36" i="24"/>
  <c r="I34" i="24"/>
  <c r="I32" i="24"/>
  <c r="I30" i="24"/>
  <c r="I26" i="24"/>
  <c r="I24" i="24"/>
  <c r="I17" i="24"/>
  <c r="I16" i="24"/>
  <c r="I13" i="24"/>
  <c r="I9" i="24"/>
  <c r="I8" i="24"/>
  <c r="I6" i="24"/>
  <c r="I4" i="24"/>
  <c r="I223" i="23" l="1"/>
  <c r="I224" i="23"/>
  <c r="I225" i="23"/>
  <c r="I226" i="23"/>
  <c r="I227" i="23"/>
  <c r="I222" i="23"/>
  <c r="I213" i="23"/>
  <c r="I212" i="23"/>
  <c r="I207" i="23"/>
  <c r="I205" i="23"/>
  <c r="I204" i="23"/>
  <c r="I200" i="23"/>
  <c r="I201" i="23"/>
  <c r="I296" i="23"/>
  <c r="I297" i="23"/>
  <c r="I298" i="23"/>
  <c r="I606" i="23"/>
  <c r="I601" i="23"/>
  <c r="I599" i="23"/>
  <c r="I598" i="23"/>
  <c r="I595" i="23"/>
  <c r="I592" i="23"/>
  <c r="I591" i="23"/>
  <c r="I195" i="23"/>
  <c r="I194" i="23"/>
  <c r="I193" i="23"/>
  <c r="I192" i="23"/>
  <c r="I191" i="23"/>
  <c r="I190" i="23"/>
  <c r="I189" i="23"/>
  <c r="I188" i="23"/>
  <c r="I187" i="23"/>
  <c r="I186" i="23"/>
  <c r="I185" i="23"/>
  <c r="I184" i="23"/>
  <c r="I183" i="23"/>
  <c r="I182" i="23"/>
  <c r="I181" i="23"/>
  <c r="I180" i="23"/>
  <c r="I175" i="23"/>
  <c r="I176" i="23"/>
  <c r="I177" i="23"/>
  <c r="I589" i="23"/>
  <c r="I588" i="23"/>
  <c r="I587" i="23"/>
  <c r="I585" i="23"/>
  <c r="I584" i="23"/>
  <c r="I583" i="23"/>
  <c r="I582" i="23"/>
  <c r="I581" i="23"/>
  <c r="I580" i="23"/>
  <c r="I577" i="23"/>
  <c r="I575" i="23"/>
  <c r="I574" i="23"/>
  <c r="I573" i="23"/>
  <c r="I572" i="23"/>
  <c r="I568" i="23"/>
  <c r="I569" i="23"/>
  <c r="I570" i="23"/>
  <c r="I571" i="23"/>
  <c r="I567" i="23"/>
  <c r="I30" i="23"/>
  <c r="I29" i="23"/>
  <c r="I20" i="23"/>
  <c r="I19" i="23"/>
  <c r="I18" i="23"/>
  <c r="I17" i="23"/>
  <c r="I16" i="23"/>
  <c r="I15" i="23"/>
  <c r="I14" i="23"/>
  <c r="I13" i="23"/>
  <c r="I8" i="23"/>
  <c r="I635" i="23"/>
  <c r="I636" i="23"/>
  <c r="I637" i="23"/>
  <c r="I638" i="23"/>
  <c r="I639" i="23"/>
  <c r="I640" i="23"/>
  <c r="I641" i="23"/>
  <c r="I642" i="23"/>
  <c r="I165" i="23"/>
  <c r="I164" i="23"/>
  <c r="I163" i="23"/>
  <c r="I159" i="23"/>
  <c r="I155" i="23"/>
  <c r="I142" i="23"/>
  <c r="I146" i="23"/>
  <c r="I147" i="23"/>
  <c r="I150" i="23"/>
  <c r="I151" i="23"/>
  <c r="I154" i="23"/>
  <c r="I553" i="23"/>
  <c r="I552" i="23"/>
  <c r="I551" i="23"/>
  <c r="I547" i="23"/>
  <c r="I548" i="23"/>
  <c r="I549" i="23"/>
  <c r="I563" i="23"/>
  <c r="I562" i="23"/>
  <c r="I561" i="23"/>
  <c r="I560" i="23"/>
  <c r="I559" i="23"/>
  <c r="I555" i="23"/>
  <c r="I556" i="23"/>
  <c r="I557" i="23"/>
  <c r="I558" i="23"/>
  <c r="I59" i="23"/>
  <c r="I58" i="23"/>
  <c r="I57" i="23"/>
  <c r="I56" i="23"/>
  <c r="I55" i="23"/>
  <c r="I54" i="23"/>
  <c r="I53" i="23"/>
  <c r="I52" i="23"/>
  <c r="I51" i="23"/>
  <c r="I50" i="23"/>
  <c r="I47" i="23"/>
  <c r="I46" i="23"/>
  <c r="I43" i="23"/>
  <c r="I42" i="23"/>
  <c r="I41" i="23"/>
  <c r="I40" i="23"/>
  <c r="I38" i="23"/>
  <c r="I36" i="23"/>
  <c r="I34" i="23"/>
  <c r="I33" i="23"/>
  <c r="I32" i="23"/>
  <c r="I135" i="23"/>
  <c r="I134" i="23"/>
  <c r="I127" i="23"/>
  <c r="I26" i="23"/>
  <c r="I25" i="23"/>
  <c r="I24" i="23"/>
  <c r="I23" i="23"/>
  <c r="I121" i="23"/>
  <c r="I139" i="23"/>
  <c r="I138" i="23"/>
  <c r="I131" i="23"/>
  <c r="I130" i="23"/>
  <c r="I112" i="23"/>
  <c r="I113" i="23"/>
  <c r="I119" i="23"/>
  <c r="I115" i="23"/>
  <c r="I111" i="23"/>
  <c r="I110" i="23"/>
  <c r="I107" i="23"/>
  <c r="I106" i="23"/>
  <c r="I105" i="23"/>
  <c r="I103" i="23"/>
  <c r="I102" i="23"/>
  <c r="I99" i="23"/>
  <c r="I97" i="23"/>
  <c r="I96" i="23"/>
  <c r="I90" i="23"/>
  <c r="I91" i="23"/>
  <c r="I543" i="23"/>
  <c r="I542" i="23"/>
  <c r="I541" i="23"/>
  <c r="I540" i="23"/>
  <c r="I255" i="23"/>
  <c r="I254" i="23"/>
  <c r="I257" i="23"/>
  <c r="I253" i="23"/>
  <c r="I539" i="23"/>
  <c r="I538" i="23"/>
  <c r="I537" i="23"/>
  <c r="I535" i="23"/>
  <c r="I534" i="23"/>
  <c r="I531" i="23"/>
  <c r="I530" i="23"/>
  <c r="I529" i="23"/>
  <c r="I527" i="23"/>
  <c r="I526" i="23"/>
  <c r="I521" i="23"/>
  <c r="I522" i="23"/>
  <c r="I523" i="23"/>
  <c r="I515" i="23"/>
  <c r="I516" i="23"/>
  <c r="I517" i="23"/>
  <c r="I501" i="23"/>
  <c r="I502" i="23"/>
  <c r="I503" i="23"/>
  <c r="I504" i="23"/>
  <c r="I505" i="23"/>
  <c r="I506" i="23"/>
  <c r="I507" i="23"/>
  <c r="I251" i="23"/>
  <c r="I250" i="23"/>
  <c r="I249" i="23"/>
  <c r="I248" i="23"/>
  <c r="I247" i="23"/>
  <c r="I245" i="23"/>
  <c r="I243" i="23"/>
  <c r="I241" i="23"/>
  <c r="I240" i="23"/>
  <c r="I237" i="23"/>
  <c r="I235" i="23"/>
  <c r="I234" i="23"/>
  <c r="I382" i="23"/>
  <c r="I381" i="23"/>
  <c r="I380" i="23"/>
  <c r="I379" i="23"/>
  <c r="I483" i="23"/>
  <c r="I484" i="23"/>
  <c r="I485" i="23"/>
  <c r="I486" i="23"/>
  <c r="I487" i="23"/>
  <c r="I488" i="23"/>
  <c r="I489" i="23"/>
  <c r="I490" i="23"/>
  <c r="I491" i="23"/>
  <c r="I492" i="23"/>
  <c r="I493" i="23"/>
  <c r="I494" i="23"/>
  <c r="I495" i="23"/>
  <c r="I496" i="23"/>
  <c r="I497" i="23"/>
  <c r="I478" i="23"/>
  <c r="I479" i="23"/>
  <c r="I473" i="23"/>
  <c r="I471" i="23"/>
  <c r="I470" i="23"/>
  <c r="I467" i="23"/>
  <c r="I466" i="23"/>
  <c r="I469" i="23"/>
  <c r="I468" i="23"/>
  <c r="I463" i="23"/>
  <c r="I464" i="23"/>
  <c r="I465" i="23"/>
  <c r="I455" i="23"/>
  <c r="I454" i="23"/>
  <c r="I453" i="23"/>
  <c r="I450" i="23"/>
  <c r="I451" i="23"/>
  <c r="I449" i="23"/>
  <c r="I445" i="23"/>
  <c r="I444" i="23"/>
  <c r="I439" i="23"/>
  <c r="I440" i="23"/>
  <c r="I438" i="23"/>
  <c r="I443" i="23"/>
  <c r="I441" i="23"/>
  <c r="I631" i="23"/>
  <c r="I632" i="23"/>
  <c r="I633" i="23"/>
  <c r="I630" i="23"/>
  <c r="I378" i="23"/>
  <c r="I377" i="23"/>
  <c r="I376" i="23"/>
  <c r="I375" i="23"/>
  <c r="I362" i="23"/>
  <c r="I361" i="23"/>
  <c r="I360" i="23"/>
  <c r="I358" i="23"/>
  <c r="I357" i="23"/>
  <c r="I374" i="23"/>
  <c r="I373" i="23"/>
  <c r="I372" i="23"/>
  <c r="I371" i="23"/>
  <c r="I370" i="23"/>
  <c r="I369" i="23"/>
  <c r="I368" i="23"/>
  <c r="I367" i="23"/>
  <c r="I354" i="23"/>
  <c r="I353" i="23"/>
  <c r="I350" i="23"/>
  <c r="I349" i="23"/>
  <c r="I348" i="23"/>
  <c r="I346" i="23"/>
  <c r="I345" i="23"/>
  <c r="I344" i="23"/>
  <c r="I342" i="23"/>
  <c r="I339" i="23"/>
  <c r="I340" i="23"/>
  <c r="I366" i="23"/>
  <c r="I364" i="23"/>
  <c r="I365" i="23"/>
  <c r="I363" i="23"/>
  <c r="I306" i="23"/>
  <c r="I307" i="23"/>
  <c r="I308" i="23"/>
  <c r="I309" i="23"/>
  <c r="I310" i="23"/>
  <c r="I311" i="23"/>
  <c r="I312" i="23"/>
  <c r="I313" i="23"/>
  <c r="I314" i="23"/>
  <c r="I315" i="23"/>
  <c r="I316" i="23"/>
  <c r="I317" i="23"/>
  <c r="I318" i="23"/>
  <c r="I319" i="23"/>
  <c r="I320" i="23"/>
  <c r="I321" i="23"/>
  <c r="I322" i="23"/>
  <c r="I323" i="23"/>
  <c r="I324" i="23"/>
  <c r="I325" i="23"/>
  <c r="I326" i="23"/>
  <c r="I327" i="23"/>
  <c r="I328" i="23"/>
  <c r="I329" i="23"/>
  <c r="I330" i="23"/>
  <c r="I331" i="23"/>
  <c r="I332" i="23"/>
  <c r="I333" i="23"/>
  <c r="I334" i="23"/>
  <c r="I305" i="23"/>
  <c r="I303" i="23"/>
  <c r="I304" i="23"/>
  <c r="I292" i="23"/>
  <c r="I291" i="23"/>
  <c r="I288" i="23"/>
  <c r="I287" i="23"/>
  <c r="I284" i="23"/>
  <c r="I283" i="23"/>
  <c r="I280" i="23"/>
  <c r="I279" i="23"/>
  <c r="I278" i="23"/>
  <c r="I276" i="23"/>
  <c r="I275" i="23"/>
  <c r="I274" i="23"/>
  <c r="I273" i="23"/>
  <c r="I271" i="23"/>
  <c r="I272" i="23"/>
  <c r="I263" i="23"/>
  <c r="I264" i="23"/>
  <c r="I265" i="23"/>
  <c r="I266" i="23"/>
  <c r="I267" i="23"/>
  <c r="I268" i="23"/>
  <c r="I269" i="23"/>
  <c r="I270" i="23"/>
  <c r="I262" i="23"/>
  <c r="I231" i="23"/>
  <c r="I62" i="23"/>
  <c r="I167" i="23"/>
  <c r="I166" i="23"/>
  <c r="I628" i="23" l="1"/>
  <c r="I627" i="23"/>
  <c r="I626" i="23"/>
  <c r="I625" i="23"/>
  <c r="I624" i="23"/>
  <c r="I623" i="23"/>
  <c r="I620" i="23"/>
  <c r="I619" i="23"/>
  <c r="I618" i="23"/>
  <c r="I617" i="23"/>
  <c r="I614" i="23"/>
  <c r="I613" i="23"/>
  <c r="I612" i="23"/>
  <c r="I611" i="23"/>
  <c r="I610" i="23"/>
  <c r="I609" i="23"/>
  <c r="I608" i="23"/>
  <c r="I607" i="23"/>
  <c r="I605" i="23"/>
  <c r="I604" i="23"/>
  <c r="I603" i="23"/>
  <c r="I602" i="23"/>
  <c r="I600" i="23"/>
  <c r="I597" i="23"/>
  <c r="I596" i="23"/>
  <c r="I594" i="23"/>
  <c r="I593" i="23"/>
  <c r="I590" i="23"/>
  <c r="I586" i="23"/>
  <c r="I579" i="23"/>
  <c r="I578" i="23"/>
  <c r="I576" i="23"/>
  <c r="I566" i="23"/>
  <c r="I554" i="23"/>
  <c r="I550" i="23"/>
  <c r="I546" i="23"/>
  <c r="I536" i="23"/>
  <c r="I533" i="23"/>
  <c r="I532" i="23"/>
  <c r="I528" i="23"/>
  <c r="I525" i="23"/>
  <c r="I524" i="23"/>
  <c r="I520" i="23"/>
  <c r="I514" i="23"/>
  <c r="I500" i="23"/>
  <c r="I482" i="23"/>
  <c r="I477" i="23"/>
  <c r="I476" i="23"/>
  <c r="I462" i="23"/>
  <c r="I452" i="23"/>
  <c r="I448" i="23"/>
  <c r="I442" i="23"/>
  <c r="I359" i="23"/>
  <c r="I356" i="23"/>
  <c r="I355" i="23"/>
  <c r="I352" i="23"/>
  <c r="I351" i="23"/>
  <c r="I347" i="23"/>
  <c r="I343" i="23"/>
  <c r="I341" i="23"/>
  <c r="I338" i="23"/>
  <c r="I337" i="23"/>
  <c r="I302" i="23"/>
  <c r="I301" i="23"/>
  <c r="I295" i="23"/>
  <c r="I290" i="23"/>
  <c r="I289" i="23"/>
  <c r="I286" i="23"/>
  <c r="I285" i="23"/>
  <c r="I282" i="23"/>
  <c r="I281" i="23"/>
  <c r="I277" i="23"/>
  <c r="I261" i="23"/>
  <c r="I256" i="23"/>
  <c r="I252" i="23"/>
  <c r="I246" i="23"/>
  <c r="I244" i="23"/>
  <c r="I242" i="23"/>
  <c r="I239" i="23"/>
  <c r="I238" i="23"/>
  <c r="I236" i="23"/>
  <c r="I233" i="23"/>
  <c r="I232" i="23"/>
  <c r="I230" i="23"/>
  <c r="I206" i="23"/>
  <c r="I203" i="23"/>
  <c r="I202" i="23"/>
  <c r="I199" i="23"/>
  <c r="I198" i="23"/>
  <c r="I174" i="23"/>
  <c r="I162" i="23"/>
  <c r="I158" i="23"/>
  <c r="I143" i="23"/>
  <c r="I126" i="23"/>
  <c r="I120" i="23"/>
  <c r="I118" i="23"/>
  <c r="I114" i="23"/>
  <c r="I104" i="23"/>
  <c r="I101" i="23"/>
  <c r="I100" i="23"/>
  <c r="I98" i="23"/>
  <c r="I95" i="23"/>
  <c r="I94" i="23"/>
  <c r="I92" i="23"/>
  <c r="I89" i="23"/>
  <c r="I88" i="23"/>
  <c r="I45" i="23"/>
  <c r="I44" i="23"/>
  <c r="I39" i="23"/>
  <c r="I37" i="23"/>
  <c r="I21" i="23"/>
  <c r="I11" i="23"/>
  <c r="I9" i="23"/>
  <c r="I7" i="23"/>
  <c r="I4" i="23"/>
  <c r="I3" i="23"/>
  <c r="I107" i="2" l="1"/>
  <c r="I106" i="2"/>
  <c r="I773" i="2"/>
  <c r="I772" i="2"/>
  <c r="I117" i="2"/>
  <c r="I116" i="2"/>
  <c r="I113" i="2"/>
  <c r="I114" i="2"/>
  <c r="I115" i="2"/>
  <c r="I112" i="2"/>
  <c r="I111" i="2" l="1"/>
  <c r="I110" i="2"/>
  <c r="I109" i="2"/>
  <c r="I108" i="2"/>
  <c r="I832" i="2"/>
  <c r="I831" i="2"/>
  <c r="I830" i="2"/>
  <c r="I573" i="2"/>
  <c r="I574" i="2"/>
  <c r="I575" i="2"/>
  <c r="I461" i="2"/>
  <c r="I460" i="2"/>
  <c r="I442" i="2"/>
  <c r="I441" i="2"/>
  <c r="I440" i="2"/>
  <c r="I289"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299" i="2"/>
  <c r="I290" i="2"/>
  <c r="I216" i="2"/>
  <c r="I215" i="2"/>
  <c r="I214" i="2"/>
  <c r="I213" i="2"/>
  <c r="I59" i="2"/>
  <c r="I856" i="2"/>
  <c r="I855" i="2"/>
  <c r="I249" i="2"/>
  <c r="I248" i="2"/>
  <c r="I247" i="2"/>
  <c r="I246" i="2"/>
  <c r="I243" i="2"/>
  <c r="I242" i="2"/>
  <c r="I879" i="2"/>
  <c r="I878" i="2"/>
  <c r="I765" i="2"/>
  <c r="I764" i="2"/>
  <c r="I755" i="2"/>
  <c r="I754" i="2"/>
  <c r="I753" i="2"/>
  <c r="I752" i="2"/>
  <c r="I763" i="2"/>
  <c r="I762" i="2"/>
  <c r="I759" i="2"/>
  <c r="I758" i="2"/>
  <c r="I757" i="2"/>
  <c r="I756" i="2"/>
  <c r="I170" i="2"/>
  <c r="I169" i="2"/>
  <c r="I168" i="2"/>
  <c r="I167" i="2"/>
  <c r="I166" i="2"/>
  <c r="I165" i="2"/>
  <c r="I164" i="2"/>
  <c r="I151" i="2"/>
  <c r="I152" i="2"/>
  <c r="I153" i="2"/>
  <c r="I154" i="2"/>
  <c r="I155" i="2"/>
  <c r="I156" i="2"/>
  <c r="I161" i="2"/>
  <c r="I162" i="2"/>
  <c r="I163" i="2"/>
  <c r="I761" i="2"/>
  <c r="I760" i="2"/>
  <c r="I83" i="2"/>
  <c r="I82" i="2"/>
  <c r="I226" i="2"/>
  <c r="I225" i="2"/>
  <c r="I70" i="2"/>
  <c r="I69" i="2"/>
  <c r="I131" i="2" l="1"/>
  <c r="I132" i="2"/>
  <c r="I133" i="2"/>
  <c r="I134" i="2"/>
  <c r="I135" i="2"/>
  <c r="I136" i="2"/>
  <c r="I130" i="2"/>
  <c r="I129" i="2"/>
  <c r="I789" i="2"/>
  <c r="I788" i="2"/>
  <c r="I787" i="2"/>
  <c r="I786" i="2"/>
  <c r="I103" i="2"/>
  <c r="I102" i="2"/>
  <c r="I101" i="2"/>
  <c r="I100" i="2"/>
  <c r="I97" i="2"/>
  <c r="I96" i="2"/>
  <c r="I95" i="2"/>
  <c r="I94" i="2"/>
  <c r="I93" i="2"/>
  <c r="I92" i="2"/>
  <c r="I91" i="2"/>
  <c r="I90" i="2"/>
  <c r="I89" i="2"/>
  <c r="I88" i="2"/>
  <c r="I87" i="2"/>
  <c r="I86" i="2"/>
  <c r="I388" i="2"/>
  <c r="I389" i="2"/>
  <c r="I386" i="2"/>
  <c r="I387" i="2"/>
  <c r="I385" i="2"/>
  <c r="I384" i="2"/>
  <c r="I127" i="2"/>
  <c r="I128" i="2"/>
  <c r="I126" i="2"/>
  <c r="I747" i="2"/>
  <c r="I746" i="2"/>
  <c r="I745" i="2"/>
  <c r="I467" i="2"/>
  <c r="I468" i="2"/>
  <c r="I469" i="2"/>
  <c r="I686" i="2" l="1"/>
  <c r="I685" i="2"/>
  <c r="I684" i="2"/>
  <c r="I677" i="2"/>
  <c r="I678" i="2"/>
  <c r="I679" i="2"/>
  <c r="I680" i="2"/>
  <c r="I681" i="2"/>
  <c r="I682" i="2"/>
  <c r="I683" i="2"/>
  <c r="I665" i="2"/>
  <c r="I666" i="2"/>
  <c r="I667" i="2"/>
  <c r="I668" i="2"/>
  <c r="I669" i="2"/>
  <c r="I670" i="2"/>
  <c r="I671" i="2"/>
  <c r="I672" i="2"/>
  <c r="I673" i="2"/>
  <c r="I674" i="2"/>
  <c r="I675" i="2"/>
  <c r="I676" i="2"/>
  <c r="I664" i="2"/>
  <c r="I663" i="2"/>
  <c r="I836" i="2"/>
  <c r="I835" i="2"/>
  <c r="I834" i="2"/>
  <c r="I833" i="2"/>
  <c r="I829" i="2"/>
  <c r="I828" i="2"/>
  <c r="I815" i="2"/>
  <c r="I806" i="2"/>
  <c r="I808" i="2"/>
  <c r="I809" i="2"/>
  <c r="I810" i="2"/>
  <c r="I811" i="2"/>
  <c r="I813" i="2"/>
  <c r="I814" i="2"/>
  <c r="I812" i="2"/>
  <c r="I816" i="2"/>
  <c r="I817" i="2"/>
  <c r="I807" i="2"/>
  <c r="I78" i="2"/>
  <c r="I79" i="2"/>
  <c r="I80" i="2"/>
  <c r="I81" i="2"/>
  <c r="I77" i="2"/>
  <c r="I105" i="2" l="1"/>
  <c r="I409" i="2"/>
  <c r="I411" i="2"/>
  <c r="I410" i="2"/>
  <c r="I825" i="2"/>
  <c r="I824" i="2"/>
  <c r="I823" i="2"/>
  <c r="I145" i="2"/>
  <c r="I144" i="2"/>
  <c r="I827" i="2"/>
  <c r="I826" i="2"/>
  <c r="I281" i="2" l="1"/>
  <c r="I850" i="2"/>
  <c r="I820" i="2"/>
  <c r="I722" i="2"/>
  <c r="I719" i="2"/>
  <c r="I716" i="2"/>
  <c r="I713" i="2"/>
  <c r="I708" i="2"/>
  <c r="I704" i="2"/>
  <c r="I641" i="2"/>
  <c r="I637" i="2"/>
  <c r="I633" i="2"/>
  <c r="I630" i="2"/>
  <c r="I616" i="2"/>
  <c r="I416" i="2"/>
  <c r="I403" i="2" l="1"/>
  <c r="I313" i="2"/>
  <c r="I287" i="2"/>
  <c r="I283" i="2"/>
  <c r="I854" i="2"/>
  <c r="I861" i="2"/>
  <c r="I799" i="2"/>
  <c r="I848" i="2"/>
  <c r="I251" i="2"/>
  <c r="I241" i="2"/>
  <c r="I751" i="2"/>
  <c r="I72" i="2"/>
  <c r="I85" i="2"/>
  <c r="I356" i="2"/>
  <c r="I448" i="2"/>
  <c r="I876" i="2"/>
  <c r="I435" i="2"/>
  <c r="I438" i="2"/>
  <c r="I701" i="2"/>
  <c r="I655" i="2"/>
  <c r="I648" i="2"/>
  <c r="I646" i="2"/>
  <c r="I644" i="2"/>
  <c r="I314" i="2"/>
  <c r="I315" i="2"/>
  <c r="I316" i="2"/>
  <c r="I317" i="2"/>
  <c r="I318" i="2"/>
  <c r="I319" i="2"/>
  <c r="I320" i="2"/>
  <c r="I321" i="2"/>
  <c r="I322" i="2"/>
  <c r="I323" i="2"/>
  <c r="I324" i="2"/>
  <c r="I325" i="2"/>
  <c r="I312" i="2"/>
  <c r="I301" i="2"/>
  <c r="I302" i="2"/>
  <c r="I303" i="2"/>
  <c r="I304" i="2"/>
  <c r="I305" i="2"/>
  <c r="I306" i="2"/>
  <c r="I307" i="2"/>
  <c r="I308" i="2"/>
  <c r="I309" i="2"/>
  <c r="I310" i="2"/>
  <c r="I311" i="2"/>
  <c r="I300" i="2"/>
  <c r="I298" i="2"/>
  <c r="I297" i="2"/>
  <c r="I296" i="2"/>
  <c r="I295" i="2"/>
  <c r="I294" i="2"/>
  <c r="I293" i="2"/>
  <c r="I292" i="2"/>
  <c r="I291" i="2"/>
  <c r="I286" i="2"/>
  <c r="I282" i="2"/>
  <c r="I853" i="2"/>
  <c r="I862" i="2"/>
  <c r="I860" i="2"/>
  <c r="I864" i="2"/>
  <c r="I237" i="2"/>
  <c r="I221" i="2"/>
  <c r="I217" i="2"/>
  <c r="I211" i="2"/>
  <c r="I209" i="2"/>
  <c r="I199" i="2"/>
  <c r="I202" i="2"/>
  <c r="I205" i="2"/>
  <c r="I197" i="2"/>
  <c r="I800" i="2"/>
  <c r="I798" i="2"/>
  <c r="I819" i="2"/>
  <c r="I175" i="2"/>
  <c r="I173" i="2"/>
  <c r="I49" i="2"/>
  <c r="I57" i="2"/>
  <c r="I851" i="2"/>
  <c r="I849" i="2"/>
  <c r="I847" i="2"/>
  <c r="I250" i="2"/>
  <c r="I240" i="2"/>
  <c r="I778" i="2"/>
  <c r="I776" i="2"/>
  <c r="I750" i="2"/>
  <c r="I140" i="2"/>
  <c r="I138" i="2"/>
  <c r="I147" i="2"/>
  <c r="I73" i="2"/>
  <c r="I75" i="2"/>
  <c r="I71" i="2"/>
  <c r="I84" i="2"/>
  <c r="I382" i="2"/>
  <c r="I392" i="2"/>
  <c r="I390" i="2"/>
  <c r="I65" i="2"/>
  <c r="I124" i="2"/>
  <c r="I122" i="2"/>
  <c r="I119" i="2"/>
  <c r="I67" i="2"/>
  <c r="I227" i="2"/>
  <c r="I229" i="2"/>
  <c r="I223" i="2"/>
  <c r="I231" i="2"/>
  <c r="I840" i="2"/>
  <c r="I13" i="2"/>
  <c r="I11" i="2"/>
  <c r="I7" i="2"/>
  <c r="I9" i="2"/>
  <c r="I5" i="2"/>
  <c r="I3" i="2"/>
  <c r="I397" i="2"/>
  <c r="I395" i="2"/>
  <c r="I875" i="2"/>
  <c r="I654" i="2"/>
  <c r="I647" i="2"/>
  <c r="I645" i="2"/>
  <c r="I643" i="2"/>
  <c r="I149" i="2"/>
  <c r="I652" i="2" l="1"/>
  <c r="I651" i="2"/>
  <c r="I635" i="2"/>
  <c r="I421" i="2"/>
  <c r="I420" i="2"/>
  <c r="I143" i="2"/>
  <c r="I843" i="2"/>
  <c r="I266" i="2"/>
  <c r="I25" i="2"/>
  <c r="I19" i="2" l="1"/>
  <c r="I6" i="2"/>
  <c r="I8" i="2"/>
  <c r="I10" i="2"/>
  <c r="I12" i="2"/>
  <c r="I14" i="2"/>
  <c r="I16" i="2"/>
  <c r="I17" i="2"/>
  <c r="I18" i="2"/>
  <c r="I23" i="2"/>
  <c r="I24" i="2"/>
  <c r="I30" i="2"/>
  <c r="I31" i="2"/>
  <c r="I34" i="2"/>
  <c r="I35" i="2"/>
  <c r="I36" i="2"/>
  <c r="I40" i="2"/>
  <c r="I41" i="2"/>
  <c r="I42" i="2"/>
  <c r="I46" i="2"/>
  <c r="I47" i="2"/>
  <c r="I48" i="2"/>
  <c r="I50" i="2"/>
  <c r="I51" i="2"/>
  <c r="I52" i="2"/>
  <c r="I55" i="2"/>
  <c r="I56" i="2"/>
  <c r="I58" i="2"/>
  <c r="I61" i="2"/>
  <c r="I62" i="2"/>
  <c r="I66" i="2"/>
  <c r="I68" i="2"/>
  <c r="I74" i="2"/>
  <c r="I76" i="2"/>
  <c r="I120" i="2"/>
  <c r="I123" i="2"/>
  <c r="I125" i="2"/>
  <c r="I139" i="2"/>
  <c r="I141" i="2"/>
  <c r="I142" i="2"/>
  <c r="I148" i="2"/>
  <c r="I150" i="2"/>
  <c r="I174" i="2"/>
  <c r="I176" i="2"/>
  <c r="I179" i="2"/>
  <c r="I180" i="2"/>
  <c r="I181" i="2"/>
  <c r="I182" i="2"/>
  <c r="I183" i="2"/>
  <c r="I184" i="2"/>
  <c r="I185" i="2"/>
  <c r="I186" i="2"/>
  <c r="I187" i="2"/>
  <c r="I188" i="2"/>
  <c r="I189" i="2"/>
  <c r="I190" i="2"/>
  <c r="I191" i="2"/>
  <c r="I192" i="2"/>
  <c r="I193" i="2"/>
  <c r="I194" i="2"/>
  <c r="I198" i="2"/>
  <c r="I200" i="2"/>
  <c r="I201" i="2"/>
  <c r="I203" i="2"/>
  <c r="I204" i="2"/>
  <c r="I206" i="2"/>
  <c r="I210" i="2"/>
  <c r="I212" i="2"/>
  <c r="I218" i="2"/>
  <c r="I222" i="2"/>
  <c r="I224" i="2"/>
  <c r="I228" i="2"/>
  <c r="I230" i="2"/>
  <c r="I232" i="2"/>
  <c r="I238" i="2"/>
  <c r="I267" i="2"/>
  <c r="I270" i="2"/>
  <c r="I271" i="2"/>
  <c r="I272" i="2"/>
  <c r="I273" i="2"/>
  <c r="I274" i="2"/>
  <c r="I275" i="2"/>
  <c r="I278" i="2"/>
  <c r="I279" i="2"/>
  <c r="I280" i="2"/>
  <c r="I284" i="2"/>
  <c r="I285" i="2"/>
  <c r="I354" i="2"/>
  <c r="I355" i="2"/>
  <c r="I360" i="2"/>
  <c r="I361" i="2"/>
  <c r="I366" i="2"/>
  <c r="I367" i="2"/>
  <c r="I370" i="2"/>
  <c r="I371" i="2"/>
  <c r="I372" i="2"/>
  <c r="I373" i="2"/>
  <c r="I374" i="2"/>
  <c r="I378" i="2"/>
  <c r="I379" i="2"/>
  <c r="I383" i="2"/>
  <c r="I391" i="2"/>
  <c r="I393" i="2"/>
  <c r="I394" i="2"/>
  <c r="I398" i="2"/>
  <c r="I404" i="2"/>
  <c r="I405" i="2"/>
  <c r="I406" i="2"/>
  <c r="I407" i="2"/>
  <c r="I408" i="2"/>
  <c r="I412" i="2"/>
  <c r="I413" i="2"/>
  <c r="I414" i="2"/>
  <c r="I415" i="2"/>
  <c r="I417" i="2"/>
  <c r="I418" i="2"/>
  <c r="I423" i="2"/>
  <c r="I424" i="2"/>
  <c r="I425" i="2"/>
  <c r="I426" i="2"/>
  <c r="I427" i="2"/>
  <c r="I428" i="2"/>
  <c r="I430" i="2"/>
  <c r="I431" i="2"/>
  <c r="I434" i="2"/>
  <c r="I436" i="2"/>
  <c r="I437" i="2"/>
  <c r="I439" i="2"/>
  <c r="I444" i="2"/>
  <c r="I445" i="2"/>
  <c r="I446" i="2"/>
  <c r="I447" i="2"/>
  <c r="I449" i="2"/>
  <c r="I452" i="2"/>
  <c r="I453" i="2"/>
  <c r="I454" i="2"/>
  <c r="I455" i="2"/>
  <c r="I456" i="2"/>
  <c r="I457" i="2"/>
  <c r="I458" i="2"/>
  <c r="I459" i="2"/>
  <c r="I617" i="2"/>
  <c r="I465" i="2"/>
  <c r="I466" i="2"/>
  <c r="I472" i="2"/>
  <c r="I473" i="2"/>
  <c r="I474" i="2"/>
  <c r="I475" i="2"/>
  <c r="I476" i="2"/>
  <c r="I477" i="2"/>
  <c r="I478" i="2"/>
  <c r="I479" i="2"/>
  <c r="I480" i="2"/>
  <c r="I481" i="2"/>
  <c r="I482" i="2"/>
  <c r="I483" i="2"/>
  <c r="I484" i="2"/>
  <c r="I485" i="2"/>
  <c r="I486" i="2"/>
  <c r="I488" i="2"/>
  <c r="I489" i="2"/>
  <c r="I490" i="2"/>
  <c r="I491" i="2"/>
  <c r="I492" i="2"/>
  <c r="I493"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70" i="2"/>
  <c r="I571" i="2"/>
  <c r="I572" i="2"/>
  <c r="I576" i="2"/>
  <c r="I577" i="2"/>
  <c r="I578" i="2"/>
  <c r="I579" i="2"/>
  <c r="I580" i="2"/>
  <c r="I581" i="2"/>
  <c r="I582" i="2"/>
  <c r="I583" i="2"/>
  <c r="I584" i="2"/>
  <c r="I585" i="2"/>
  <c r="I586" i="2"/>
  <c r="I587" i="2"/>
  <c r="I588" i="2"/>
  <c r="I589" i="2"/>
  <c r="I590" i="2"/>
  <c r="I591" i="2"/>
  <c r="I592" i="2"/>
  <c r="I593" i="2"/>
  <c r="I594" i="2"/>
  <c r="I595" i="2"/>
  <c r="I598" i="2"/>
  <c r="I599" i="2"/>
  <c r="I600" i="2"/>
  <c r="I601" i="2"/>
  <c r="I602" i="2"/>
  <c r="I603" i="2"/>
  <c r="I604" i="2"/>
  <c r="I605" i="2"/>
  <c r="I606" i="2"/>
  <c r="I607" i="2"/>
  <c r="I608" i="2"/>
  <c r="I610" i="2"/>
  <c r="I611" i="2"/>
  <c r="I613" i="2"/>
  <c r="I614" i="2"/>
  <c r="I615" i="2"/>
  <c r="I619" i="2"/>
  <c r="I620" i="2"/>
  <c r="I621" i="2"/>
  <c r="I622" i="2"/>
  <c r="I623" i="2"/>
  <c r="I624" i="2"/>
  <c r="I628" i="2"/>
  <c r="I629" i="2"/>
  <c r="I631" i="2"/>
  <c r="I632" i="2"/>
  <c r="I634" i="2"/>
  <c r="I636" i="2"/>
  <c r="I638" i="2"/>
  <c r="I639" i="2"/>
  <c r="I640" i="2"/>
  <c r="I649" i="2"/>
  <c r="I650" i="2"/>
  <c r="I657" i="2"/>
  <c r="I658" i="2"/>
  <c r="I659" i="2"/>
  <c r="I660" i="2"/>
  <c r="I661" i="2"/>
  <c r="I689" i="2"/>
  <c r="I690" i="2"/>
  <c r="I691" i="2"/>
  <c r="I692" i="2"/>
  <c r="I693" i="2"/>
  <c r="I694" i="2"/>
  <c r="I697" i="2"/>
  <c r="I698" i="2"/>
  <c r="I700" i="2"/>
  <c r="I702" i="2"/>
  <c r="I703" i="2"/>
  <c r="I706" i="2"/>
  <c r="I707" i="2"/>
  <c r="I711" i="2"/>
  <c r="I712" i="2"/>
  <c r="I714" i="2"/>
  <c r="I715" i="2"/>
  <c r="I717" i="2"/>
  <c r="I718" i="2"/>
  <c r="I720" i="2"/>
  <c r="I721" i="2"/>
  <c r="I725" i="2"/>
  <c r="I726" i="2"/>
  <c r="I727" i="2"/>
  <c r="I728" i="2"/>
  <c r="I729" i="2"/>
  <c r="I730" i="2"/>
  <c r="I731" i="2"/>
  <c r="I732" i="2"/>
  <c r="I733" i="2"/>
  <c r="I734" i="2"/>
  <c r="I735" i="2"/>
  <c r="I736" i="2"/>
  <c r="I739" i="2"/>
  <c r="I740" i="2"/>
  <c r="I741" i="2"/>
  <c r="I742" i="2"/>
  <c r="I743" i="2"/>
  <c r="I744" i="2"/>
  <c r="I777" i="2"/>
  <c r="I779" i="2"/>
  <c r="I782" i="2"/>
  <c r="I783" i="2"/>
  <c r="I784" i="2"/>
  <c r="I785" i="2"/>
  <c r="I801" i="2"/>
  <c r="I802" i="2"/>
  <c r="I803" i="2"/>
  <c r="I822" i="2"/>
  <c r="I841" i="2"/>
  <c r="I842" i="2"/>
  <c r="I846" i="2"/>
  <c r="I852" i="2"/>
  <c r="I863" i="2"/>
  <c r="I865" i="2"/>
  <c r="I867" i="2"/>
  <c r="I868" i="2"/>
  <c r="I869" i="2"/>
  <c r="I871" i="2"/>
  <c r="I872" i="2"/>
  <c r="I873" i="2"/>
  <c r="I4" i="2"/>
</calcChain>
</file>

<file path=xl/sharedStrings.xml><?xml version="1.0" encoding="utf-8"?>
<sst xmlns="http://schemas.openxmlformats.org/spreadsheetml/2006/main" count="10599" uniqueCount="1411">
  <si>
    <t>Notes &amp; Instructions:</t>
  </si>
  <si>
    <t>Dynamics 365 and O365 Orders on CSP Platform:  Dynamics Africa facilitates and activates the order on the Dynamics Africa CSP portal.  Resellers can also process orders via Dynamics Africa DMS (Dealer Management System)</t>
  </si>
  <si>
    <t xml:space="preserve"> - It remains the ordering partner's responsibility to activate the licence in the customer's O365 admin portal and to assign the purchased licence to the various users.</t>
  </si>
  <si>
    <t>Creating a new customer account:</t>
  </si>
  <si>
    <t>Kindly provide us with the following information when creating a new customer:</t>
  </si>
  <si>
    <t xml:space="preserve">  Country:</t>
  </si>
  <si>
    <t xml:space="preserve">  Company Name:</t>
  </si>
  <si>
    <r>
      <t xml:space="preserve">  Primary Domain Name (onmicrosoft.com): </t>
    </r>
    <r>
      <rPr>
        <sz val="11"/>
        <color rgb="FFFF0000"/>
        <rFont val="Calibri"/>
        <family val="2"/>
        <scheme val="minor"/>
      </rPr>
      <t>*</t>
    </r>
  </si>
  <si>
    <t xml:space="preserve">  Full Physical Address:</t>
  </si>
  <si>
    <t xml:space="preserve">  Primary Contact Name:</t>
  </si>
  <si>
    <t xml:space="preserve">  Primary Contact Last Name:</t>
  </si>
  <si>
    <t xml:space="preserve">  Primary Contact Email Address:</t>
  </si>
  <si>
    <t xml:space="preserve">  Primary Contact Phone Number:</t>
  </si>
  <si>
    <t>Finance; Payments and Suspension:</t>
  </si>
  <si>
    <t xml:space="preserve"> - Failure by the ordering partner to submit monthly/quarterly/annual proof of payment will result in a suspended licence.</t>
  </si>
  <si>
    <t xml:space="preserve"> - Dynamics Africa will supply an electronic invoice on or before the last business day of the month</t>
  </si>
  <si>
    <t xml:space="preserve"> - Suspension Notice:  Failure to submit proof of payment will result in a series of Suspension Notices</t>
  </si>
  <si>
    <t xml:space="preserve">  -  Suspension Notice 1:  7th of the Month</t>
  </si>
  <si>
    <t xml:space="preserve">  -  Suspension Notice 2:  13th of the Month</t>
  </si>
  <si>
    <t xml:space="preserve">   - Suspension Notice 3 FINAL:  16th of the Month:  All Services will be suspended</t>
  </si>
  <si>
    <t xml:space="preserve"> - In the event of licence suspension, Dynamics Africa will not be responsible for any losses incurred by the partner and/or end customer. </t>
  </si>
  <si>
    <t xml:space="preserve"> - It remains the ordering partner's responsibility to generate data backups in the event of a suspension</t>
  </si>
  <si>
    <t xml:space="preserve"> - Backups cannot be created after a suspension notice 3 has been issued.</t>
  </si>
  <si>
    <r>
      <rPr>
        <sz val="11"/>
        <color rgb="FFFF0000"/>
        <rFont val="Calibri"/>
        <family val="2"/>
        <scheme val="minor"/>
      </rPr>
      <t xml:space="preserve"> *</t>
    </r>
    <r>
      <rPr>
        <sz val="11"/>
        <color theme="1"/>
        <rFont val="Calibri"/>
        <family val="2"/>
        <scheme val="minor"/>
      </rPr>
      <t xml:space="preserve"> Please note:  Should a customer already have a onmicrosoft.com domain, we would need to facilitate a reseller association.  Please request that the customer's global administrator for their tenant except your unique customer association link in order to facilitate the process. Should you requie your unique customer association link to be send through to you, please reach out to Dynamics Africa directly.</t>
    </r>
  </si>
  <si>
    <r>
      <rPr>
        <sz val="11"/>
        <rFont val="Calibri"/>
        <family val="2"/>
        <scheme val="minor"/>
      </rPr>
      <t xml:space="preserve"> *</t>
    </r>
    <r>
      <rPr>
        <sz val="11"/>
        <color rgb="FFFF0000"/>
        <rFont val="Calibri"/>
        <family val="2"/>
        <scheme val="minor"/>
      </rPr>
      <t xml:space="preserve"> </t>
    </r>
    <r>
      <rPr>
        <sz val="11"/>
        <rFont val="Calibri"/>
        <family val="2"/>
        <scheme val="minor"/>
      </rPr>
      <t>Reference Price List is private and confidential and may not be distributed to other Microsoft Partners or Providers.  Any breach will result in Dynamics Africa CSP Indirect Reseller Agreement (CSPIRA) being terminated.</t>
    </r>
  </si>
  <si>
    <t xml:space="preserve"> * Pricing reflected does not include local taxes.</t>
  </si>
  <si>
    <t xml:space="preserve"> * Errors and omissions excepted (E&amp;OE)</t>
  </si>
  <si>
    <t>Reference</t>
  </si>
  <si>
    <t>Offer ID</t>
  </si>
  <si>
    <t>Term Duration</t>
  </si>
  <si>
    <t>Billing Plan</t>
  </si>
  <si>
    <t>Offer Display Name</t>
  </si>
  <si>
    <t>Suggested Retail</t>
  </si>
  <si>
    <t>Reseller Price</t>
  </si>
  <si>
    <t>Reseller Margin</t>
  </si>
  <si>
    <t>License Agreement Type</t>
  </si>
  <si>
    <t>CFQ7TTC0LH16</t>
  </si>
  <si>
    <t>P1Y</t>
  </si>
  <si>
    <t>Monthly</t>
  </si>
  <si>
    <t>Exchange Online (Plan 1)</t>
  </si>
  <si>
    <t>Corporate</t>
  </si>
  <si>
    <t>https://www.microsoft.com/en-us/microsoft-365/exchange/compare-microsoft-exchange-online-plans</t>
  </si>
  <si>
    <t>CFQ7TTC0LH1P</t>
  </si>
  <si>
    <t>Exchange Online (Plan 2)</t>
  </si>
  <si>
    <t>CFQ7TTC0LHQ5</t>
  </si>
  <si>
    <t>Exchange Online Archiving for Exchange Server</t>
  </si>
  <si>
    <t>CFQ7TTC0LH0J</t>
  </si>
  <si>
    <t>Exchange Online Archiving for Exchange Online</t>
  </si>
  <si>
    <t>CFQ7TTC0LH0L</t>
  </si>
  <si>
    <t>Exchange Online Kiosk</t>
  </si>
  <si>
    <t>CFQ7TTC0LGZM</t>
  </si>
  <si>
    <t>Exchange Online Protection</t>
  </si>
  <si>
    <t>CFQ7TTC0LH1G</t>
  </si>
  <si>
    <t>Microsoft 365 Apps for business</t>
  </si>
  <si>
    <t>CFQ7TTC0LH18</t>
  </si>
  <si>
    <t>Microsoft 365 Business Basic</t>
  </si>
  <si>
    <t>CFQ7TTC0LF8Q</t>
  </si>
  <si>
    <t>Office 365 E1</t>
  </si>
  <si>
    <t>CFQ7TTC0LF8R</t>
  </si>
  <si>
    <t>Office 365 E3</t>
  </si>
  <si>
    <t>CFQ7TTC0LF8S</t>
  </si>
  <si>
    <t>Office 365 E5</t>
  </si>
  <si>
    <t>Office 365 E5 without Audio Conferencing</t>
  </si>
  <si>
    <t>CFQ7TTC0LHS9</t>
  </si>
  <si>
    <t>Office 365 Extra File Storage</t>
  </si>
  <si>
    <t>CFQ7TTC0LGZW</t>
  </si>
  <si>
    <t>Office 365 F3</t>
  </si>
  <si>
    <t>CFQ7TTC0LGZT</t>
  </si>
  <si>
    <t>Microsoft 365 Apps for enterprise</t>
  </si>
  <si>
    <t>CFQ7TTC0LHSW</t>
  </si>
  <si>
    <t>Office 365 Data Loss Prevention</t>
  </si>
  <si>
    <t>CFQ7TTC0LFLX</t>
  </si>
  <si>
    <t>Microsoft 365 E3 - Unattended License</t>
  </si>
  <si>
    <t>CFQ7TTC0LHQB</t>
  </si>
  <si>
    <t>Microsoft 365 E5 Security</t>
  </si>
  <si>
    <t>CFQ7TTC0LHR4</t>
  </si>
  <si>
    <t>Microsoft 365 E5 Compliance</t>
  </si>
  <si>
    <t>CFQ7TTC0LGV0</t>
  </si>
  <si>
    <t>Microsoft Defender for Endpoint Server</t>
  </si>
  <si>
    <t>CFQ7TTC0HD6V</t>
  </si>
  <si>
    <t>Microsoft 365 E5 eDiscovery and Audit</t>
  </si>
  <si>
    <t>CFQ7TTC0HD6T</t>
  </si>
  <si>
    <t>Microsoft 365 E5 Information Protection and Governance</t>
  </si>
  <si>
    <t>CFQ7TTC0HD6S</t>
  </si>
  <si>
    <t>Microsoft 365 E5 Insider Risk Management</t>
  </si>
  <si>
    <t>CFQ7TTC0LH04</t>
  </si>
  <si>
    <t>Microsoft Defender for Office 365 (Plan 1)</t>
  </si>
  <si>
    <t>CFQ7TTC0LHXH</t>
  </si>
  <si>
    <t>Microsoft Defender for Office 365 (Plan 2)</t>
  </si>
  <si>
    <t>CFQ7TTC0LHQD</t>
  </si>
  <si>
    <t>Advanced eDiscovery Storage</t>
  </si>
  <si>
    <t>CFQ7TTC0LH0D</t>
  </si>
  <si>
    <t>Microsoft Defender for Identity</t>
  </si>
  <si>
    <t>CFQ7TTC0LH9J</t>
  </si>
  <si>
    <t>CFQ7TTC0LHZ0</t>
  </si>
  <si>
    <t>Business Apps (free)</t>
  </si>
  <si>
    <t>CFQ7TTC0LHSV</t>
  </si>
  <si>
    <t>OneDrive for business (Plan 1)</t>
  </si>
  <si>
    <t>CFQ7TTC0LH1M</t>
  </si>
  <si>
    <t>OneDrive for business (Plan 2)</t>
  </si>
  <si>
    <t>CFQ7TTC0LHSF</t>
  </si>
  <si>
    <t>Power BI Pro</t>
  </si>
  <si>
    <t>CFQ7TTC0LHQ2</t>
  </si>
  <si>
    <t>Power BI Premium P1</t>
  </si>
  <si>
    <t>Power BI Premium P2</t>
  </si>
  <si>
    <t>Power BI Premium P3</t>
  </si>
  <si>
    <t>Power BI Premium P4</t>
  </si>
  <si>
    <t>Power BI Premium P5</t>
  </si>
  <si>
    <t>CFQ7TTC0HL8W</t>
  </si>
  <si>
    <t>Power BI Premium Per User</t>
  </si>
  <si>
    <t>CFQ7TTC0HL8T</t>
  </si>
  <si>
    <t>Power BI Premium Per User Add-On</t>
  </si>
  <si>
    <t>CFQ7TTC0LHP3</t>
  </si>
  <si>
    <t>Project Online Essentials</t>
  </si>
  <si>
    <t>CFQ7TTC0HD9Z</t>
  </si>
  <si>
    <t>Project Plan 5</t>
  </si>
  <si>
    <t>CFQ7TTC0HDB0</t>
  </si>
  <si>
    <t>Project Plan 3</t>
  </si>
  <si>
    <t>CFQ7TTC0HDB1</t>
  </si>
  <si>
    <t>Project Plan 1</t>
  </si>
  <si>
    <t>https://products.office.com/en-us/sharepoint/compare-sharepoint-plans</t>
  </si>
  <si>
    <t>CFQ7TTC0LH0N</t>
  </si>
  <si>
    <t>SharePoint Online (Plan 1)</t>
  </si>
  <si>
    <t>SharePoint Online (Plan 2)</t>
  </si>
  <si>
    <t>CFQ7TTC0HDK2</t>
  </si>
  <si>
    <t>SharePoint Syntex</t>
  </si>
  <si>
    <t>CFQ7TTC0LHR5</t>
  </si>
  <si>
    <t>Skype for Business Plus CAL</t>
  </si>
  <si>
    <t>CFQ7TTC0LH0T</t>
  </si>
  <si>
    <t>CFQ7TTC0LHXJ</t>
  </si>
  <si>
    <t>Microsoft 365 Domestic Calling Plan</t>
  </si>
  <si>
    <t>Microsoft 365 Domestic Calling Plan (120 min)</t>
  </si>
  <si>
    <t>CFQ7TTC0LHSL</t>
  </si>
  <si>
    <t>Microsoft 365 Audio Conferencing</t>
  </si>
  <si>
    <t>CFQ7TTC0HDK0</t>
  </si>
  <si>
    <t>Advanced Communications</t>
  </si>
  <si>
    <t>CFQ7TTC0HD33</t>
  </si>
  <si>
    <t>Visio Plan 1</t>
  </si>
  <si>
    <t>CFQ7TTC0HD32</t>
  </si>
  <si>
    <t>Visio Plan 2</t>
  </si>
  <si>
    <t>CFQ7TTC0LGTX</t>
  </si>
  <si>
    <t>Windows 10 Enterprise E3</t>
  </si>
  <si>
    <t>Windows 10 Enterprise E3 VDA</t>
  </si>
  <si>
    <t>CFQ7TTC0LFNW</t>
  </si>
  <si>
    <t>Microsoft 365 E3</t>
  </si>
  <si>
    <t>CFQ7TTC0LFLZ</t>
  </si>
  <si>
    <t>Microsoft 365 E5</t>
  </si>
  <si>
    <t>Microsoft 365 E5 without Audio Conferencing</t>
  </si>
  <si>
    <t>CFQ7TTC0MBMD</t>
  </si>
  <si>
    <t>Microsoft 365 F1</t>
  </si>
  <si>
    <t>CFQ7TTC0LH05</t>
  </si>
  <si>
    <t>Microsoft 365 F3</t>
  </si>
  <si>
    <t>Microsoft 365 F5 Compliance Add-on</t>
  </si>
  <si>
    <t>Microsoft 365 F5 Security + Compliance Add-on</t>
  </si>
  <si>
    <t>Microsoft 365 F5 Security Add-on</t>
  </si>
  <si>
    <t>CFQ7TTC0LHT4</t>
  </si>
  <si>
    <t>Enterprise Mobility + Security E3</t>
  </si>
  <si>
    <t>CFQ7TTC0LFJ1</t>
  </si>
  <si>
    <t>Enterprise Mobility + Security E5</t>
  </si>
  <si>
    <t>CFQ7TTC0LH3F</t>
  </si>
  <si>
    <t>Dynamics 365 Business Central Device</t>
  </si>
  <si>
    <t>CFQ7TTC0LH34</t>
  </si>
  <si>
    <t>Dynamics 365 Business Central Essential</t>
  </si>
  <si>
    <t>CFQ7TTC0LH38</t>
  </si>
  <si>
    <t>Dynamics 365 Business Central Premium</t>
  </si>
  <si>
    <t>CFQ7TTC0LH39</t>
  </si>
  <si>
    <t>Dynamics 365 Business Central Team Member</t>
  </si>
  <si>
    <t>CFQ7TTC0LH33</t>
  </si>
  <si>
    <t>CFQ7TTC0HD3R</t>
  </si>
  <si>
    <t>Dynamics 365 Business Central Database Capacity</t>
  </si>
  <si>
    <t>Dynamics 365 Business Central Database Capacity 100GB</t>
  </si>
  <si>
    <t>Dynamics 365 Business Central Database Capacity Overage</t>
  </si>
  <si>
    <t>CFQ7TTC0HD7P</t>
  </si>
  <si>
    <t>Dynamics 365 Business Central Additional Environment Addon</t>
  </si>
  <si>
    <t>CFQ7TTC0LGV4</t>
  </si>
  <si>
    <t>Dynamics 365 Finance</t>
  </si>
  <si>
    <t>Dynamics 365 Finance Attach to Qualifying Dynamics 365 Base Offer</t>
  </si>
  <si>
    <t>CFQ7TTC0LH31</t>
  </si>
  <si>
    <t>Dynamics 365 Supply Chain Management</t>
  </si>
  <si>
    <t>Dynamics 365 Supply Chain Management Attach to Qualifying Dynamics 365 Base Offer</t>
  </si>
  <si>
    <t>https://docs.microsoft.com/en-us/dynamics365/supply-chain/asset-management/</t>
  </si>
  <si>
    <t>CFQ7TTC0LHWJ</t>
  </si>
  <si>
    <t>Dynamics 365 Asset Management Addl Assets</t>
  </si>
  <si>
    <t>CFQ7TTC0LHX0</t>
  </si>
  <si>
    <t>Dynamics 365 Operations – Activity</t>
  </si>
  <si>
    <t>CFQ7TTC0LHVJ</t>
  </si>
  <si>
    <t>Dynamics 365 Operations – Device</t>
  </si>
  <si>
    <t>CFQ7TTC0LFNJ</t>
  </si>
  <si>
    <t>Dynamics 365 Team Members</t>
  </si>
  <si>
    <t>CFQ7TTC0LGV7</t>
  </si>
  <si>
    <t>Dynamics 365 Guides</t>
  </si>
  <si>
    <t>CFQ7TTC0LH2Z</t>
  </si>
  <si>
    <t>Dynamics 365 Commerce</t>
  </si>
  <si>
    <t>CFQ7TTC0HD42</t>
  </si>
  <si>
    <t>Dynamics 365 Commerce Ratings and Reviews</t>
  </si>
  <si>
    <t>Dynamics 365 Commerce Scale Unit Basic - Cloud</t>
  </si>
  <si>
    <t>Dynamics 365 Commerce Scale Unit Standard - Cloud</t>
  </si>
  <si>
    <t>Dynamics 365 Commerce Scale Unit Premium - Cloud</t>
  </si>
  <si>
    <t>Dynamics 365 Commerce Attach to Qualifying Dynamics 365 Base Offer</t>
  </si>
  <si>
    <t>Dynamics 365 Commerce Recommendations</t>
  </si>
  <si>
    <t>CFQ7TTC0HM0T</t>
  </si>
  <si>
    <t>Dynamics 365 e-Commerce Tier 1 Band 1</t>
  </si>
  <si>
    <t>Dynamics 365 e-Commerce Tier 1 Band 1 Overage</t>
  </si>
  <si>
    <t>Dynamics 365 e-Commerce Tier 1 Band 2</t>
  </si>
  <si>
    <t>Dynamics 365 e-Commerce Tier 1 Band 2 Overage</t>
  </si>
  <si>
    <t>Dynamics 365 e-Commerce Tier 1 Band 3</t>
  </si>
  <si>
    <t>Dynamics 365 e-Commerce Tier 1 Band 3 Overage</t>
  </si>
  <si>
    <t>Dynamics 365 e-Commerce Tier 1 Band 4</t>
  </si>
  <si>
    <t>Dynamics 365 e-Commerce Tier 1 Band 4 Overage</t>
  </si>
  <si>
    <t>Dynamics 365 e-Commerce Tier 1 Band 5</t>
  </si>
  <si>
    <t>Dynamics 365 e-Commerce Tier 1 Band 5 Overage</t>
  </si>
  <si>
    <t>Dynamics 365 e-Commerce Tier 1 Band 6</t>
  </si>
  <si>
    <t>Dynamics 365 e-Commerce Tier 1 Band 6 Overage</t>
  </si>
  <si>
    <t>Dynamics 365 e-Commerce Tier 2 Band 1</t>
  </si>
  <si>
    <t>Dynamics 365 e-Commerce Tier 2 Band 1 Overage</t>
  </si>
  <si>
    <t>Dynamics 365 e-Commerce Tier 2 Band 2</t>
  </si>
  <si>
    <t>Dynamics 365 e-Commerce Tier 2 Band 2 Overage</t>
  </si>
  <si>
    <t>Dynamics 365 e-Commerce Tier 2 Band 3</t>
  </si>
  <si>
    <t>Dynamics 365 e-Commerce Tier 2 Band 3 Overage</t>
  </si>
  <si>
    <t>Dynamics 365 e-Commerce Tier 3 Band 3 Overage</t>
  </si>
  <si>
    <t>Dynamics 365 e-Commerce Tier 2 Band 4</t>
  </si>
  <si>
    <t>Dynamics 365 e-Commerce Tier 2 Band 4 Overage</t>
  </si>
  <si>
    <t>Dynamics 365 e-Commerce Tier 2 Band 5</t>
  </si>
  <si>
    <t>Dynamics 365 e-Commerce Tier 2 Band 5 Overage</t>
  </si>
  <si>
    <t>Dynamics 365 e-Commerce Tier 2 Band 6</t>
  </si>
  <si>
    <t>Dynamics 365 e-Commerce Tier 2 Band 6 Overage</t>
  </si>
  <si>
    <t>Dynamics 365 e-Commerce Tier 3 Band 1</t>
  </si>
  <si>
    <t>Dynamics 365 e-Commerce Tier 3 Band 1 Overage</t>
  </si>
  <si>
    <t>Dynamics 365 e-Commerce Tier 3 Band 2</t>
  </si>
  <si>
    <t>Dynamics 365 e-Commerce Tier 3 Band 2 Overage</t>
  </si>
  <si>
    <t>Dynamics 365 e-Commerce Tier 3 Band 3</t>
  </si>
  <si>
    <t>Dynamics 365 e-Commerce Tier 3 Band 4</t>
  </si>
  <si>
    <t>Dynamics 365 e-Commerce Tier 3 Band 4 Overage</t>
  </si>
  <si>
    <t>Dynamics 365 e-Commerce Tier 3 Band 5</t>
  </si>
  <si>
    <t>Dynamics 365 e-Commerce Tier 3 Band 5 Overage</t>
  </si>
  <si>
    <t>Dynamics 365 e-Commerce Tier 3 Band 6</t>
  </si>
  <si>
    <t>Dynamics 365 e-Commerce Tier 3 Band 6 Overage</t>
  </si>
  <si>
    <t>CFQ7TTC0HM43</t>
  </si>
  <si>
    <t>CFQ7TTC0LHXQ</t>
  </si>
  <si>
    <t>Dynamics 365 Operations - Database Capacity</t>
  </si>
  <si>
    <t>CFQ7TTC0LHZ1</t>
  </si>
  <si>
    <t>Dynamics 365 Operations - File Capacity</t>
  </si>
  <si>
    <t>CFQ7TTC0LHV9</t>
  </si>
  <si>
    <t>Dynamics 365 Operations - Sandbox Tier 2:Standard Acceptance Testing</t>
  </si>
  <si>
    <t>CFQ7TTC0LGV5</t>
  </si>
  <si>
    <t>Dynamics 365 Unified Operations - Additional Database Storage (Qualified Offer)</t>
  </si>
  <si>
    <t>CFQ7TTC0LHZ6</t>
  </si>
  <si>
    <t>Dynamics 365 Unified Operations - Additional File Storage (Qualified Offer)</t>
  </si>
  <si>
    <t>CFQ7TTC0LHVN</t>
  </si>
  <si>
    <t>Dynamics 365 Operations - Sandbox Tier 3:Premier Acceptance Testing</t>
  </si>
  <si>
    <t>Dynamics 365 Operations - Sandbox Tier 4:Standard Performance Testing</t>
  </si>
  <si>
    <t>CFQ7TTC0LHVG</t>
  </si>
  <si>
    <t>Dynamics 365 Operations - Sandbox Tier 5:Premier Performance Testing</t>
  </si>
  <si>
    <t>CFQ7TTC0LHVD</t>
  </si>
  <si>
    <t>Pro Direct Support for Dynamics 365 Operations</t>
  </si>
  <si>
    <t>CFQ7TTC0LFF1</t>
  </si>
  <si>
    <t>Dynamics 365 Sales Enterprise Edition</t>
  </si>
  <si>
    <t>Dynamics 365 Sales Enterprise Edition Device</t>
  </si>
  <si>
    <t>CFQ7TTC0LHZ3</t>
  </si>
  <si>
    <t>Dynamics 365 Sales Insights</t>
  </si>
  <si>
    <t>CFQ7TTC0LFN5</t>
  </si>
  <si>
    <t>Dynamics 365 Sales Professional</t>
  </si>
  <si>
    <t>CFQ7TTC0HBSJ</t>
  </si>
  <si>
    <t>Dynamics 365 Sales Premium</t>
  </si>
  <si>
    <t>Dynamics 365 Sales Enterprise Attach to Qualifying Dynamics 365 Base Offer</t>
  </si>
  <si>
    <t>Dynamics 365 Sales Professional Attach to Qualifying Dynamics 365 Base Offer</t>
  </si>
  <si>
    <t>CFQ7TTC0LFDZ</t>
  </si>
  <si>
    <t>Dynamics 365 Customer Service Enterprise</t>
  </si>
  <si>
    <t>Dynamics 365 Customer Service Enterprise Device</t>
  </si>
  <si>
    <t>CFQ7TTC0LFNK</t>
  </si>
  <si>
    <t>Dynamics 365 Customer Service Professional Attach to Qualifying Dynamics 365 Base Offer</t>
  </si>
  <si>
    <t>Dynamics 365 Customer Service Professional</t>
  </si>
  <si>
    <t>CFQ7TTC0LHXC</t>
  </si>
  <si>
    <t>Dynamics 365 Customer Service Digital Messaging add-on</t>
  </si>
  <si>
    <t>Dynamics 365 Customer Service Enterprise Attach to Qualifying Dynamics 365 Base Offer</t>
  </si>
  <si>
    <t>CFQ7TTC0HD4D</t>
  </si>
  <si>
    <t>Dynamics 365 Project Operations</t>
  </si>
  <si>
    <t>Dynamics 365 Project Operations Attach</t>
  </si>
  <si>
    <t>CFQ7TTC0LFDN</t>
  </si>
  <si>
    <t>Dynamics 365 Field Service - Resource Scheduling Optimization</t>
  </si>
  <si>
    <t>CFQ7TTC0LFNL</t>
  </si>
  <si>
    <t>Dynamics 365 Field Service Device</t>
  </si>
  <si>
    <t>Dynamics 365 Field Service</t>
  </si>
  <si>
    <t>Dynamics 365 Field Service Attach to Qualifying Dynamics 365 Base Offer</t>
  </si>
  <si>
    <t>CFQ7TTC0HD4G</t>
  </si>
  <si>
    <t>Dynamics 365 Human Resources</t>
  </si>
  <si>
    <t>Dynamics 365 Human Resources Attach to Qualifying Dynamics 365 Base Offer</t>
  </si>
  <si>
    <t>Dynamics 365 Human Resources Sandbox</t>
  </si>
  <si>
    <t>Dynamics 365 Human Resources Self Service</t>
  </si>
  <si>
    <t>i</t>
  </si>
  <si>
    <t>CFQ7TTC0HD41</t>
  </si>
  <si>
    <t>Dynamics 365 Fraud Protection Account Protection</t>
  </si>
  <si>
    <t>Dynamics 365 Fraud Protection Account Protection Addon</t>
  </si>
  <si>
    <t>CFQ7TTC0HD40</t>
  </si>
  <si>
    <t>Dynamics 365 Fraud Protection Loss Prevention</t>
  </si>
  <si>
    <t>Dynamics 365 Fraud Protection Loss Prevention Addon</t>
  </si>
  <si>
    <t>CFQ7TTC0HD4H</t>
  </si>
  <si>
    <t>Dynamics 365 Fraud Protection Purchase Protection</t>
  </si>
  <si>
    <t>Dynamics 365 Fraud Protection Purchase Protection Addon</t>
  </si>
  <si>
    <t>CFQ7TTC0LF90</t>
  </si>
  <si>
    <t>Dynamics 365 Remote Assist</t>
  </si>
  <si>
    <t>CFQ7TTC0LGV9</t>
  </si>
  <si>
    <t>Dynamics 365 Remote Assist Attach</t>
  </si>
  <si>
    <t>CFQ7TTC0LCH4</t>
  </si>
  <si>
    <t>CFQ7TTC0LH0C</t>
  </si>
  <si>
    <t>Microsoft Stream Plan 2 for Office 365 Add-On</t>
  </si>
  <si>
    <t>CFQ7TTC0LHPG</t>
  </si>
  <si>
    <t>Microsoft Stream Storage Add-On (500 GB)</t>
  </si>
  <si>
    <t>CFQ7TTC0LH13</t>
  </si>
  <si>
    <t>Power Automate per flow plan</t>
  </si>
  <si>
    <t>CFQ7TTC0LH3L</t>
  </si>
  <si>
    <t>Power Automate per user plan</t>
  </si>
  <si>
    <t>CFQ7TTC0LHQM</t>
  </si>
  <si>
    <t>PowerApps per app plan</t>
  </si>
  <si>
    <t>CFQ7TTC0LH2H</t>
  </si>
  <si>
    <t>CFQ7TTC0LH1S</t>
  </si>
  <si>
    <t>CFQ7TTC0LSGZ</t>
  </si>
  <si>
    <t>CFQ7TTC0LSH0</t>
  </si>
  <si>
    <t>Power Automate unattended RPA add-on</t>
  </si>
  <si>
    <t>https://powerapps.microsoft.com/en-us/pricing/</t>
  </si>
  <si>
    <t>CFQ7TTC0LH0Z</t>
  </si>
  <si>
    <t>Dynamics 365 Customer Insights</t>
  </si>
  <si>
    <t>Dynamics 365 Customer Insights Attach</t>
  </si>
  <si>
    <t>CFQ7TTC0LH1F</t>
  </si>
  <si>
    <t>CFQ7TTC0HDJX</t>
  </si>
  <si>
    <t>Extra Graph Connector Capacity</t>
  </si>
  <si>
    <t>CFQ7TTC0HL8Z</t>
  </si>
  <si>
    <t>10-Year Audit Log Retention Add On</t>
  </si>
  <si>
    <t>CFQ7TTC0HDJW</t>
  </si>
  <si>
    <t>Microsoft Viva Topics</t>
  </si>
  <si>
    <t>CFQ7TTC0HDJR</t>
  </si>
  <si>
    <t>Universal Print volume add-on (500 jobs) - Windows</t>
  </si>
  <si>
    <t>Universal Print Additional Capacity (10k) - Windows</t>
  </si>
  <si>
    <t>CFQ7TTC0HD4F</t>
  </si>
  <si>
    <t>Sensor Data Intelligence Additional Machines Add-in for Dynamics 365 Supply Chain Management</t>
  </si>
  <si>
    <t>Sensor Data Intelligence Scenario Add-in for Dynamics 365 Supply Chain Management</t>
  </si>
  <si>
    <t>Modern Desktop:  Office 365</t>
  </si>
  <si>
    <t>https://www.microsoft.com/en-us/microsoft-365/business/microsoft-365-apps-for-business?activetab=pivot%3aoverviewtab</t>
  </si>
  <si>
    <t>P1M</t>
  </si>
  <si>
    <t>https://www.microsoft.com/en-us/microsoft-365/business/microsoft-365-business-basic?activetab=pivot%3aoverviewtab</t>
  </si>
  <si>
    <t>https://www.microsoft.com/en-us/microsoft-365/business/microsoft-365-business-standard?activetab=pivot%3aoverviewtab</t>
  </si>
  <si>
    <t>CFQ7TTC0LDPB</t>
  </si>
  <si>
    <t>None</t>
  </si>
  <si>
    <t>Microsoft 365 Business Standard</t>
  </si>
  <si>
    <t>https://www.microsoft.com/en-us/microsoft-365/enterprise/office-365-e1?activetab=pivot%3aoverviewtab</t>
  </si>
  <si>
    <t>https://www.microsoft.com/en-us/microsoft-365/enterprise/office-365-e3?activetab=pivot%3aoverviewtab</t>
  </si>
  <si>
    <t>https://www.microsoft.com/en-us/microsoft-365/enterprise/office-365-e5?activetab=pivot%3aoverviewtab</t>
  </si>
  <si>
    <t>https://docs.microsoft.com/en-us/skypeforbusiness/skype-for-business-and-microsoft-teams-add-on-licensing/license-options-based-on-your-plan/office-365-enterprise-e5-without-audio-conferencing</t>
  </si>
  <si>
    <t>https://www.microsoft.com/en-us/microsoft-365/enterprise/office-365-f3?activetab=pivot%3aoverviewtab</t>
  </si>
  <si>
    <t>https://www.microsoft.com/en-za/microsoft-365/business/microsoft-365-apps-for-enterprise-product?activetab=pivot%3aoverviewtab</t>
  </si>
  <si>
    <t>Business Reporting:</t>
  </si>
  <si>
    <t>https://powerbi.microsoft.com/en-us/pricing/</t>
  </si>
  <si>
    <t>Microsoft Project Online:</t>
  </si>
  <si>
    <t>https://www.microsoft.com/en-us/microsoft-365/project/project-plan-3?activetab=pivot%3aoverviewtab</t>
  </si>
  <si>
    <t>https://www.microsoft.com/en-us/microsoft-365/project/project-plan-1?activetab=pivot%3aoverviewtab</t>
  </si>
  <si>
    <t xml:space="preserve">SharePoint Online: </t>
  </si>
  <si>
    <t>Business Communication:  Skype for Business</t>
  </si>
  <si>
    <t>Diagramming: Process Modeling: Data Visualisation - Microsoft Visio</t>
  </si>
  <si>
    <t>https://www.microsoft.com/en-us/microsoft-365/visio/microsoft-visio-plans-and-pricing-compare-visio-options</t>
  </si>
  <si>
    <t>Operating System:  Microsoft Windows</t>
  </si>
  <si>
    <t>https://docs.microsoft.com/en-us/windows/deployment/windows-10-enterprise-e3-overview#related-topics</t>
  </si>
  <si>
    <t>Microsoft 365:  O365 + Operating System + Enterprise Mobility and Security</t>
  </si>
  <si>
    <t>https://www.microsoft.com/en-ww/microsoft-365/business/microsoft-365-business-premium?market=af</t>
  </si>
  <si>
    <t>CFQ7TTC0LCHC</t>
  </si>
  <si>
    <t>Microsoft 365 Business Premium</t>
  </si>
  <si>
    <t>https://www.microsoft.com/en-us/microsoft-365/compare-microsoft-365-enterprise-plans</t>
  </si>
  <si>
    <t>https://www.microsoft.com/en-za/microsoft-365/enterprise/home/</t>
  </si>
  <si>
    <t>https://www.microsoft.com/en-us/microsoft-365/enterprise/firstline?rtc=1</t>
  </si>
  <si>
    <t>Enterprise Resource Planning:  ERP</t>
  </si>
  <si>
    <t>https://dynamics.microsoft.com/en-za/business-central/capabilities/</t>
  </si>
  <si>
    <t xml:space="preserve">Business Central: </t>
  </si>
  <si>
    <t>https://docs.microsoft.com/en-us/dynamics365/business-central/ui-how-users-permissions#the-device-license</t>
  </si>
  <si>
    <t>https://dynamics.microsoft.com/en-us/business-central/overview/</t>
  </si>
  <si>
    <t>P3Y</t>
  </si>
  <si>
    <t>https://docs.microsoft.com/en-us/dynamics365-release-plan/2020wave2/smb/dynamics365-business-central/improved-overview-management-database-file-capacity</t>
  </si>
  <si>
    <t>https://dynamics.microsoft.com/en-us/finance/overview/</t>
  </si>
  <si>
    <t>Finance and Operations:</t>
  </si>
  <si>
    <t>https://docs.microsoft.com/en-us/dynamics365/finance/</t>
  </si>
  <si>
    <t>https://dynamics.microsoft.com/en-us/supply-chain-management/overview/</t>
  </si>
  <si>
    <t>https://docs.microsoft.com/en-us/dynamics365/get-started/team-members-license</t>
  </si>
  <si>
    <t>Dynamics 365 Team Members for Migration</t>
  </si>
  <si>
    <t>https://dynamics.microsoft.com/en-za/mixed-reality/guides/</t>
  </si>
  <si>
    <t>https://dynamics.microsoft.com/en-us/retail/overview/</t>
  </si>
  <si>
    <t>ERP Retail:</t>
  </si>
  <si>
    <t>https://docs.microsoft.com/en-us/dynamics365/commerce/</t>
  </si>
  <si>
    <t>https://dynamics.microsoft.com/en-us/pricing/</t>
  </si>
  <si>
    <t xml:space="preserve">ERP &amp; CRM Add-ons: </t>
  </si>
  <si>
    <t>https://dynamics.microsoft.com/en-us/sales/overview/</t>
  </si>
  <si>
    <t>Sales Force Automation</t>
  </si>
  <si>
    <t>https://dynamics.microsoft.com/en-us/pricing/sales/</t>
  </si>
  <si>
    <t>`</t>
  </si>
  <si>
    <t>https://dynamics.microsoft.com/en-us/sales/professional/</t>
  </si>
  <si>
    <t>https://dynamics.microsoft.com/en-us/pricing/#Sales</t>
  </si>
  <si>
    <t>https://dynamics.microsoft.com/en-us/customer-service/capabilities/</t>
  </si>
  <si>
    <t>Customer Care:</t>
  </si>
  <si>
    <t>https://dynamics.microsoft.com/en-us/customer-service/overview/</t>
  </si>
  <si>
    <t>Dynamics 365 for Customer Service Chat</t>
  </si>
  <si>
    <t>https://dynamics.microsoft.com/en-us/customer-service/professional/</t>
  </si>
  <si>
    <t>CFQ7TTC0LZTK</t>
  </si>
  <si>
    <t>Dynamics 365 Customer Engagement Applications</t>
  </si>
  <si>
    <t>https://dynamics.microsoft.com/en-us/project-service-automation/overview/</t>
  </si>
  <si>
    <t>Project Automation:</t>
  </si>
  <si>
    <t>https://dynamics.microsoft.com/en-us/field-service/capabilities/</t>
  </si>
  <si>
    <t>Field Service:</t>
  </si>
  <si>
    <t>https://docs.microsoft.com/en-us/dynamics365/human-resources</t>
  </si>
  <si>
    <t>D365 Human Resources</t>
  </si>
  <si>
    <t>https://dynamics.microsoft.com/en-us/ai/fraud-protection/</t>
  </si>
  <si>
    <t>Dynamics 365:  Fraud Protection</t>
  </si>
  <si>
    <t>https://docs.microsoft.com/en-us/dynamics365/fraud-protection/loss-prevention-overview</t>
  </si>
  <si>
    <t>https://docs.microsoft.com/en-us/dynamics365/fraud-protection/purchase-protection</t>
  </si>
  <si>
    <t>Dynamics 365:  Qualified Offers</t>
  </si>
  <si>
    <t>https://www.microsoft.com/en-us/cloud-platform/microsoft-intune</t>
  </si>
  <si>
    <t>Microsoft Intune:  Mobile Management</t>
  </si>
  <si>
    <t>https://stream.microsoft.com/en-us/</t>
  </si>
  <si>
    <t>Microsoft Stream:  Video Streaming</t>
  </si>
  <si>
    <t>https://flow.microsoft.com/en-us/</t>
  </si>
  <si>
    <t>Microsoft Flow:  Workflow Management</t>
  </si>
  <si>
    <t>https://powerapps.microsoft.com/en-us/</t>
  </si>
  <si>
    <t>Microsoft PowerApps:  App Creation and Management</t>
  </si>
  <si>
    <t>https://dynamics.microsoft.com/en-us/ai/virtual-agent-for-customer-service/</t>
  </si>
  <si>
    <t>Virtual Agent</t>
  </si>
  <si>
    <t>Compliance</t>
  </si>
  <si>
    <t>Microsoft Defender for Endpoint P2</t>
  </si>
  <si>
    <t>Description</t>
  </si>
  <si>
    <t>Monthly - 1 Month Commitment</t>
  </si>
  <si>
    <t>Trial - No Billing</t>
  </si>
  <si>
    <t>Monthly - 1 Year Commitment</t>
  </si>
  <si>
    <t>Monthly - 36 Month Commitment</t>
  </si>
  <si>
    <t>Dynamics 365 Business Central External Accountant</t>
  </si>
  <si>
    <t>Annual</t>
  </si>
  <si>
    <t>Dynamics 365 Customer Service Digital Messaging and Voice Add-in</t>
  </si>
  <si>
    <t>CFQ7TTC0J7BH</t>
  </si>
  <si>
    <t>Dynamics 365 Customer Service Call Intelligence Minutes Add-on</t>
  </si>
  <si>
    <t>CFQ7TTC0J7C5</t>
  </si>
  <si>
    <t>Dynamics 365 Customer Service unified routing add-on</t>
  </si>
  <si>
    <t>Dynamics 365 Customer Service Intelligent Voicebot Minutes Add-on</t>
  </si>
  <si>
    <t>CFQ7TTC0J7M0</t>
  </si>
  <si>
    <t>Dynamics 365 Customer Service Voice Channel Add-in</t>
  </si>
  <si>
    <t>CFQ7TTC0J7N8</t>
  </si>
  <si>
    <t>Dynamics 365 Intelligent Order Management</t>
  </si>
  <si>
    <t>CFQ7TTC0J1XF</t>
  </si>
  <si>
    <t>Operator Connect Conferencing</t>
  </si>
  <si>
    <t>Microsoft Defender for Cloud Apps - App Governance Add-On</t>
  </si>
  <si>
    <t>CFQ7TTC0J7WF</t>
  </si>
  <si>
    <t>Microsoft Defender for Endpoint P1</t>
  </si>
  <si>
    <t>CFQ7TTC0J1GB</t>
  </si>
  <si>
    <t>Microsoft Intune Storage Add-on</t>
  </si>
  <si>
    <t>CFQ7TTC0JN4R</t>
  </si>
  <si>
    <t>Microsoft Teams Phone Standard</t>
  </si>
  <si>
    <t>CFQ7TTC0LHWF</t>
  </si>
  <si>
    <t>Microsoft Viva Insights</t>
  </si>
  <si>
    <t>CFQ7TTC0J4GS</t>
  </si>
  <si>
    <t>Universal Print</t>
  </si>
  <si>
    <t>Microsoft Viva Learning</t>
  </si>
  <si>
    <t>CFQ7TTC0HVZG</t>
  </si>
  <si>
    <t>Windows 10/11 Enterprise E3</t>
  </si>
  <si>
    <t>Windows 10/11 Enterprise E5</t>
  </si>
  <si>
    <t>CFQ7TTC0J203</t>
  </si>
  <si>
    <t>Windows 365 Business 2 vCPU, 8 GB, 256 GB</t>
  </si>
  <si>
    <t>Windows 365 Business 2 vCPU, 8 GB, 128 GB</t>
  </si>
  <si>
    <t>Windows 365 Business 2 vCPU, 4 GB, 256 GB</t>
  </si>
  <si>
    <t>Windows 365 Business 2 vCPU, 4 GB, 128 GB</t>
  </si>
  <si>
    <t>Windows 365 Business 2 vCPU, 4 GB, 64 GB</t>
  </si>
  <si>
    <t>Windows 365 Business 8 vCPU, 32 GB, 128 GB</t>
  </si>
  <si>
    <t>Windows 365 Business 8 vCPU, 32 GB, 256 GB</t>
  </si>
  <si>
    <t>Windows 365 Business 8 vCPU, 32 GB, 512 GB</t>
  </si>
  <si>
    <t>Windows 365 Business 4 vCPU, 16 GB, 512 GB</t>
  </si>
  <si>
    <t>Windows 365 Business 2 vCPU, 4 GB, 128 GB (with Windows Hybrid Benefit)</t>
  </si>
  <si>
    <t>Windows 365 Business 2 vCPU, 8 GB, 128 GB (with Windows Hybrid Benefit)</t>
  </si>
  <si>
    <t>Windows 365 Business 2 vCPU, 8 GB, 256 GB (with Windows Hybrid Benefit)</t>
  </si>
  <si>
    <t>Windows 365 Business 8 vCPU, 32 GB, 512 GB (with Windows Hybrid Benefit)</t>
  </si>
  <si>
    <t>Windows 365 Business 8 vCPU, 32 GB, 256 GB (with Windows Hybrid Benefit)</t>
  </si>
  <si>
    <t>Windows 365 Business 8 vCPU, 32 GB, 128 GB (with Windows Hybrid Benefit)</t>
  </si>
  <si>
    <t>Windows 365 Business 2 vCPU, 4 GB, 256 GB (with Windows Hybrid Benefit)</t>
  </si>
  <si>
    <t>Windows 365 Business 2 vCPU, 4 GB, 64 GB (with Windows Hybrid Benefit)</t>
  </si>
  <si>
    <t>Windows 365 Business 4 vCPU, 16 GB, 128 GB (with Windows Hybrid Benefit)</t>
  </si>
  <si>
    <t>Windows 365 Business 4 vCPU, 16 GB, 256 GB (with Windows Hybrid Benefit)</t>
  </si>
  <si>
    <t>Windows 365 Business 4 vCPU, 16 GB, 512 GB (with Windows Hybrid Benefit)</t>
  </si>
  <si>
    <t>CFQ7TTC0HX99</t>
  </si>
  <si>
    <t>Windows 365 Enterprise 1 vCPU, 2 GB, 64 GB</t>
  </si>
  <si>
    <t>Windows 365 Enterprise 2 vCPU, 8 GB, 256 GB</t>
  </si>
  <si>
    <t>Windows 365 Enterprise 2 vCPU, 8 GB, 128 GB</t>
  </si>
  <si>
    <t>Windows 365 Enterprise 2 vCPU, 4 GB, 256 GB</t>
  </si>
  <si>
    <t>Windows 365 Enterprise 2 vCPU, 4 GB, 128 GB</t>
  </si>
  <si>
    <t>Windows 365 Enterprise 2 vCPU, 4 GB, 64 GB</t>
  </si>
  <si>
    <t>Windows 365 Enterprise 8 vCPU, 32 GB, 128 GB</t>
  </si>
  <si>
    <t>Windows 365 Enterprise 4 vCPU, 16 GB, 128 GB</t>
  </si>
  <si>
    <t>Windows 365 Enterprise 8 vCPU, 32 GB, 512 GB</t>
  </si>
  <si>
    <t>Windows 365 Enterprise 4 vCPU, 16 GB, 512 GB</t>
  </si>
  <si>
    <t>Windows 365 Enterprise 8 vCPU, 32 GB, 256 GB</t>
  </si>
  <si>
    <t>Windows 365 Enterprise 4 vCPU, 16 GB, 256 GB</t>
  </si>
  <si>
    <t>CFQ7TTC0HHS9</t>
  </si>
  <si>
    <t>Dynamics 365 Business Central Team Members</t>
  </si>
  <si>
    <t>Global H2 Q2 Incentive</t>
  </si>
  <si>
    <t>Microsoft Teams Rooms Pro without Audio Conferencing</t>
  </si>
  <si>
    <t>INDEX</t>
  </si>
  <si>
    <t>Product Description</t>
  </si>
  <si>
    <t>4Sight</t>
  </si>
  <si>
    <t>Asset Management | 4asset</t>
  </si>
  <si>
    <t>4asset is a  system created specifically for the purpose of managing the financial and physical aspects of your assets. It easily integrates with existing financial systems via common data loading files.</t>
  </si>
  <si>
    <t>Asset Verification | 4verify</t>
  </si>
  <si>
    <t>4verify is a system created specifically to verify existing asset registers or to create a new register from scratch.</t>
  </si>
  <si>
    <t>Communications | 4talk</t>
  </si>
  <si>
    <t>4talk Calling with Microsoft Teams, allows you to expand your unified communication capabilities outside of your enterprise network.</t>
  </si>
  <si>
    <t>Database Management | 4audit</t>
  </si>
  <si>
    <t>4audit is a business applicationthat manages a Sage 300 database environment</t>
  </si>
  <si>
    <t>Integration | 4integrate</t>
  </si>
  <si>
    <t xml:space="preserve">4integrate manages integration between  systems </t>
  </si>
  <si>
    <t>Intelligent Process Automation | 4flow</t>
  </si>
  <si>
    <t>4flow is a Process Automation Solution that  improves company performance and efficiencies, by driving operational excellence and business agility.</t>
  </si>
  <si>
    <t>Banking and Insurance</t>
  </si>
  <si>
    <t>Veripark</t>
  </si>
  <si>
    <t>Veripark is a Digital Banking &amp; Insurance Solution offering</t>
  </si>
  <si>
    <t>Collections</t>
  </si>
  <si>
    <t>Cognius.ai</t>
  </si>
  <si>
    <t>Communications</t>
  </si>
  <si>
    <t>Email Signature Management | Exclaimer</t>
  </si>
  <si>
    <t>Engagement Solution | Kunjani</t>
  </si>
  <si>
    <t>Kunjani is a performance-enhancing add-on to upskill, onboard, and engage remote teams using blended learning games that intergrates with Microsoft Teams.</t>
  </si>
  <si>
    <t>Computer Hardware</t>
  </si>
  <si>
    <t>Mustek</t>
  </si>
  <si>
    <t>Cyber Security</t>
  </si>
  <si>
    <t>Acronis Reporting | Xtracti</t>
  </si>
  <si>
    <t>XtrActi tool which extracts customised, relevant backup data out of the Acronis portal and into Microsoft Power BI utilising Power Apps for ease and efficiency of management viewing and reporting.</t>
  </si>
  <si>
    <t>Backup and Cyber Security | Acronis</t>
  </si>
  <si>
    <t>Acronis provides  backup software &amp; data protection solutions </t>
  </si>
  <si>
    <t>IOT Cyber Security | Nzomi</t>
  </si>
  <si>
    <t>Ransomware | BlackFog</t>
  </si>
  <si>
    <t>BlackFog provides threat prevention for data breaches, insider threats, ransomware, spyware, malware, phishing, unauthorized data collection and profiling.</t>
  </si>
  <si>
    <t>Document Management</t>
  </si>
  <si>
    <t>Enterprise Content Management | Virtual Postman</t>
  </si>
  <si>
    <t>Virtual Postman scans, archives, indexes and automatically emails fully collated statements and invoices thereby improving cash flow and reducing queries.</t>
  </si>
  <si>
    <t>Enterprise Document Management | DocuVision</t>
  </si>
  <si>
    <t>DocuVision is an Enterprise Document Management solution that Integrated with ERP, CRM, HR &amp; other LOB applications</t>
  </si>
  <si>
    <t>Invoice Recognition | PaperLess</t>
  </si>
  <si>
    <t>PaperLess gives access to a powerful invoice approval software that gives provides full control over invoice authorisation processes.  workflow processes.</t>
  </si>
  <si>
    <t>e-Commerce Platform</t>
  </si>
  <si>
    <t>Shopify</t>
  </si>
  <si>
    <t>e-Learning</t>
  </si>
  <si>
    <t>Communities Learning Platform | EDDUUS</t>
  </si>
  <si>
    <t>Edduus is a learning application designed just for  interests and social connections in communities</t>
  </si>
  <si>
    <t>Learning Management | NewLeaf</t>
  </si>
  <si>
    <t>Newleaf engages learners and build a course that includes a variety of learning activities.</t>
  </si>
  <si>
    <t>Education - Campus and Schools</t>
  </si>
  <si>
    <t>CodeVision</t>
  </si>
  <si>
    <t>eSchooling covers all areas of school management from financial, academic, statistical, buildings, access control, canteen, cashless payments and much more. Integrations with O365 are fully implemented as well as LMS and many other 3rd parties.</t>
  </si>
  <si>
    <t>Field Service</t>
  </si>
  <si>
    <t>DarkRed</t>
  </si>
  <si>
    <t>Darkred is an all-in-one platform that seamlessly manages every stage of the field service process. It removes the headache, integrates the separate systems, and ensures your team resolves tickets in the shortest time.</t>
  </si>
  <si>
    <t>Governance, Risk and Compliance</t>
  </si>
  <si>
    <t>OSA INT</t>
  </si>
  <si>
    <t>OSA INToffers Governance, Risk Management  and Cocrporate compliance software sustainability.</t>
  </si>
  <si>
    <t>Healthcare</t>
  </si>
  <si>
    <t>TriFour Health</t>
  </si>
  <si>
    <t>TriFour Health is a Comprehensive Clinical , Administrative and Financial software solution for Hospitals, Clinics, Practices and other types of medical facilities.</t>
  </si>
  <si>
    <t>Payment Services</t>
  </si>
  <si>
    <t>Netcash</t>
  </si>
  <si>
    <t>Netcash is a leading gateway payments provider to businesses and organizations of all sizes throughout South Africa</t>
  </si>
  <si>
    <t>Dynamics Payroll and HR</t>
  </si>
  <si>
    <t>Dynamics Payroll – Powered by PaySpace, is a cloud-based Payroll and Human Capital Management Software system</t>
  </si>
  <si>
    <t>ERS Bio</t>
  </si>
  <si>
    <t>ERSBio manages staff through Automated Time &amp; Attendance solutions. Mobile App, Facial &amp; Fingerprint Biometrics, Integration with Payroll, Access Control.</t>
  </si>
  <si>
    <t>Financial Wellness | Paymenow</t>
  </si>
  <si>
    <t>Paymenow is a financial wellness and inclusion platform that allows employees early access to already earned wages </t>
  </si>
  <si>
    <t>Human Resource Management | Signify Software</t>
  </si>
  <si>
    <t>Signify Human Resource Management Product Suite enables you to effectively manage the full employee life-cycle of your workforce through a range of modules</t>
  </si>
  <si>
    <t>Recruitment | Direct Hire</t>
  </si>
  <si>
    <t>Workforce Management | Econz Wireless</t>
  </si>
  <si>
    <t>Point of Sale</t>
  </si>
  <si>
    <t>Enterprise Retail Management | iVend Retail</t>
  </si>
  <si>
    <t>iVend Retail is a scalable solution that can effortlessly handle large and elaborate businesses operating in multiple locations, currencies, languages, and subsidiaries with hundreds of points of sale.</t>
  </si>
  <si>
    <t>Point of Sale | TallOrder</t>
  </si>
  <si>
    <t>TallOrder: A Fully Integrated Cloud Point of Sale Solution</t>
  </si>
  <si>
    <t>Property Management</t>
  </si>
  <si>
    <t>MRI</t>
  </si>
  <si>
    <t>MRI provides solutions for Resedential and Commercial property management</t>
  </si>
  <si>
    <t>Reporting and Forecasting</t>
  </si>
  <si>
    <t>Budgeting and Forecasting | IDU</t>
  </si>
  <si>
    <t>IDU-Concept provides smart budgeting, forecasting and reporting tools with easy to use modules designed to meet all of business needs.</t>
  </si>
  <si>
    <t>Corporate Peformance Management | Solver</t>
  </si>
  <si>
    <t>Solver provides a single, cloud-based solution that automates reporting, consolidations, budgeting and forecasting processes, and supports faster and better decisions based on key information from across the organization’s data sources.</t>
  </si>
  <si>
    <t>Data Management and Analytics | ZAP</t>
  </si>
  <si>
    <t>ZAP Data Hub is an ELT and data warehouse automation software. It’s the fastest way to deliver accurate, trusted financial and operational reporting.</t>
  </si>
  <si>
    <t>Our Solutions</t>
  </si>
  <si>
    <t>Product</t>
  </si>
  <si>
    <t>Weblink</t>
  </si>
  <si>
    <t>Price List</t>
  </si>
  <si>
    <t>Quoting</t>
  </si>
  <si>
    <t>Asset Management</t>
  </si>
  <si>
    <t>4asset</t>
  </si>
  <si>
    <t>Click here for more information on 4asset</t>
  </si>
  <si>
    <t>Request Quote</t>
  </si>
  <si>
    <t>Asset Verification</t>
  </si>
  <si>
    <t>4verify</t>
  </si>
  <si>
    <t>Click here for more information on 4verify</t>
  </si>
  <si>
    <t>4talk</t>
  </si>
  <si>
    <t>Click here for more information on 4talk</t>
  </si>
  <si>
    <t>Database Management</t>
  </si>
  <si>
    <t>4audit</t>
  </si>
  <si>
    <t>Click here for more information on 4audit</t>
  </si>
  <si>
    <t>Integration</t>
  </si>
  <si>
    <t>4integrate</t>
  </si>
  <si>
    <t>Click here for more information on 4integrate</t>
  </si>
  <si>
    <t>Intelligent Process Automation</t>
  </si>
  <si>
    <t>4flow</t>
  </si>
  <si>
    <t>Click here for more information on 4flow</t>
  </si>
  <si>
    <t>Microsoft</t>
  </si>
  <si>
    <t>Click here for more information on Veripark</t>
  </si>
  <si>
    <t>Subject Category</t>
  </si>
  <si>
    <t>Email Signature Management </t>
  </si>
  <si>
    <t>Exclaimer</t>
  </si>
  <si>
    <t>Microsoft / Google</t>
  </si>
  <si>
    <t>Engagement Solution</t>
  </si>
  <si>
    <t>Kunjani</t>
  </si>
  <si>
    <t>Microsoft Teams</t>
  </si>
  <si>
    <t>Click here for more information on Kunjani</t>
  </si>
  <si>
    <t>Acronis Reporting</t>
  </si>
  <si>
    <t>Acronis</t>
  </si>
  <si>
    <t>Backup and Cyber Security</t>
  </si>
  <si>
    <t>N/A</t>
  </si>
  <si>
    <t>Click here for more information on Acronis</t>
  </si>
  <si>
    <t>Acronis Cyber Cloud Calculator USD</t>
  </si>
  <si>
    <t>Acronis Cyber Protect Cloud Licensing Guide</t>
  </si>
  <si>
    <t>Ransomware</t>
  </si>
  <si>
    <t>BlackFog</t>
  </si>
  <si>
    <t>Click here for more information on BlackFog</t>
  </si>
  <si>
    <t>BlackFog Price List</t>
  </si>
  <si>
    <t>*Please note that the above price lists</t>
  </si>
  <si>
    <t>will automatically download once clicked*</t>
  </si>
  <si>
    <t>Enterprise Content Management</t>
  </si>
  <si>
    <t>Virtual Postman</t>
  </si>
  <si>
    <t>Microsoft / Sage/ Other</t>
  </si>
  <si>
    <t>Click here for more information on Virtual Postman</t>
  </si>
  <si>
    <t>Enterprise Document Management</t>
  </si>
  <si>
    <t>DocuVision</t>
  </si>
  <si>
    <t>Click here for more information on DocuVision</t>
  </si>
  <si>
    <t>Invoice Recognition</t>
  </si>
  <si>
    <t>PaperLess</t>
  </si>
  <si>
    <t>Sage</t>
  </si>
  <si>
    <t>Click here for more information on PaperLess</t>
  </si>
  <si>
    <t>Microsoft / Sage</t>
  </si>
  <si>
    <t>Click here for more information on CodeVision</t>
  </si>
  <si>
    <t>Brochure</t>
  </si>
  <si>
    <t>DarkRed Brochure</t>
  </si>
  <si>
    <t>*Please note that the</t>
  </si>
  <si>
    <t>above brochure will</t>
  </si>
  <si>
    <t>automatically download</t>
  </si>
  <si>
    <t xml:space="preserve"> once clicked*</t>
  </si>
  <si>
    <t>OSA INT.</t>
  </si>
  <si>
    <t>Click here for more information on OSA INT.</t>
  </si>
  <si>
    <t>Click here for more information on TriFour</t>
  </si>
  <si>
    <t>Click here for more information on Netcash</t>
  </si>
  <si>
    <t>Payroll and HR</t>
  </si>
  <si>
    <t>Financial Wellness</t>
  </si>
  <si>
    <t>Paymenow</t>
  </si>
  <si>
    <t>Dynamics Payroll and HR / Sage</t>
  </si>
  <si>
    <t>Click here for more information on Paymenow</t>
  </si>
  <si>
    <t>Time and Attendence</t>
  </si>
  <si>
    <t>Click here for more information on ERS Bio</t>
  </si>
  <si>
    <t>Human Resource  Management</t>
  </si>
  <si>
    <t>Signify Software</t>
  </si>
  <si>
    <t>Click here for more information on Signify</t>
  </si>
  <si>
    <t>Click here for more information on Dynamics Payroll</t>
  </si>
  <si>
    <t>Dynamics Payroll USD Price List</t>
  </si>
  <si>
    <t>Recruitment</t>
  </si>
  <si>
    <t>Direct Hire</t>
  </si>
  <si>
    <t>Workforce Management</t>
  </si>
  <si>
    <t>Econz Wireless</t>
  </si>
  <si>
    <t>Click here for more information on Econz Wireless</t>
  </si>
  <si>
    <t>Econz Wireless ZAR Price List</t>
  </si>
  <si>
    <t>Econz Wireless USD Price List</t>
  </si>
  <si>
    <t xml:space="preserve">*Please note that the above price lists </t>
  </si>
  <si>
    <t>Enterprise Retail Management</t>
  </si>
  <si>
    <t>iVend Retail</t>
  </si>
  <si>
    <t>Click here for more information on iVend Retail</t>
  </si>
  <si>
    <t>TallOrder</t>
  </si>
  <si>
    <t>Click here for more information on TallOrder</t>
  </si>
  <si>
    <t>TallOrder Price List</t>
  </si>
  <si>
    <t xml:space="preserve"> above price list will</t>
  </si>
  <si>
    <t xml:space="preserve"> automatically</t>
  </si>
  <si>
    <t>download once</t>
  </si>
  <si>
    <t xml:space="preserve"> clicked*</t>
  </si>
  <si>
    <t>Click here for more information on MRI</t>
  </si>
  <si>
    <t>Budgeting and Forecasting</t>
  </si>
  <si>
    <t>IDU</t>
  </si>
  <si>
    <t>Click here for more information on IDU</t>
  </si>
  <si>
    <t xml:space="preserve">Corporate Peformance Management </t>
  </si>
  <si>
    <t>Solver</t>
  </si>
  <si>
    <t>Click here for more information on Solver</t>
  </si>
  <si>
    <t>Data Management and Analytics</t>
  </si>
  <si>
    <t>ZAP</t>
  </si>
  <si>
    <t>Click here for more information on ZAP</t>
  </si>
  <si>
    <t>Communities Learning Platform</t>
  </si>
  <si>
    <t>EDDUUS</t>
  </si>
  <si>
    <t>Click here for more information on EDDUUS</t>
  </si>
  <si>
    <t>Learning Management</t>
  </si>
  <si>
    <t>NewLeaf</t>
  </si>
  <si>
    <t>Microsoft / Dynamics Payroll / Sage</t>
  </si>
  <si>
    <t>Click here for more information on NewLeaf</t>
  </si>
  <si>
    <t>AI Builder Capacity Add-on T3 (min 50 packs)</t>
  </si>
  <si>
    <t>AI Builder Capacity Add-on T2 (min 10 packs)</t>
  </si>
  <si>
    <t>AI Builder Capacity Add-on T1</t>
  </si>
  <si>
    <t>CFQ7TTC0RN26</t>
  </si>
  <si>
    <t>Monthly - 3 Year Commitment</t>
  </si>
  <si>
    <t>Triennial - 3 Year Commitment</t>
  </si>
  <si>
    <t>Dynamics 365 Business Central Essentials Attach</t>
  </si>
  <si>
    <t>CFQ7TTC0N13N</t>
  </si>
  <si>
    <t>Power Pages authenticated users - T2 min 100units</t>
  </si>
  <si>
    <t>Power Pages authenticated users - T3 min 1000 units</t>
  </si>
  <si>
    <t>Power Pages authenticated users - T1 100 users</t>
  </si>
  <si>
    <t>Power Pages anonymous users - T2 min 20 units</t>
  </si>
  <si>
    <t>Power Pages anonymous users - T1 500 users</t>
  </si>
  <si>
    <t>Power Pages anonymous users - T3 min 200 units</t>
  </si>
  <si>
    <t>CFQ7TTC0RJ8R</t>
  </si>
  <si>
    <t>Microsoft Defender for Business</t>
  </si>
  <si>
    <t>Microsoft Defender for Business servers</t>
  </si>
  <si>
    <t>CFQ7TTC0HX56</t>
  </si>
  <si>
    <t>CFQ7TTC0QKW2</t>
  </si>
  <si>
    <t>Power Apps Premium</t>
  </si>
  <si>
    <t>Power Automate Premium</t>
  </si>
  <si>
    <t>Dataverse Database Capacity add-on</t>
  </si>
  <si>
    <t>CFQ7TTC0LHRL</t>
  </si>
  <si>
    <t>Dataverse File Capacity add-on</t>
  </si>
  <si>
    <t>CFQ7TTC0LHQ3</t>
  </si>
  <si>
    <t>Dataverse Log Capacity add-on</t>
  </si>
  <si>
    <t>CFQ7TTC0HBSL</t>
  </si>
  <si>
    <t>CFQ7TTC0N13S</t>
  </si>
  <si>
    <t>Dynamics 365 Customer Insights Journeys T1 Interacted People</t>
  </si>
  <si>
    <t>Dynamics 365 Customer Insights Journeys T2 Interacted People</t>
  </si>
  <si>
    <t>Dynamics 365 Customer Insights Data T2 Unified People</t>
  </si>
  <si>
    <t>Dynamics 365 Customer Insights Journeys T3 Interacted People</t>
  </si>
  <si>
    <t>Dynamics 365 Customer Insights Data T1 Unified People</t>
  </si>
  <si>
    <t>Dynamics 365 Customer Insights Data T3 Unified People</t>
  </si>
  <si>
    <t>CFQ7TTC0LHPZ</t>
  </si>
  <si>
    <t>Dynamics 365 Guides Device</t>
  </si>
  <si>
    <t>CFQ7TTC0LGV8</t>
  </si>
  <si>
    <t>CFQ7TTC0LHXZ</t>
  </si>
  <si>
    <t>Dynamics 365 Remote Assist Device</t>
  </si>
  <si>
    <t>CFQ7TTC0J1ZX</t>
  </si>
  <si>
    <t>Insider Risk Management Forensic Evidence 100GB Add-on</t>
  </si>
  <si>
    <t>CFQ7TTC0RWPR</t>
  </si>
  <si>
    <t>CFQ7TTC0QB4T</t>
  </si>
  <si>
    <t>M365 F5 eDiscovery and Audit</t>
  </si>
  <si>
    <t>M365 F5 Information Protection and Governance</t>
  </si>
  <si>
    <t>CFQ7TTC0QB3R</t>
  </si>
  <si>
    <t>M365 F5 Insider Risk Management</t>
  </si>
  <si>
    <t>CFQ7TTC0QB3G</t>
  </si>
  <si>
    <t>CFQ7TTC0JLX1</t>
  </si>
  <si>
    <t>Microsoft Defender for IoT - EIoT Device License - add-on</t>
  </si>
  <si>
    <t>Microsoft Defender for IoT - OT site license - S</t>
  </si>
  <si>
    <t>Microsoft Defender for IoT - OT site license - XL</t>
  </si>
  <si>
    <t>Microsoft Defender for IoT - OT site license - M</t>
  </si>
  <si>
    <t>Microsoft Defender for IoT - OT site license - XS</t>
  </si>
  <si>
    <t>Microsoft Defender for IoT - OT site license - L</t>
  </si>
  <si>
    <t>CFQ7TTC0MZH6</t>
  </si>
  <si>
    <t>CFQ7TTC0MLTF</t>
  </si>
  <si>
    <t>CFQ7TTC0QTFK</t>
  </si>
  <si>
    <t>Defender Threat Intelligence API</t>
  </si>
  <si>
    <t>Defender Threat Intelligence</t>
  </si>
  <si>
    <t>Microsoft Defender Vulnerability Management Add-on</t>
  </si>
  <si>
    <t>Microsoft Defender Vulnerability Management Add-On Server</t>
  </si>
  <si>
    <t>CFQ7TTC0JPGV</t>
  </si>
  <si>
    <t>Power Automate Process</t>
  </si>
  <si>
    <t>CFQ7TTC0MFT9</t>
  </si>
  <si>
    <t>Power Automate Process Mining add-on</t>
  </si>
  <si>
    <t>CFQ7TTC0S6D5</t>
  </si>
  <si>
    <t>Priva Privacy Risk Management</t>
  </si>
  <si>
    <t>Priva Subject Rights Requests (100)</t>
  </si>
  <si>
    <t>Priva Subject Rights Requests (10)</t>
  </si>
  <si>
    <t>Priva Subject Rights Requests (1)</t>
  </si>
  <si>
    <t>CFQ7TTC0HVZW</t>
  </si>
  <si>
    <t>Agriculture</t>
  </si>
  <si>
    <t>Navfarm</t>
  </si>
  <si>
    <r>
      <t>Cognius is conversational </t>
    </r>
    <r>
      <rPr>
        <b/>
        <sz val="12"/>
        <rFont val="Calibri"/>
        <family val="2"/>
        <scheme val="minor"/>
      </rPr>
      <t>AI</t>
    </r>
    <r>
      <rPr>
        <sz val="12"/>
        <rFont val="Calibri"/>
        <family val="2"/>
        <scheme val="minor"/>
      </rPr>
      <t> technology designed to increase intelligence in business operations for debt collections.</t>
    </r>
  </si>
  <si>
    <t>Communication | Solgari</t>
  </si>
  <si>
    <t>Solgari: a unique all-channels communications solution that integrates seamlessly with your existing CRM system.</t>
  </si>
  <si>
    <t>Digital Transformation</t>
  </si>
  <si>
    <t>Bimser</t>
  </si>
  <si>
    <t>Bimser is a global enterprise software vendor aiding businesses end- to- end with their digital transformation journey</t>
  </si>
  <si>
    <t>e-Commerce</t>
  </si>
  <si>
    <t>e-Commerce Platform | Shopify</t>
  </si>
  <si>
    <t>Shopify is complete cloud-based and hosted e-commerce platform for all business types with end-to-end automation</t>
  </si>
  <si>
    <t>ERP Management | Prudence</t>
  </si>
  <si>
    <t>ERP Management Software  for Simplifying Business Processes</t>
  </si>
  <si>
    <t>Click here for more information on Navfarm</t>
  </si>
  <si>
    <t>Communication solution</t>
  </si>
  <si>
    <t>Solgari</t>
  </si>
  <si>
    <t>Click here for more information on Solgari</t>
  </si>
  <si>
    <t>Business Services Platform</t>
  </si>
  <si>
    <t>Click here for more information on Bimser</t>
  </si>
  <si>
    <t>Click here for more information on Shopify</t>
  </si>
  <si>
    <t xml:space="preserve">   ERP Management</t>
  </si>
  <si>
    <t>Prudence</t>
  </si>
  <si>
    <t xml:space="preserve">Microsoft </t>
  </si>
  <si>
    <t>Click here for more information on Prudence</t>
  </si>
  <si>
    <t>CFQ7TTC0JSQ1</t>
  </si>
  <si>
    <t>eCDN</t>
  </si>
  <si>
    <t>Compliance Manager Premium Assessment Add-On</t>
  </si>
  <si>
    <t>Microsoft 365 International Calling Plan</t>
  </si>
  <si>
    <t>CFQ7TTC0HC36</t>
  </si>
  <si>
    <t>CFQ7TTC0LHRR</t>
  </si>
  <si>
    <t>Microsoft Defender for Cloud Apps</t>
  </si>
  <si>
    <t>CFQ7TTC0Q17R</t>
  </si>
  <si>
    <t>Microsoft Intune Remote Help</t>
  </si>
  <si>
    <t>Microsoft Entra ID Governance</t>
  </si>
  <si>
    <t>Microsoft Entra ID Governance Step-Up for Microsoft Entra ID P2</t>
  </si>
  <si>
    <t>Microsoft Entra ID P1</t>
  </si>
  <si>
    <t>Microsoft Entra ID P2</t>
  </si>
  <si>
    <t>CFQ7TTC0MFT1</t>
  </si>
  <si>
    <t>CFQ7TTC0LFLS</t>
  </si>
  <si>
    <t>CFQ7TTC0LFK5</t>
  </si>
  <si>
    <t>Trial</t>
  </si>
  <si>
    <t>Microsoft Entra Permissions Management</t>
  </si>
  <si>
    <t>CFQ7TTC0QQRV</t>
  </si>
  <si>
    <t>CFQ7TTC0R9QB</t>
  </si>
  <si>
    <t>Microsoft Intune Endpoint Privilege Management</t>
  </si>
  <si>
    <t>Microsoft Intune Plan 1 Device</t>
  </si>
  <si>
    <t>Microsoft Intune Plan 1 Storage Add-On</t>
  </si>
  <si>
    <t>CFQ7TTC0RP6S</t>
  </si>
  <si>
    <t>Microsoft Intune Plan 1</t>
  </si>
  <si>
    <t>Microsoft Intune Plan 2</t>
  </si>
  <si>
    <t>Microsoft Intune Suite</t>
  </si>
  <si>
    <t>CFQ7TTC0RZFJ</t>
  </si>
  <si>
    <t>Microsoft Sustainability Manager Essentials</t>
  </si>
  <si>
    <t>CFQ7TTC0Q171</t>
  </si>
  <si>
    <t>Microsoft Teams Domestic and International Calling Plan</t>
  </si>
  <si>
    <t>CFQ7TTC0LHXT</t>
  </si>
  <si>
    <t>Microsoft Teams Domestic Calling Plan</t>
  </si>
  <si>
    <t>CFQ7TTC0MJ3G</t>
  </si>
  <si>
    <t>Microsoft Teams Essentials with Phone</t>
  </si>
  <si>
    <t>CFQ7TTC0RC5R</t>
  </si>
  <si>
    <t>CFQ7TTC0LH0V</t>
  </si>
  <si>
    <t>Microsoft Teams Shared Devices</t>
  </si>
  <si>
    <t>Microsoft Viva Goals</t>
  </si>
  <si>
    <t>CFQ7TTC0PW0V</t>
  </si>
  <si>
    <t>Microsoft Viva Suite</t>
  </si>
  <si>
    <t>CFQ7TTC0J7V7</t>
  </si>
  <si>
    <t>Multi-Geo Capabilities in Office 365</t>
  </si>
  <si>
    <t>CFQ7TTC0LHQG</t>
  </si>
  <si>
    <t>SharePoint advanced management</t>
  </si>
  <si>
    <t>CFQ7TTC0R551</t>
  </si>
  <si>
    <t>Teams Phone Mobile</t>
  </si>
  <si>
    <t>CFQ7TTC0J1GC</t>
  </si>
  <si>
    <t>CFQ7TTC0RM8K</t>
  </si>
  <si>
    <t>Dynamics 365  Operations – Order Lines</t>
  </si>
  <si>
    <t>CFQ7TTC0LHXR</t>
  </si>
  <si>
    <t>Dataverse Database Capacity add-on Tier 2 (Min 1000GB)</t>
  </si>
  <si>
    <t>CFQ7TTC0NCD7</t>
  </si>
  <si>
    <t>Dynamics 365 Finance Premium</t>
  </si>
  <si>
    <t>CFQ7TTC0NL21</t>
  </si>
  <si>
    <t>Dynamics 365 Operations - Database Capacity Tier 2 (Min 1000GB)</t>
  </si>
  <si>
    <t>CFQ7TTC0NC52</t>
  </si>
  <si>
    <t>Windows 365 Frontline 2 vCPU, 4 GB, 64 GB</t>
  </si>
  <si>
    <t>Windows 365 Frontline 2 vCPU, 4 GB, 256 GB</t>
  </si>
  <si>
    <t>Windows 365 Frontline 2 vCPU, 8 GB, 128 GB</t>
  </si>
  <si>
    <t>Windows 365 Frontline 2 vCPU, 4 GB, 128 GB</t>
  </si>
  <si>
    <t>Windows 365 Frontline 2 vCPU, 8 GB, 256 GB</t>
  </si>
  <si>
    <t>Windows 365 Frontline 8 vCPU, 32 GB, 512 GB</t>
  </si>
  <si>
    <t>Windows 365 Frontline 8 vCPU, 32 GB, 256 GB</t>
  </si>
  <si>
    <t>Windows 365 Frontline 8 vCPU, 32 GB, 128 GB</t>
  </si>
  <si>
    <t>Windows 365 Frontline 4 vCPU, 16 GB, 512 GB</t>
  </si>
  <si>
    <t>Windows 365 Frontline 4 vCPU, 16 GB, 256 GB</t>
  </si>
  <si>
    <t>Windows 365 Frontline 4 vCPU, 16 GB, 128 GB</t>
  </si>
  <si>
    <t>Windows 365 Frontline 16 vCPU, 64 GB, 1 TB</t>
  </si>
  <si>
    <t>Windows 365 Frontline 16 vCPU, 64 GB, 512 GB</t>
  </si>
  <si>
    <t>CFQ7TTC0R595</t>
  </si>
  <si>
    <t>Direct Hire is an advanced e-Recruitment solution that has been specifically designed around the needs of HR and business, to effectively automate and manage the requisition-to-hire process</t>
  </si>
  <si>
    <t>Econz Wireless  is a mobile workforce management application that generates PDF forms, photos, digital signatures, GPS tracking information and job costing</t>
  </si>
  <si>
    <t>XtrActi / 4TRESS</t>
  </si>
  <si>
    <t>Click here for more information on 4TRESS</t>
  </si>
  <si>
    <t>4TRESS Price List</t>
  </si>
  <si>
    <t>Acronis Price List</t>
  </si>
  <si>
    <t>BlackFog Price Book (MEA)</t>
  </si>
  <si>
    <t>Dynamics Payroll Retail Price List</t>
  </si>
  <si>
    <t xml:space="preserve">Dynamics Payroll Partner Price List </t>
  </si>
  <si>
    <t>Click here for more information on Direct Hire</t>
  </si>
  <si>
    <t>Microsoft Copilot Studio User License</t>
  </si>
  <si>
    <t>Microsoft Copilot Studio</t>
  </si>
  <si>
    <t>ADR - Advanced Data Residency</t>
  </si>
  <si>
    <t>Clipchamp Standard</t>
  </si>
  <si>
    <t>Clipchamp Premium</t>
  </si>
  <si>
    <t>CFQ7TTC0N8SS</t>
  </si>
  <si>
    <t>Clipchamp Premium Add-on</t>
  </si>
  <si>
    <t>Microsoft Copilot for Microsoft 365</t>
  </si>
  <si>
    <t>CFQ7TTC0MM8R</t>
  </si>
  <si>
    <t>Annual - 1 Year Commitment</t>
  </si>
  <si>
    <t>Microsoft Cloud PKI</t>
  </si>
  <si>
    <t>CFQ7TTC0P4WT</t>
  </si>
  <si>
    <t>Microsoft Copilot for Sales</t>
  </si>
  <si>
    <t>Microsoft Copilot for Service</t>
  </si>
  <si>
    <t>CFQ7TTC0NSWW</t>
  </si>
  <si>
    <t>CFQ7TTC0NSX1</t>
  </si>
  <si>
    <t>CFQ7TTC0LHPK</t>
  </si>
  <si>
    <t>Office 365 A1 (Education Student Pricing)</t>
  </si>
  <si>
    <t>Education</t>
  </si>
  <si>
    <t>Office 365 A1 (Education Faculty Pricing)</t>
  </si>
  <si>
    <t>CFQ7TTC0LHPP</t>
  </si>
  <si>
    <t>Office 365 A3 (Education Faculty Pricing)</t>
  </si>
  <si>
    <t>Office 365 A3  use benefit (Education Student Pricing)</t>
  </si>
  <si>
    <t>Office 365 A3 (Education Student Pricing)</t>
  </si>
  <si>
    <t>CFQ7TTC0LHPM</t>
  </si>
  <si>
    <t>Office 365 A5  use benefit (Education Student Pricing)</t>
  </si>
  <si>
    <t>Microsoft Defender for Endpoint P2 (Education Pricing)</t>
  </si>
  <si>
    <t>Microsoft Defender for Office 365 (Plan 1) Student use benefit (Education Student Pricing)</t>
  </si>
  <si>
    <t>Microsoft Defender for Office 365 (Plan 1) (Education Faculty Pricing)</t>
  </si>
  <si>
    <t>Microsoft Defender for Office 365 (Plan 2) (Education Faculty Pricing)</t>
  </si>
  <si>
    <t>Microsoft Defender Vulnerability Management Add-on (Education Faculty Pricing)</t>
  </si>
  <si>
    <t>CFQ7TTC0LSNC</t>
  </si>
  <si>
    <t>Enterprise Mobility + Security A3 (Education Faculty Pricing)</t>
  </si>
  <si>
    <t>Enterprise Mobility + Security A3 (Education Student Pricing)</t>
  </si>
  <si>
    <t>Enterprise Mobility + Security A3 Student use benefit (Education Student Pricing)</t>
  </si>
  <si>
    <t>CFQ7TTC0LR5B</t>
  </si>
  <si>
    <t>Enterprise Mobility + Security A5 (Education Student Pricing)</t>
  </si>
  <si>
    <t>Enterprise Mobility + Security A5 (Education Faculty Pricing)</t>
  </si>
  <si>
    <t>Enterprise Mobility + Security A5 Student use benefit (Education Student Pricing)</t>
  </si>
  <si>
    <t>CFQ7TTC0LHPL</t>
  </si>
  <si>
    <t>Microsoft 365 A3  (Education Faculty Pricing)</t>
  </si>
  <si>
    <t>Microsoft 365 A3 (Education Student Pricing)</t>
  </si>
  <si>
    <t>Microsoft 365 A3 for DStudents use benefit (Education Student Pricing)</t>
  </si>
  <si>
    <t>CFQ7TTC0LHPJ</t>
  </si>
  <si>
    <t>Microsoft 365 A5 without Audio Conferencing  (Education Faculty Pricing)</t>
  </si>
  <si>
    <t>CFQ7TTC0J1KP</t>
  </si>
  <si>
    <t>Microsoft 365 A5 Security for student use benefits (Education Student Pricing)</t>
  </si>
  <si>
    <t>Microsoft 365 A5 Security (Education Faculty Pricing)</t>
  </si>
  <si>
    <t>Microsoft 365 Audio Conferencing (Education Faculty Pricing)</t>
  </si>
  <si>
    <t>Microsoft Teams Domestic Calling Plan (120 min) (Education Faculty Pricing)</t>
  </si>
  <si>
    <t>CFQ7TTC0LH0R</t>
  </si>
  <si>
    <t>Microsoft Teams Phone Resource Account (Education Faculty Pricing)</t>
  </si>
  <si>
    <t>Microsoft Teams Phone Standard (Education Faculty Pricing)</t>
  </si>
  <si>
    <t>CFQ7TTC0QW7C</t>
  </si>
  <si>
    <t>Common Area Phone (Education Faculty Pricing)</t>
  </si>
  <si>
    <t>Project Online Essentials  (Education Faculty Pricing)</t>
  </si>
  <si>
    <t>Project Online Essentials (Education Student Pricing)</t>
  </si>
  <si>
    <t>Project Plan 3 (Education Student Pricing)</t>
  </si>
  <si>
    <t>Project Plan 3 (Education Faculty Pricing)</t>
  </si>
  <si>
    <t>Project Plan 5  (Education Faculty Pricing)</t>
  </si>
  <si>
    <t>Dynamics 365  Operations – Order Lines (Education Pricing)</t>
  </si>
  <si>
    <t>Dynamics 365 Operations – Activity (Education Student Pricing)</t>
  </si>
  <si>
    <t>Dynamics 365 Operations – Activity (Education Faculty Pricing)</t>
  </si>
  <si>
    <t>Dynamics 365 Operations - Database Capacity (Education Pricing)</t>
  </si>
  <si>
    <t>Dynamics 365 Operations – Device (Education Student Pricing)</t>
  </si>
  <si>
    <t>Dynamics 365 Operations – Device (Education Faculty Pricing)</t>
  </si>
  <si>
    <t>Dynamics 365 Operations - File Capacity (Education Pricing)</t>
  </si>
  <si>
    <t>Dynamics 365 Operations - Sandbox Tier 2:Standard Acceptance Testing (Education Faculty Pricing)</t>
  </si>
  <si>
    <t>Dynamics 365 Operations - Sandbox Tier 3:Premier Acceptance Testing (Education Faculty Pricing)</t>
  </si>
  <si>
    <t>Dynamics 365 Supply Chain Management (Education Faculty Pricing)</t>
  </si>
  <si>
    <t>Dynamics 365 Business Central Additional Environment Addon (Education Faculty Pricing)</t>
  </si>
  <si>
    <t>Dynamics 365 Business Central Database Capacity (Education Faculty Pricing)</t>
  </si>
  <si>
    <t>Dynamics 365 Business Central Device (Education Student Pricing)</t>
  </si>
  <si>
    <t>Dynamics 365 Business Central Essentials (Education Student Pricing)</t>
  </si>
  <si>
    <t>Dynamics 365 Business Central Essentials (Education Faculty Pricing)</t>
  </si>
  <si>
    <t>Dynamics 365 Business Central External Accountant (Education Student Pricing)</t>
  </si>
  <si>
    <t>Dynamics 365 Business Central External Accountant (Education Faculty Pricing)</t>
  </si>
  <si>
    <t>Dynamics 365 Business Central Premium (Education Faculty Pricing)</t>
  </si>
  <si>
    <t>Dynamics 365 Business Central Premium (Education Student Pricing)</t>
  </si>
  <si>
    <t>Dynamics 365 Business Central Team Members (Education Faculty Pricing)</t>
  </si>
  <si>
    <t>Dynamics 365 Business Central Team Members (Education Student Pricing)</t>
  </si>
  <si>
    <t>Pro Direct Support for Dynamics 365 Operations (Education Faculty Pricing)</t>
  </si>
  <si>
    <t>Dynamics 365 Commerce Attach to Qualifying Dynamics 365 Base Offer (Education Faculty Pricing)</t>
  </si>
  <si>
    <t>Dynamics 365 Commerce Attach to Qualifying Dynamics 365 Base Offer (Education Student Pricing)</t>
  </si>
  <si>
    <t>Dynamics 365 e-Commerce Tier 1 Band 2 (Education Faculty Pricing)</t>
  </si>
  <si>
    <t>Dynamics 365 e-Commerce Tier 1 Band 1 (Education Faculty Pricing)</t>
  </si>
  <si>
    <t>Dynamics 365 e-Commerce Tier 1 Band 3 (Education Faculty Pricing)</t>
  </si>
  <si>
    <t>Dynamics 365 Customer Service Chat (Education Faculty Pricing)</t>
  </si>
  <si>
    <t>Dynamics 365 Customer Service Chat (Education Student Pricing)</t>
  </si>
  <si>
    <t>Dynamics 365 Customer Service Enterprise (Education Faculty Pricing)</t>
  </si>
  <si>
    <t>Dynamics 365 Customer Service Enterprise Attach to Qualifying Dynamics 365 Base Offer (Education Faculty Pricing)</t>
  </si>
  <si>
    <t>Dynamics 365 Customer Service Enterprise Attach to Qualifying Dynamics 365 Base Offer (Education Student Pricing)</t>
  </si>
  <si>
    <t>Dynamics 365 Customer Service Professional (Education Faculty Pricing)</t>
  </si>
  <si>
    <t>Dynamics 365 Customer Service Professional (Education Student Pricing)</t>
  </si>
  <si>
    <t>Dynamics 365 Customer Service Professional Attach to Qualifying Dynamics 365 Base Offer (Education Faculty Pricing)</t>
  </si>
  <si>
    <t>Dynamics 365 Field Service for Device (Education Faculty Pricing)</t>
  </si>
  <si>
    <t>Dynamics 365 Field Service Attach to Qualifying Dynamics 365 Base Offer (Education Faculty Pricing)</t>
  </si>
  <si>
    <t>Dynamics 365 Finance (Education Faculty Pricing)</t>
  </si>
  <si>
    <t>Dynamics 365 Finance Attach to Qualifying Dynamics 365 Base Offer (Education Faculty Pricing)</t>
  </si>
  <si>
    <t>Dynamics 365 Fraud Protection Account Protection (Education Faculty Pricing)</t>
  </si>
  <si>
    <t>Dynamics 365 Fraud Protection Loss Prevention (Education Faculty Pricing)</t>
  </si>
  <si>
    <t>CFQ7TTC0J1S8</t>
  </si>
  <si>
    <t>Dynamics 365 Guides (Education Faculty Pricing)</t>
  </si>
  <si>
    <t>CFQ7TTC0J1QZ</t>
  </si>
  <si>
    <t>Dynamics 365 Guides (Education Student Pricing)</t>
  </si>
  <si>
    <t>Dynamics 365 Human Resources (Education Faculty Pricing)</t>
  </si>
  <si>
    <t>Dynamics 365 Human Resources Sandbox (Education Faculty Pricing)</t>
  </si>
  <si>
    <t>Dynamics 365 Human Resources Attach to Qualifying Dynamics 365 Base Offer (Education Faculty Pricing)</t>
  </si>
  <si>
    <t>Dynamics 365 Human Resources Self Service (Education Faculty Pricing)</t>
  </si>
  <si>
    <t>Dynamics 365 Project Operations Attach (Education Faculty Pricing)</t>
  </si>
  <si>
    <t>Dynamics 365 Project Operations (Education Faculty Pricing)</t>
  </si>
  <si>
    <t>CFQ7TTC0J1S1</t>
  </si>
  <si>
    <t>Dynamics 365 Remote Assist (Education Faculty Pricing)</t>
  </si>
  <si>
    <t>CFQ7TTC0J1S0</t>
  </si>
  <si>
    <t>Dynamics 365 Remote Assist (Education Student Pricing)</t>
  </si>
  <si>
    <t>Dynamics 365 Sales Enterprise Edition (Education Faculty Pricing)</t>
  </si>
  <si>
    <t>Dynamics 365 Sales Enterprise Attach to Qualifying Dynamics 365 Base Offer (Education Student Pricing)</t>
  </si>
  <si>
    <t>Dynamics 365 Sales Enterprise Attach to Qualifying Dynamics 365 Base Offer (Education Faculty Pricing)</t>
  </si>
  <si>
    <t>Dynamics 365 Sales Insights (Education Faculty Pricing)</t>
  </si>
  <si>
    <t>Dynamics 365 Sales Premium (Education Student Pricing)</t>
  </si>
  <si>
    <t>Dynamics 365 Sales Premium (Education Faculty Pricing)</t>
  </si>
  <si>
    <t>Dynamics 365 Sales Professional Attach to Qualifying Dynamics 365 Base Offer (Education Faculty Pricing)</t>
  </si>
  <si>
    <t>CFQ7TTC0LSNL</t>
  </si>
  <si>
    <t>Microsoft Intune Students use benefit (Education Student Pricing)</t>
  </si>
  <si>
    <t>Microsoft Intune cation (Education Faculty Pricing)</t>
  </si>
  <si>
    <t>Microsoft Intune Suite (Education Faculty Pricing)</t>
  </si>
  <si>
    <t>Power Platform Requests add-on (Education Faculty Pricing)</t>
  </si>
  <si>
    <t>Power Automate per flow plan (Education Faculty Pricing)</t>
  </si>
  <si>
    <t>Power Automate per user plan (Education Faculty Pricing)</t>
  </si>
  <si>
    <t>Power Automate per user plan (Education Student Pricing)</t>
  </si>
  <si>
    <t>Power Automate unattended RPA add-on (Education Faculty Pricing)</t>
  </si>
  <si>
    <t>Power Pages anonymous users T1 500 users/per site/month capacity pack (Education Faculty Pricing)</t>
  </si>
  <si>
    <t>Power Pages anonymous users T1 500 users/per site/month capacity pack (Education Student Pricing)</t>
  </si>
  <si>
    <t>Power Pages anonymous users T2 min 20 units - 500 users/per site/month capacity pack (Education Faculty Pricing)</t>
  </si>
  <si>
    <t>Power Pages anonymous users T3 min 200 units - 500 users/per site/month capacity pack (Education Student Pricing)</t>
  </si>
  <si>
    <t>Power Pages anonymous users T3 min 200 units - 500 users/per site/month capacity pack (Education Faculty Pricing)</t>
  </si>
  <si>
    <t>Power Pages anonymous users T2 min 20 units - 500 users/per site/month capacity pack (Education Student Pricing)</t>
  </si>
  <si>
    <t>CFQ7TTC0RJ8N</t>
  </si>
  <si>
    <t>Power Pages authenticated users T1 100 users/per site/month capacity pack (Education Faculty Pricing)</t>
  </si>
  <si>
    <t>Power Pages authenticated users T2 min 100 units - 100 users/per site/month capacity pack (Education Student Pricing)</t>
  </si>
  <si>
    <t>Power Pages authenticated users T2 min 100 units - 100 users/per site/month capacity pack (Education Faculty Pricing)</t>
  </si>
  <si>
    <t>Power Pages authenticated users T1 100 users/per site/month capacity pack (Education Student Pricing)</t>
  </si>
  <si>
    <t>Universal Print  (Education Faculty Pricing)</t>
  </si>
  <si>
    <t>Universal Print volume add-on (500 jobs) - Windows (Education Faculty Pricing)</t>
  </si>
  <si>
    <t>Universal Print (Education Student Pricing)</t>
  </si>
  <si>
    <t>Universal Print volume add-on (500 jobs) (Education Faculty Pricing)</t>
  </si>
  <si>
    <t>CFQ7TTC0J1S4</t>
  </si>
  <si>
    <t>Windows 10/11 Enterprise A3 (Education Student Pricing)</t>
  </si>
  <si>
    <t>Windows 10/11 Enterprise A3 (Education Faculty Pricing)</t>
  </si>
  <si>
    <t>Windows 10/11 Enterprise A3  use benefit (Education Student Pricing)</t>
  </si>
  <si>
    <t>CFQ7TTC0J1RW</t>
  </si>
  <si>
    <t>Windows 10/11 Enterprise A5 for student use benefits (Education Student Pricing)</t>
  </si>
  <si>
    <t>Windows 10/11 Enterprise A5 (Education Faculty Pricing)</t>
  </si>
  <si>
    <t>Windows 10/11 Enterprise A5 (Education Student Pricing)</t>
  </si>
  <si>
    <t>Monhtly - Monthly Commitment</t>
  </si>
  <si>
    <t>AI Builder Capacity add-on T1 (Education Faculty Pricing)</t>
  </si>
  <si>
    <t>CFQ7TTC0LH1X</t>
  </si>
  <si>
    <t>Dataverse Database Capacity add-on (Education Pricing)</t>
  </si>
  <si>
    <t>Dataverse File Capacity add-on (Education Pricing)</t>
  </si>
  <si>
    <t>Dataverse Log Capacity add-on (Education Pricing)</t>
  </si>
  <si>
    <t>Dynamics 365 Business Central Database Capacity Overage (Education Student Pricing)</t>
  </si>
  <si>
    <t>Dynamics 365 Business Central Database Capacity 100GB (Education Student Pricing)</t>
  </si>
  <si>
    <t>Dynamics 365 Business Central Database Capacity (Education Student Pricing)</t>
  </si>
  <si>
    <t>Dynamics 365 Business Central Database Capacity Overage (Education Faculty Pricing)</t>
  </si>
  <si>
    <t>Dynamics 365 Business Central Device (Education Faculty Pricing)</t>
  </si>
  <si>
    <t>Dynamics 365 e-Commerce Tier 3 Band 5 Overage (Education Faculty Pricing)</t>
  </si>
  <si>
    <t>Dynamics 365 e-Commerce Tier 3 Band 5 (Education Faculty Pricing)</t>
  </si>
  <si>
    <t>Dynamics 365 e-Commerce Tier 3 Band 5 (Education Student Pricing)</t>
  </si>
  <si>
    <t>Dynamics 365 e-Commerce Tier 3 Band 5 Overage (Education Student Pricing)</t>
  </si>
  <si>
    <t>Dynamics 365 e-Commerce Tier 3 Band 6 (Education Faculty Pricing)</t>
  </si>
  <si>
    <t>Dynamics 365 e-Commerce Tier 3 Band 6 (Education Student Pricing)</t>
  </si>
  <si>
    <t>Dynamics 365 e-Commerce Tier 3 Band 6 Overage (Education Student Pricing)</t>
  </si>
  <si>
    <t>Dynamics 365 e-Commerce Tier 3 Band 6 Overage (Education Faculty Pricing)</t>
  </si>
  <si>
    <t>Dynamics 365 e-Commerce Tier 3 Band 4 (Education Faculty Pricing)</t>
  </si>
  <si>
    <t>Dynamics 365 e-Commerce Tier 3 Band 4 (Education Student Pricing)</t>
  </si>
  <si>
    <t>Dynamics 365 e-Commerce Tier 3 Band 4 Overage (Education Student Pricing)</t>
  </si>
  <si>
    <t>Dynamics 365 e-Commerce Tier 3 Band 4 Overage (Education Faculty Pricing)</t>
  </si>
  <si>
    <t>Dynamics 365 Customer Service Call Intelligence Minutes Add-on (Education Student Pricing)</t>
  </si>
  <si>
    <t>Dynamics 365 Customer Service Call Intelligence Minutes Add-on (Education Faculty Pricing)</t>
  </si>
  <si>
    <t>c</t>
  </si>
  <si>
    <t>Dynamics 365 Customer Service Digital Messaging add-on (Education Faculty Pricing)</t>
  </si>
  <si>
    <t>Dynamics 365 Customer Service Digital Messaging and Voice Add-in (Education Faculty Pricing)</t>
  </si>
  <si>
    <t>Dynamics 365 Customer Service Digital Messaging and Voice Add-in (Education Student Pricing)</t>
  </si>
  <si>
    <t>Dynamics 365 Customer Service Enterprise (Education Student Pricing)</t>
  </si>
  <si>
    <t>Dynamics 365 Customer Service unified routing add-on (Education Student Pricing)</t>
  </si>
  <si>
    <t>Dynamics 365 Customer Service unified routing add-on (Education Faculty Pricing)</t>
  </si>
  <si>
    <t>Dynamics 365 Customer Service Intelligent Voicebot Minutes Add-on (Education Faculty Pricing)</t>
  </si>
  <si>
    <t>Dynamics 365 Customer Service Intelligent Voicebot Minutes Add-on (Education Student Pricing)</t>
  </si>
  <si>
    <t>Dynamics 365 Customer Service Professional Attach to Qualifying Dynamics 365 Base Offer (Education Student Pricing)</t>
  </si>
  <si>
    <t>Dynamics 365 Customer Service Voice Channel Add-in (Education Student Pricing)</t>
  </si>
  <si>
    <t>Dynamics 365 Customer Service Voice Channel Add-in (Education Faculty Pricing)</t>
  </si>
  <si>
    <t>Electronic Invoicing Add-on for Dynamics 365 (Education Faculty Pricing)</t>
  </si>
  <si>
    <t>Dynamics 365 Field Service (Education Student Pricing)</t>
  </si>
  <si>
    <t>Dynamics 365 Field Service Attach to Qualifying Dynamics 365 Base Offer (Education Student Pricing)</t>
  </si>
  <si>
    <t>Dynamics 365 Finance (Education Student Pricing)</t>
  </si>
  <si>
    <t>Dynamics 365 Finance Attach to Qualifying Dynamics 365 Base Offer (Education Student Pricing)</t>
  </si>
  <si>
    <t>Dynamics 365 Fraud Protection Account Protection Addon Tier 2 (Minimum units required) (Education Faculty Pricing)</t>
  </si>
  <si>
    <t>Dynamics 365 Fraud Protection Loss Prevention Addon Tier 2 (Minimum units required) (Education Faculty Pricing)</t>
  </si>
  <si>
    <t>Dynamics 365 Fraud Protection Purchase Protection (Education Faculty Pricing)</t>
  </si>
  <si>
    <t>Dynamics 365 Fraud Protection Purchase Protection Addon Tier 2 (Minimum units required) (Education Faculty Pricing)</t>
  </si>
  <si>
    <t>Dynamics 365 Human Resources (Education Student Pricing)</t>
  </si>
  <si>
    <t>Dynamics 365 Human Resources Self Service (Education Student Pricing)</t>
  </si>
  <si>
    <t>Dynamics 365 Human Resources Attach to Qualifying Dynamics 365 Base Offer (Education Student Pricing)</t>
  </si>
  <si>
    <t>Dynamics 365 Human Resources Sandbox (Education Student Pricing)</t>
  </si>
  <si>
    <t>Dynamics 365 Intelligent Order Management (Education Faculty Pricing)</t>
  </si>
  <si>
    <t>Dynamics 365 Intelligent Order Management (Education Student Pricing)</t>
  </si>
  <si>
    <t>Dynamics 365 Operations - Sandbox Tier 4:Standard Performance Testing (Education Faculty Pricing)</t>
  </si>
  <si>
    <t>Dynamics 365 Operations - Sandbox Tier 5:Premier Performance Testing (Education Faculty Pricing)</t>
  </si>
  <si>
    <t>Dynamics 365 Project Operations (Education Student Pricing)</t>
  </si>
  <si>
    <t>Dynamics 365 Project Operations Attach (Education Student Pricing)</t>
  </si>
  <si>
    <t>Dynamics 365 Sales Enterprise Edition (Education Student Pricing)</t>
  </si>
  <si>
    <t>Dynamics 365 Sales Insights (Education Student Pricing)</t>
  </si>
  <si>
    <t>Dynamics 365 Sales Professional Attach to Qualifying Dynamics 365 Base Offer (Education Student Pricing)</t>
  </si>
  <si>
    <t>Dynamics 365 Supply Chain Management (Education Student Pricing)</t>
  </si>
  <si>
    <t>Dynamics 365 Supply Chain Management Attach to Qualifying Dynamics 365 Base Offer (Education Student Pricing)</t>
  </si>
  <si>
    <t>Dynamics 365 Team Members (Education Faculty Pricing)</t>
  </si>
  <si>
    <t>Dynamics 365 Team Members (Education Student Pricing)</t>
  </si>
  <si>
    <t>Microsoft 365 A3 - Unattended License (Education Faculty Pricing)</t>
  </si>
  <si>
    <t>Microsoft 365 A5 (Education Student Pricing)</t>
  </si>
  <si>
    <t>Microsoft 365 A5 (Education Faculty Pricing)</t>
  </si>
  <si>
    <t>Microsoft 365 A5 Compliance (Education Faculty Pricing)</t>
  </si>
  <si>
    <t>CFQ7TTC0J1ZQ</t>
  </si>
  <si>
    <t>Microsoft 365 A5  use benefit (Education Student Pricing)</t>
  </si>
  <si>
    <t>CFQ7TTC0LHP8</t>
  </si>
  <si>
    <t>Microsoft 365 Apps  (Education Faculty Pricing)</t>
  </si>
  <si>
    <t>Microsoft 365 A5 Information Protection and Governance for faculty</t>
  </si>
  <si>
    <t>Microsoft Defender for Cloud Apps (Education Faculty Pricing)</t>
  </si>
  <si>
    <t>Microsoft Defender for Cloud Apps (Education Student Pricing)</t>
  </si>
  <si>
    <t>Microsoft Defender for Endpoint P1 (Education Faculty Pricing)</t>
  </si>
  <si>
    <t>Microsoft Defender for Identity (Education Faculty Pricing)</t>
  </si>
  <si>
    <t>Microsoft Defender for Identity (Education Student Pricing)</t>
  </si>
  <si>
    <t>Microsoft Defender Vulnerability Management (Education Faculty Pricing)</t>
  </si>
  <si>
    <t>Microsoft Defender Vulnerability Management (Education Student Pricing)</t>
  </si>
  <si>
    <t>Microsoft Defender Vulnerability Management Add-on (Education Student Pricing)</t>
  </si>
  <si>
    <t>Microsoft Entra ID P2 (Education Student Pricing)</t>
  </si>
  <si>
    <t>Azure Active Directory Premium P2 (Education Student Pricing)</t>
  </si>
  <si>
    <t>Microsoft Intune Advanced Analytics (Education Student Pricing)</t>
  </si>
  <si>
    <t>Microsoft Intune Advanced Analytics (Education Faculty Pricing)</t>
  </si>
  <si>
    <t>Microsoft Intune Endpoint Privilege Management (Education Faculty Pricing)</t>
  </si>
  <si>
    <t>CFQ7TTC0NGGX</t>
  </si>
  <si>
    <t>Microsoft Intune Enterprise Application Management (Education Student Pricing)</t>
  </si>
  <si>
    <t>Microsoft Intune Enterprise Application Management (Education Faculty Pricing)</t>
  </si>
  <si>
    <t>CFQ7TTC0N400</t>
  </si>
  <si>
    <t>Microsoft Intune (Education Student Pricing)</t>
  </si>
  <si>
    <t>Microsoft Intune Plan 2 (Education Student Pricing)</t>
  </si>
  <si>
    <t>Microsoft Intune Plan 2 (Education Faculty Pricing)</t>
  </si>
  <si>
    <t>CFQ7TTC0RP76</t>
  </si>
  <si>
    <t>Microsoft Sustainability Manager (Education Faculty Pricing)</t>
  </si>
  <si>
    <t>Microsoft Sustainability Manager (Education Student Pricing)</t>
  </si>
  <si>
    <t>Microsoft 365 Domestic and International Calling Plan (Education Faculty Pricing)</t>
  </si>
  <si>
    <t>Microsoft Teams Domestic Calling Plan (Education Faculty Pricing)</t>
  </si>
  <si>
    <t>Common Area Phone (Education Student Pricing)</t>
  </si>
  <si>
    <t>Microsoft Viva Goals (Education Faculty Pricing)</t>
  </si>
  <si>
    <t>Microsoft Viva Insights (Education Faculty Pricing)</t>
  </si>
  <si>
    <t>Microsoft Viva (Education Faculty Pricing)</t>
  </si>
  <si>
    <t>Microsoft Viva Topics  (Education Faculty Pricing)</t>
  </si>
  <si>
    <t>Office 365 A5 (Education Faculty Pricing)</t>
  </si>
  <si>
    <t>Office 365 A5 (Education Student Pricing)</t>
  </si>
  <si>
    <t>Office 365 A5 without Audio Conferencing (Education Faculty Pricing)</t>
  </si>
  <si>
    <t>Office 365 A5 without Audio Conferencing  use benefit (Education Student Pricing)</t>
  </si>
  <si>
    <t>Office 365 Extra File Storage (Education Faculty Pricing)</t>
  </si>
  <si>
    <t>Power Apps per app plan (1 app or website) (Education Faculty Pricing)</t>
  </si>
  <si>
    <t>Power Apps per app plan (1 app or website) (Education Student Pricing)</t>
  </si>
  <si>
    <t>Power Apps Premium (Education Student Pricing)</t>
  </si>
  <si>
    <t>Power Apps Premium (Education Faculty Pricing)</t>
  </si>
  <si>
    <t>Power Automate Premium (Education Faculty Pricing)</t>
  </si>
  <si>
    <t>Power Automate Premium (Education Student Pricing)</t>
  </si>
  <si>
    <t>Power Automate unattended RPA add-on (Education Student Pricing)</t>
  </si>
  <si>
    <t>Power BI Premium Per User (Education Faculty Pricing)</t>
  </si>
  <si>
    <t>Power BI Premium Per User Add-On (Education Faculty Pricing)</t>
  </si>
  <si>
    <t>Power BI Premium P2 (Education Faculty Pricing)</t>
  </si>
  <si>
    <t>Power BI Premium P1 (Education Faculty Pricing)</t>
  </si>
  <si>
    <t>Power BI Premium P3 (Education Faculty Pricing)</t>
  </si>
  <si>
    <t>Power BI Premium P3 (Education Student Pricing)</t>
  </si>
  <si>
    <t>Power BI Premium P2 (Education Student Pricing)</t>
  </si>
  <si>
    <t>Power BI Premium P1 (Education Student Pricing)</t>
  </si>
  <si>
    <t>Power BI Pro (Education Faculty Pricing)</t>
  </si>
  <si>
    <t>Power BI Pro (Education Student Pricing)</t>
  </si>
  <si>
    <t>Pro Direct Support for Dynamics 365 Operations (Education Student Pricing)</t>
  </si>
  <si>
    <t>Visio Plan 1 (Education Faculty Pricing)</t>
  </si>
  <si>
    <t>Visio Plan 2 (Education Faculty Pricing)</t>
  </si>
  <si>
    <t>Visio Plan 2 (Education Student Pricing)</t>
  </si>
  <si>
    <t>Charity</t>
  </si>
  <si>
    <t>CFQ7TTC0LGTL</t>
  </si>
  <si>
    <t>Microsoft Defender for Endpoint Server (Non-Profit Pricing)</t>
  </si>
  <si>
    <t>Microsoft Defender for Endpoint P2 (Non-Profit Pricing)</t>
  </si>
  <si>
    <t>Microsoft Defender for Office 365 (Plan 1) (Non-Profit Pricing)</t>
  </si>
  <si>
    <t>Microsoft Defender for Office 365 (Plan 2) (Non-Profit Pricing)</t>
  </si>
  <si>
    <t>Office 365 E1 (Non-Profit Pricing)</t>
  </si>
  <si>
    <t>Office 365 E3 (Non-Profit Pricing)</t>
  </si>
  <si>
    <t>Office 365 Extra File Storage (Non-Profit Pricing)</t>
  </si>
  <si>
    <t>CFQ7TTC0LFJ2</t>
  </si>
  <si>
    <t>Enterprise Mobility + Security E3 (Non-Profit Pricing)</t>
  </si>
  <si>
    <t>Enterprise Mobility + Security E5 (Non-Profit Pricing)</t>
  </si>
  <si>
    <t>Microsoft 365 Business Premium Donation (Non-Profit Pricing)</t>
  </si>
  <si>
    <t>Microsoft 365 E3 (Non-Profit Pricing)</t>
  </si>
  <si>
    <t>Microsoft 365 E5 (Non-Profit Pricing)</t>
  </si>
  <si>
    <t>Microsoft 365 F1 (Non-Profit Pricing)</t>
  </si>
  <si>
    <t>Microsoft 365 F3 (Non-Profit Pricing)</t>
  </si>
  <si>
    <t>Microsoft Teams Phone Standard (Non-Profit Pricing)</t>
  </si>
  <si>
    <t>Microsoft Teams Rooms Pro (Non-Profit Pricing)</t>
  </si>
  <si>
    <t>Common Area Phone (Non-Profit Pricing)</t>
  </si>
  <si>
    <t>Visio Plan 1 (Non-Profit Pricing)</t>
  </si>
  <si>
    <t>Visio Plan 2 (Non-Profit Pricing)</t>
  </si>
  <si>
    <t>CFQ7TTC0LHQJ</t>
  </si>
  <si>
    <t>Power BI Premium EM3</t>
  </si>
  <si>
    <t>Power BI Premium Per User (Non-Profit Pricing)</t>
  </si>
  <si>
    <t>CFQ7TTC0H61N</t>
  </si>
  <si>
    <t>Power BI Premium Per User Add-On (Non-Profit Pricing)</t>
  </si>
  <si>
    <t>CFQ7TTC0H9MP</t>
  </si>
  <si>
    <t>Power BI Pro (Non-Profit Pricing)</t>
  </si>
  <si>
    <t>Project Online Essentials (Non-Profit Pricing)</t>
  </si>
  <si>
    <t>Project Plan 3 (Non-Profit Pricing)</t>
  </si>
  <si>
    <t>Project Plan 5 (Non-Profit Pricing)</t>
  </si>
  <si>
    <t>Power Platform Requests add-on (Non-Profit Pricing)</t>
  </si>
  <si>
    <t>Power Apps per app plan (1 app or portal) (Non-Profit Pricing)</t>
  </si>
  <si>
    <t>Power Automate per flow plan (Non-Profit Pricing)</t>
  </si>
  <si>
    <t>Power Automate per user plan (Non-Profit Pricing)</t>
  </si>
  <si>
    <t>Power Automate unattended RPA add-on (Non-Profit Pricing)</t>
  </si>
  <si>
    <t>AI Builder Capacity add-on (Non-Profit Pricing)</t>
  </si>
  <si>
    <t>Power Pages anonymous users T1 500 users/per site/month capacity pack (Non-Profit Pricing)</t>
  </si>
  <si>
    <t>Power Pages authenticated users T1 100 users/per site/month capacity pack (Non-Profit Pricing)</t>
  </si>
  <si>
    <t>Dynamics 365 Business Central Additional Environment Addon (Non-Profit Pricing)</t>
  </si>
  <si>
    <t>Dynamics 365 Business Central Database Capacity (Non-Profit Pricing)</t>
  </si>
  <si>
    <t>Dynamics 365 Business Central Database Capacity 100GB (Non-Profit Pricing)</t>
  </si>
  <si>
    <t>Dynamics 365 Business Central Device (36mo) (Non-Profit Pricing)</t>
  </si>
  <si>
    <t>Dynamics 365 Business Central Essentials (Non-Profit Pricing)</t>
  </si>
  <si>
    <t>Dynamics 365 Business Central External Accountant (Non-Profit Pricing)</t>
  </si>
  <si>
    <t>Dynamics 365 Business Central Premium (Non-Profit Pricing)</t>
  </si>
  <si>
    <t>Dynamics 365 Business Central Team Members (Non-Profit Pricing)</t>
  </si>
  <si>
    <t>Dynamics 365 Commerce Attach to Qualifying Dynamics 365 Base Offer (Non-Profit Pricing)</t>
  </si>
  <si>
    <t>Dynamics 365 Customer Service Chat (Non-Profit Pricing)</t>
  </si>
  <si>
    <t>Dynamics 365 Customer Service Digital Messaging add-on (Non-Profit Pricing)</t>
  </si>
  <si>
    <t>Dynamics 365 Customer Service Digital Messaging and Voice Add-in (Non-Profit Pricing)</t>
  </si>
  <si>
    <t>Dynamics 365 Customer Service Enterprise (Non-Profit Pricing)</t>
  </si>
  <si>
    <t>Dynamics 365 Customer Service Enterprise Attach to Qualifying Dynamics 365 Base Offer (Non-Profit Pricing)</t>
  </si>
  <si>
    <t>Dynamics 365 Customer Service Professional (Non-Profit Pricing)</t>
  </si>
  <si>
    <t>Dynamics 365 Customer Service Professional Attach to Qualifying Dynamics 365 Base Offer (Non-Profit Pricing)</t>
  </si>
  <si>
    <t>Dynamics 365 Customer Service Voice Channel Add-in (Non-Profit Pricing)</t>
  </si>
  <si>
    <t>Dynamics 365 Field Service (Non-Profit Pricing)</t>
  </si>
  <si>
    <t>Dynamics 365 Field Service Attach to Qualifying Dynamics 365 Base Offer (Non-Profit Pricing)</t>
  </si>
  <si>
    <t>Dynamics 365 Field Service - Resource Scheduling Optimization (Non-Profit Pricing)</t>
  </si>
  <si>
    <t>Dynamics 365 Finance (Non-Profit Pricing)</t>
  </si>
  <si>
    <t>Dynamics 365 Finance Attach to Qualifying Dynamics 365 Base Offer (Non-Profit Pricing)</t>
  </si>
  <si>
    <t>Dynamics 365 Supply Chain Management (36 mo) (Non-Profit Pricing)</t>
  </si>
  <si>
    <t>Dynamics 365 Supply Chain Management Attach to Qualifying Dynamics 365 Base Offer (36 mo) (Non-Profit Pricing)</t>
  </si>
  <si>
    <t>Dynamics 365 Fraud Protection Loss Prevention (Non-Profit Pricing)</t>
  </si>
  <si>
    <t>Dynamics 365 Fraud Protection Loss Prevention Addon (Non-Profit Pricing)</t>
  </si>
  <si>
    <t>Dynamics 365 Human Resources (Non-Profit Pricing)</t>
  </si>
  <si>
    <t>Dynamics 365 Human Resources Attach to Qualifying Dynamics 365 Base Offer (Non-Profit Pricing)</t>
  </si>
  <si>
    <t>Dynamics 365 Human Resources Self Service (Non-Profit Pricing)</t>
  </si>
  <si>
    <t>Dynamics 365 Project Operations Attach (Non-Profit Pricing)</t>
  </si>
  <si>
    <t>Dynamics 365 Project Operations (Non-Profit Pricing)</t>
  </si>
  <si>
    <t>Dynamics 365 Sales Enterprise Edition (Non-Profit Pricing)</t>
  </si>
  <si>
    <t>Dynamics 365 Sales Enterprise Attach to Qualifying Dynamics 365 Base Offer (Non-Profit Pricing)</t>
  </si>
  <si>
    <t>Dynamics 365 Sales Insights (Non-Profit Pricing)</t>
  </si>
  <si>
    <t>Dynamics 365 Sales Premium (Non-Profit Pricing)</t>
  </si>
  <si>
    <t>Dynamics 365 Sales Professional Attach to Qualifying Dynamics 365 Base Offer (Non-Profit Pricing)</t>
  </si>
  <si>
    <t>Microsoft Intune (Non-Profit Pricing)</t>
  </si>
  <si>
    <t>CFQ7TTC0MN4B</t>
  </si>
  <si>
    <t>Microsoft Viva Glint</t>
  </si>
  <si>
    <t>Universal Print (Non-Profit Pricing)</t>
  </si>
  <si>
    <t>Universal Print volume add-on (10k jobs) (Non-Profit Pricing)</t>
  </si>
  <si>
    <t>Universal Print volume add-on (500 jobs) (Non-Profit Pricing)</t>
  </si>
  <si>
    <t>Windows 10/11 Enterprise E3 (Non-Profit Pricing)</t>
  </si>
  <si>
    <t>Windows 10/11 Enterprise E5 (Non-Profit Pricing)</t>
  </si>
  <si>
    <t>Advanced Communications (Non-Profit Pricing)</t>
  </si>
  <si>
    <t>Azure Information Protection Premium P1 (Non-Profit Pricing)</t>
  </si>
  <si>
    <t>Azure Information Protection Premium P2 (Non-Profit Pricing)</t>
  </si>
  <si>
    <t>Azure Active Directory Basic (Non-Profit Pricing)</t>
  </si>
  <si>
    <t>Dataverse Database Capacity add-on (Non-Profit Pricing)</t>
  </si>
  <si>
    <t>Dataverse File Capacity add-on (Non-Profit Pricing)</t>
  </si>
  <si>
    <t>Dataverse Log Capacity add-on (Non-Profit Pricing)</t>
  </si>
  <si>
    <t>Dynamics 365 Business Central Database Capacity Overage (Non-Profit Pricing)</t>
  </si>
  <si>
    <t>Dynamics 365 Fraud Protection Purchase Protection (Non-Profit Pricing)</t>
  </si>
  <si>
    <t>Dynamics 365 Fraud Protection Purchase Protection Addon (Non-Profit Pricing)</t>
  </si>
  <si>
    <t>Dynamics 365 Guides (Non-Profit Pricing)</t>
  </si>
  <si>
    <t>Dynamics 365 Human Resources Sandbox (Non-Profit Pricing)</t>
  </si>
  <si>
    <t>Dynamics 365 Operations – Activity (36 mo) (Non-Profit Pricing)</t>
  </si>
  <si>
    <t>Dynamics 365 Operations - Database Capacity (Non-Profit Pricing)</t>
  </si>
  <si>
    <t>Dynamics 365 Operations – Device (36 mo) (Non-Profit Pricing)</t>
  </si>
  <si>
    <t>Dynamics 365 Operations - File Capacity (Non-Profit Pricing)</t>
  </si>
  <si>
    <t>Dynamics 365 Operations - Sandbox Tier 3:Premier Acceptance Testing (Non-Profit Pricing)</t>
  </si>
  <si>
    <t>Dynamics 365 Operations - Sandbox Tier 5:Premier Performance Testing (Non-Profit Pricing)</t>
  </si>
  <si>
    <t>SharePoint Syntex (Non-Profit Pricing)</t>
  </si>
  <si>
    <t>Power Pages authenticated users T2 min 100 units - 100 users/per site/month capacity pack (Non-Profit Pricing)</t>
  </si>
  <si>
    <t>Power Pages authenticated users T3 min 1,000 units - 100 users/per site/month capacity pack (Non-Profit Pricing)</t>
  </si>
  <si>
    <t>Power Pages anonymous users T3 min 200 units - 500 users/per site/month capacity pack (Non-Profit Pricing)</t>
  </si>
  <si>
    <t>Power Pages anonymous users T2 min 20 units - 500 users/per site/month capacity pack (Non-Profit Pricing)</t>
  </si>
  <si>
    <t>Power BI Premium P1 (Non-Profit Pricing)</t>
  </si>
  <si>
    <t>Power BI Premium P2 (Non-Profit Pricing)</t>
  </si>
  <si>
    <t>Power BI Premium P3 (Non-Profit Pricing)</t>
  </si>
  <si>
    <t>Power Automate Premium (Non-Profit Pricing)</t>
  </si>
  <si>
    <t>Power Apps Premium (Non-Profit Pricing)</t>
  </si>
  <si>
    <t>Office 365 E5 without Audio Conferencing (Non-Profit Pricing)</t>
  </si>
  <si>
    <t>Microsoft Viva Goals (Non-Profit Pricing)</t>
  </si>
  <si>
    <t>Microsoft Viva Insights (Non-Profit Pricing)</t>
  </si>
  <si>
    <t>Microsoft Viva (Non-Profit Pricing)</t>
  </si>
  <si>
    <t>Microsoft Teams Rooms Pro without Audio Conferencing (Non-Profit Pricing)</t>
  </si>
  <si>
    <t>Microsoft Stream Plan 2 for Office 365 Add-On (Non-Profit Pricing)</t>
  </si>
  <si>
    <t>Microsoft Intune Suite (Non-Profit Pricing)</t>
  </si>
  <si>
    <t>Microsoft Intune Plan 2 (Non-Profit Pricing)</t>
  </si>
  <si>
    <t>Microsoft Intune Advanced Analytics (Non-Profit Pricing)</t>
  </si>
  <si>
    <t>Microsoft Intune Enterprise Application Management (Non-Profit Pricing)</t>
  </si>
  <si>
    <t>Microsoft Entra ID P2 (Non-Profit Pricing)</t>
  </si>
  <si>
    <t>Microsoft Defender for Endpoint P1 (Non-Profit Pricing)</t>
  </si>
  <si>
    <t>Microsoft Defender for Cloud Apps (Non-Profit Pricing)</t>
  </si>
  <si>
    <t>Microsoft Defender for Business servers (Non-Profit Pricing)</t>
  </si>
  <si>
    <t>Microsoft Defender for Business (Non-Profit Pricing)</t>
  </si>
  <si>
    <t>Power Virtual Agent (Non-Profit Pricing)</t>
  </si>
  <si>
    <t>Power Virtual Agent User License (Non-Profit Pricing)</t>
  </si>
  <si>
    <t>Microsoft 365 F5 Security + Compliance Add-on (Non-Profit Pricing)</t>
  </si>
  <si>
    <t>Microsoft 365 F5 Security Add-on (Non-Profit Pricing)</t>
  </si>
  <si>
    <t>Microsoft 365 E5 Security (Non-Profit Pricing)</t>
  </si>
  <si>
    <t>Microsoft 365 E5 Insider Risk Management (Non-Profit Pricing)</t>
  </si>
  <si>
    <t>Microsoft 365 E5 Information Protection and Governance (Non-Profit Pricing)</t>
  </si>
  <si>
    <t>Microsoft 365 E5 eDiscovery and Audit (Non-Profit Pricing)</t>
  </si>
  <si>
    <t>Microsoft 365 E5 Compliance (Non-Profit Pricing)</t>
  </si>
  <si>
    <t>Microsoft 365 Business Premium (Nonprofit Staff Pricing)</t>
  </si>
  <si>
    <t>Microsoft 365 Business Basic Donation (Non-Profit Pricing)</t>
  </si>
  <si>
    <t>Exchange Online Archiving for Exchange Online (Non-Profit Pricing)</t>
  </si>
  <si>
    <t>Microsoft 365 Business Basic (no Teams)</t>
  </si>
  <si>
    <t>Microsoft 365 Business Premium (no Teams)</t>
  </si>
  <si>
    <t>Microsoft 365 Business Standard (no Teams)</t>
  </si>
  <si>
    <t>Microsoft 365 E3 (no Teams) - Unattended License</t>
  </si>
  <si>
    <t>Microsoft 365 E3 (no Teams)</t>
  </si>
  <si>
    <t>Microsoft 365 E5 (no Teams)</t>
  </si>
  <si>
    <t>Microsoft 365 F1 (no Teams)</t>
  </si>
  <si>
    <t>Microsoft 365 F3 (no Teams)</t>
  </si>
  <si>
    <t>Office 365 E1 (no Teams)</t>
  </si>
  <si>
    <t>Office 365 E3 (no Teams)</t>
  </si>
  <si>
    <t>Office 365 E5 (no Teams)</t>
  </si>
  <si>
    <t>Office 365 F3 (no Teams)</t>
  </si>
  <si>
    <t>Dynamics 365 Customer Insights Journeys T1 Interacted People - (Education Student Pricing)</t>
  </si>
  <si>
    <t>Dynamics 365 Customer Insights - (Education Student Pricing)</t>
  </si>
  <si>
    <t>Dynamics 365 Customer Insights Journeys T2 Interacted People (Educational Student Pricing)</t>
  </si>
  <si>
    <t>Dynamics 365 Customer Insights - (Education Faculty Pricing)</t>
  </si>
  <si>
    <t>Dynamics 365 Customer Insights Journeys T2 Interacted People (Educational Faculty Pricing)</t>
  </si>
  <si>
    <t>Dynamics 365 Customer Insights Journeys T1 Interacted People - (Education Faculty Pricing)</t>
  </si>
  <si>
    <t>Dynamics 365 Customer Insights Data T2 Unified People - (Education Student Pricing)</t>
  </si>
  <si>
    <t>Dynamics 365 Customer Insights Data T2 Unified People - (Education Faculty Pricing)</t>
  </si>
  <si>
    <t>Dynamics 365 Customer Insights Attach - (Education Student Pricing)</t>
  </si>
  <si>
    <t>Dynamics 365 Customer Insights Attach - (Education Faculty Pricing)</t>
  </si>
  <si>
    <t>Dynamics 365 Customer Insights Journeys T3 Interacted People - (Education Student Pricing)</t>
  </si>
  <si>
    <t>Dynamics 365 Customer Insights Journeys T3 Interacted People - (Education Faculty Pricing)</t>
  </si>
  <si>
    <t>Dynamics 365 Customer Insights User License - (Education Student Pricing)</t>
  </si>
  <si>
    <t>Dynamics 365 Customer Insights User License - (Education Faculty Pricing)</t>
  </si>
  <si>
    <t>Dynamics 365 Customer Insights Data T3 Unified People - (Education Student Pricing)</t>
  </si>
  <si>
    <t>Dynamics 365 Customer Insights Data T3 Unified People - (Education Faculty Pricing)</t>
  </si>
  <si>
    <t>Dynamics 365 Customer Insights Data T1 Unified People - (Education Student Pricing)</t>
  </si>
  <si>
    <t>Dynamics 365 Customer Insights Data T1 Unified People - (Education Faculty Pricing)</t>
  </si>
  <si>
    <t>Dynamics 365 Customer Insights - (Non-Profit Pricing)</t>
  </si>
  <si>
    <t>Dynamics 365 Customer Insights Journeys T1 Interacted People - (Non-Profit Pricing)</t>
  </si>
  <si>
    <t>Dynamics 365 Customer Insights Data T2 Unified People - (Non-Profit Pricing)</t>
  </si>
  <si>
    <t>Dynamics 365 Customer Insights Attach- (Non-Profit Pricing)</t>
  </si>
  <si>
    <t>Dynamics 365 Customer Insights Journeys T3 Interacted People - (Non-Profit Pricing)</t>
  </si>
  <si>
    <t>Dynamics 365 Customer Insights User License - (Non-Profit Pricing)</t>
  </si>
  <si>
    <t>Dynamics 365 Customer Insights Journeys T2 Interacted People (Non-Profit Pricing)</t>
  </si>
  <si>
    <t>Dynamics 365 Customer Insights Data T3 Unified People - (Non-Profit Pricing)</t>
  </si>
  <si>
    <t>Dynamics 365 Customer Insights Data T1 Unified People - (Non-Profit Pricing)</t>
  </si>
  <si>
    <t>Navfarm, a modern cloud-based Agriculture, Livestock &amp; Poultry Management Software is a one-of-its-kind software that fits in your needs perfectly and provides you with all the benefits that you need to organize your farm and livestock practices, maintaining records, tracking the production, managing the resources, analyzing the activities and new trends, gaining important insights and increasing the profitability.</t>
  </si>
  <si>
    <t>Unified Security | Heimdal</t>
  </si>
  <si>
    <t>Enhanced cyber security with Heimdal's all-in-one platform, offering comprehensive protection against next-gen threats for IT and security teams.</t>
  </si>
  <si>
    <t>Email Signature Management</t>
  </si>
  <si>
    <t>Crossware</t>
  </si>
  <si>
    <t>Centrally managed and controlled,enterprise email signature management solution to create consistent and compliant email signatures across all devices and teams.</t>
  </si>
  <si>
    <t>Click here for more information on Cognius.ai</t>
  </si>
  <si>
    <t>Unified Cyber Security</t>
  </si>
  <si>
    <t>Heimdal</t>
  </si>
  <si>
    <t>Microsoft Defender Vulnerability Management</t>
  </si>
  <si>
    <t>Microsoft Entra ID Governance FLW standalone product</t>
  </si>
  <si>
    <t>Microsoft Entra ID Governance for FLW</t>
  </si>
  <si>
    <t>Planner Plan 1</t>
  </si>
  <si>
    <t>Microsoft Teams Premium Introductory Pricing</t>
  </si>
  <si>
    <t>Microsoft Teams Essentials</t>
  </si>
  <si>
    <t>Teams Essentials and Teams Phone with domestic calling</t>
  </si>
  <si>
    <t>CFQ7TTC0P17W</t>
  </si>
  <si>
    <t>Dynamics 365 Supply Chain Management Premium</t>
  </si>
  <si>
    <t>Electronic Invoicing Add-on for Dynamics 365</t>
  </si>
  <si>
    <t>Microsoft Intune Advanced Analytics</t>
  </si>
  <si>
    <t>Microsoft Intune Enterprise Application Management</t>
  </si>
  <si>
    <t>Power Automate Hosted Process</t>
  </si>
  <si>
    <t>CFQ7TTC0PV17</t>
  </si>
  <si>
    <t>Power Apps per app plan (1 app or website)</t>
  </si>
  <si>
    <t>Power Apps Premium (2000 seat min)</t>
  </si>
  <si>
    <t>Power Platform Requests add-on</t>
  </si>
  <si>
    <t>Microsoft Viva Insights Capacity</t>
  </si>
  <si>
    <t>CFQ7TTC0S1K7</t>
  </si>
  <si>
    <t>Microsoft Viva Employee Communications and Communities</t>
  </si>
  <si>
    <t>Microsoft Sustainability Manager Premium</t>
  </si>
  <si>
    <t>CFQ7TTC0N38H</t>
  </si>
  <si>
    <t>Fundraising and Engagement</t>
  </si>
  <si>
    <t>Microsoft Entra Workload ID</t>
  </si>
  <si>
    <t>Microsoft Entra Workload ID for EPM customers</t>
  </si>
  <si>
    <t>CFQ7TTC0RV0H</t>
  </si>
  <si>
    <t>Microsoft Teams Phone Resource Account</t>
  </si>
  <si>
    <t>CFQ7TTC0PGMW</t>
  </si>
  <si>
    <t>Teams Phone with domestic and international calling</t>
  </si>
  <si>
    <t>Microsoft 365 Apps (Education Student Pricing)</t>
  </si>
  <si>
    <t>Microsoft 365 Apps Students use benefits (Education Student Pricing)</t>
  </si>
  <si>
    <t>Microsoft Defender for Office 365 (Plan 2) Student (Education Student Pricing)</t>
  </si>
  <si>
    <t>Microsoft Defender Vulnerability Management Add-On Server (Educational Faculty Pricing)</t>
  </si>
  <si>
    <t>Azure Active Directory Basic (Education Faculty Pricing)</t>
  </si>
  <si>
    <t>Azure Active Directory Basic (Education Student Pricing)</t>
  </si>
  <si>
    <t>Microsoft Entra ID P1 (Education Faculty Pricing)</t>
  </si>
  <si>
    <t>Microsoft Entra ID P1 (Education Student Pricing)</t>
  </si>
  <si>
    <t>Microsoft Entra ID P2 for faculty (Education Faculty Pricing)</t>
  </si>
  <si>
    <t>Microsoft Entra ID P2 for Students use benefit (Education Student Pricing)</t>
  </si>
  <si>
    <t>Microsoft Entra ID P1 Students use benefit (Education Student Pricing)</t>
  </si>
  <si>
    <t>Microsoft 365 A3 - Unattended License (Education Student Pricing)</t>
  </si>
  <si>
    <t>Microsoft 365 A5 Security (Education Student Pricing)</t>
  </si>
  <si>
    <t>Microsoft 365 A5 without Audio Conferencing (Education Student Pricing)</t>
  </si>
  <si>
    <t>Microsoft 365 A5 Compliance (Education Student Pricing)</t>
  </si>
  <si>
    <t>Microsoft 365 A5 Information Protection and Governance (Education Student Pricing)</t>
  </si>
  <si>
    <t>Microsoft Teams Domestic Calling Plan (120 min) (Education Student Pricing)</t>
  </si>
  <si>
    <t>Microsoft 365 Domestic and International Calling Plan (Education Student Pricing)</t>
  </si>
  <si>
    <t>Microsoft 365 Domestic Calling Plan (Education Student Pricing)</t>
  </si>
  <si>
    <t>Microsoft Teams Phone  - Resource Account (Education Student Pricing)</t>
  </si>
  <si>
    <t>Microsoft Teams Phone Standard for student (Education Student Pricing)</t>
  </si>
  <si>
    <t>Advanced Communications (Education Faculty Pricing)</t>
  </si>
  <si>
    <t>Advanced Communications (Education Student Pricing)</t>
  </si>
  <si>
    <t>Power BI Premium Per User (Education Student Pricing)</t>
  </si>
  <si>
    <t>Power BI Premium Per User Add-On (Education Student Pricing)</t>
  </si>
  <si>
    <t>Project Plan 5 (Education Student Pricing)</t>
  </si>
  <si>
    <t>SharePoint advanced management plan 1 (Education Student Pricing)</t>
  </si>
  <si>
    <t>SharePoint advanced management plan 1 (Education Faculty Pricing)</t>
  </si>
  <si>
    <t>Visio Plan 1 (Education Student Pricing)</t>
  </si>
  <si>
    <t>Dynamics 365 Finance Premium (Education Student Pricing)</t>
  </si>
  <si>
    <t>Dynamics 365 Finance Premium (Education Faculty Pricing)</t>
  </si>
  <si>
    <t>Dynamics 365 Remote Assist Attach (Education Faculty Pricing)</t>
  </si>
  <si>
    <t>Dynamics 365 Remote Assist Attach (Education Student Pricing)</t>
  </si>
  <si>
    <t>CFQ7TTC0J1QS</t>
  </si>
  <si>
    <t>CFQ7TTC0J1S9</t>
  </si>
  <si>
    <t>Teams Essentials and Teams Phone with domestic and international calling</t>
  </si>
  <si>
    <t>CFQ7TTC0PGPL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</si>
</sst>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0.00_-;\-&quot;R&quot;* #,##0.00_-;_-&quot;R&quot;* &quot;-&quot;??_-;_-@_-"/>
    <numFmt numFmtId="164" formatCode="_-[$$-409]* #,##0.00_ ;_-[$$-409]* \-#,##0.00\ ;_-[$$-409]* &quot;-&quot;??_ ;_-@_ "/>
  </numFmts>
  <fonts count="19"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1"/>
      <color theme="1"/>
      <name val="Calibri"/>
      <family val="2"/>
      <scheme val="minor"/>
    </font>
    <font>
      <sz val="12"/>
      <color rgb="FFFF0000"/>
      <name val="Calibri"/>
      <family val="2"/>
      <scheme val="minor"/>
    </font>
    <font>
      <b/>
      <sz val="12"/>
      <color theme="0"/>
      <name val="Calibri"/>
      <family val="2"/>
      <scheme val="minor"/>
    </font>
    <font>
      <b/>
      <sz val="12"/>
      <color theme="1"/>
      <name val="Calibri"/>
      <family val="2"/>
      <scheme val="minor"/>
    </font>
    <font>
      <b/>
      <u/>
      <sz val="12"/>
      <color theme="1"/>
      <name val="Calibri"/>
      <family val="2"/>
      <scheme val="minor"/>
    </font>
    <font>
      <sz val="12"/>
      <color theme="1"/>
      <name val="Calibri"/>
      <family val="2"/>
      <scheme val="minor"/>
    </font>
    <font>
      <sz val="12"/>
      <name val="Calibri"/>
      <family val="2"/>
      <scheme val="minor"/>
    </font>
    <font>
      <b/>
      <sz val="14"/>
      <color theme="0"/>
      <name val="Calibri"/>
      <family val="2"/>
      <scheme val="minor"/>
    </font>
    <font>
      <sz val="12"/>
      <color theme="4" tint="-0.249977111117893"/>
      <name val="Calibri"/>
      <family val="2"/>
      <scheme val="minor"/>
    </font>
    <font>
      <b/>
      <sz val="12"/>
      <name val="Calibri"/>
      <family val="2"/>
      <scheme val="minor"/>
    </font>
    <font>
      <u/>
      <sz val="12"/>
      <color theme="1"/>
      <name val="Calibri"/>
      <family val="2"/>
      <scheme val="minor"/>
    </font>
    <font>
      <b/>
      <u/>
      <sz val="12"/>
      <name val="Calibri"/>
      <family val="2"/>
      <scheme val="minor"/>
    </font>
    <font>
      <sz val="12"/>
      <color theme="10"/>
      <name val="Calibri"/>
      <family val="2"/>
      <scheme val="minor"/>
    </font>
    <font>
      <u/>
      <sz val="12"/>
      <color theme="10"/>
      <name val="Calibri"/>
      <family val="2"/>
      <scheme val="minor"/>
    </font>
    <font>
      <sz val="8"/>
      <name val="Calibri"/>
      <family val="2"/>
      <scheme val="minor"/>
    </font>
  </fonts>
  <fills count="8">
    <fill>
      <patternFill patternType="none"/>
    </fill>
    <fill>
      <patternFill patternType="gray125"/>
    </fill>
    <fill>
      <patternFill patternType="solid">
        <fgColor theme="8" tint="0.7999816888943144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rgb="FFFFFF00"/>
        <bgColor indexed="64"/>
      </patternFill>
    </fill>
  </fills>
  <borders count="22">
    <border>
      <left/>
      <right/>
      <top/>
      <bottom/>
      <diagonal/>
    </border>
    <border>
      <left style="thick">
        <color indexed="64"/>
      </left>
      <right style="thick">
        <color indexed="64"/>
      </right>
      <top style="thick">
        <color indexed="64"/>
      </top>
      <bottom style="thick">
        <color indexed="64"/>
      </bottom>
      <diagonal/>
    </border>
    <border>
      <left/>
      <right/>
      <top/>
      <bottom style="thick">
        <color indexed="64"/>
      </bottom>
      <diagonal/>
    </border>
    <border>
      <left/>
      <right/>
      <top style="thick">
        <color indexed="64"/>
      </top>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thick">
        <color indexed="64"/>
      </left>
      <right style="thick">
        <color indexed="64"/>
      </right>
      <top style="thick">
        <color indexed="64"/>
      </top>
      <bottom/>
      <diagonal/>
    </border>
    <border>
      <left style="medium">
        <color rgb="FF000000"/>
      </left>
      <right style="thick">
        <color indexed="64"/>
      </right>
      <top style="medium">
        <color rgb="FF000000"/>
      </top>
      <bottom style="medium">
        <color rgb="FF000000"/>
      </bottom>
      <diagonal/>
    </border>
    <border>
      <left style="thick">
        <color indexed="64"/>
      </left>
      <right style="medium">
        <color rgb="FF000000"/>
      </right>
      <top style="medium">
        <color rgb="FF000000"/>
      </top>
      <bottom style="medium">
        <color rgb="FF000000"/>
      </bottom>
      <diagonal/>
    </border>
    <border>
      <left style="thick">
        <color indexed="64"/>
      </left>
      <right style="thick">
        <color indexed="64"/>
      </right>
      <top/>
      <bottom style="thick">
        <color indexed="64"/>
      </bottom>
      <diagonal/>
    </border>
  </borders>
  <cellStyleXfs count="5">
    <xf numFmtId="0" fontId="0" fillId="0" borderId="0"/>
    <xf numFmtId="44" fontId="4" fillId="0" borderId="0" applyFont="0" applyFill="0" applyBorder="0" applyAlignment="0" applyProtection="0"/>
    <xf numFmtId="44" fontId="4" fillId="0" borderId="0" applyFont="0" applyFill="0" applyBorder="0" applyAlignment="0" applyProtection="0"/>
    <xf numFmtId="0" fontId="9" fillId="0" borderId="0"/>
    <xf numFmtId="0" fontId="17" fillId="0" borderId="0" applyNumberFormat="0" applyFill="0" applyBorder="0" applyAlignment="0" applyProtection="0"/>
  </cellStyleXfs>
  <cellXfs count="146">
    <xf numFmtId="0" fontId="0" fillId="0" borderId="0" xfId="0"/>
    <xf numFmtId="0" fontId="2" fillId="0" borderId="0" xfId="0" applyFont="1"/>
    <xf numFmtId="0" fontId="0" fillId="0" borderId="0" xfId="0" applyAlignment="1">
      <alignment vertical="center"/>
    </xf>
    <xf numFmtId="0" fontId="0" fillId="0" borderId="0" xfId="0" applyAlignment="1">
      <alignment vertical="center" wrapText="1"/>
    </xf>
    <xf numFmtId="0" fontId="1" fillId="0" borderId="0" xfId="0" applyFont="1" applyAlignment="1">
      <alignment horizontal="left" vertical="top" wrapText="1"/>
    </xf>
    <xf numFmtId="0" fontId="3" fillId="0" borderId="0" xfId="0" applyFont="1" applyAlignment="1">
      <alignment horizontal="left" vertical="top" wrapText="1"/>
    </xf>
    <xf numFmtId="0" fontId="3" fillId="0" borderId="0" xfId="0" applyFont="1"/>
    <xf numFmtId="164" fontId="0" fillId="0" borderId="0" xfId="0" applyNumberFormat="1"/>
    <xf numFmtId="0" fontId="2" fillId="2" borderId="0" xfId="0" applyFont="1" applyFill="1"/>
    <xf numFmtId="164" fontId="2" fillId="2" borderId="0" xfId="0" applyNumberFormat="1" applyFont="1" applyFill="1"/>
    <xf numFmtId="44" fontId="2" fillId="3" borderId="0" xfId="1" applyFont="1" applyFill="1"/>
    <xf numFmtId="164" fontId="0" fillId="4" borderId="0" xfId="0" applyNumberFormat="1" applyFill="1"/>
    <xf numFmtId="0" fontId="7" fillId="0" borderId="0" xfId="0" applyFont="1" applyAlignment="1">
      <alignment horizontal="center"/>
    </xf>
    <xf numFmtId="0" fontId="7" fillId="6" borderId="8" xfId="0" applyFont="1" applyFill="1" applyBorder="1" applyAlignment="1">
      <alignment horizontal="center"/>
    </xf>
    <xf numFmtId="0" fontId="0" fillId="0" borderId="5" xfId="0" applyBorder="1" applyAlignment="1">
      <alignment horizontal="left" indent="1"/>
    </xf>
    <xf numFmtId="0" fontId="12" fillId="0" borderId="8" xfId="0" applyFont="1" applyBorder="1"/>
    <xf numFmtId="0" fontId="0" fillId="0" borderId="11" xfId="0" applyBorder="1" applyAlignment="1">
      <alignment horizontal="left" indent="1"/>
    </xf>
    <xf numFmtId="0" fontId="12" fillId="0" borderId="12" xfId="0" applyFont="1" applyBorder="1"/>
    <xf numFmtId="0" fontId="10" fillId="0" borderId="0" xfId="0" applyFont="1"/>
    <xf numFmtId="0" fontId="12" fillId="0" borderId="0" xfId="0" applyFont="1"/>
    <xf numFmtId="0" fontId="13" fillId="6" borderId="8" xfId="0" applyFont="1" applyFill="1" applyBorder="1" applyAlignment="1">
      <alignment horizontal="center"/>
    </xf>
    <xf numFmtId="0" fontId="0" fillId="0" borderId="5" xfId="0" applyBorder="1" applyAlignment="1">
      <alignment horizontal="left" indent="4"/>
    </xf>
    <xf numFmtId="0" fontId="0" fillId="0" borderId="8" xfId="0" applyBorder="1" applyAlignment="1">
      <alignment horizontal="left" indent="3"/>
    </xf>
    <xf numFmtId="0" fontId="0" fillId="0" borderId="5" xfId="0" applyBorder="1" applyAlignment="1">
      <alignment horizontal="center"/>
    </xf>
    <xf numFmtId="0" fontId="0" fillId="0" borderId="8" xfId="0" applyBorder="1" applyAlignment="1">
      <alignment horizontal="center"/>
    </xf>
    <xf numFmtId="0" fontId="7" fillId="6" borderId="5" xfId="0" applyFont="1" applyFill="1" applyBorder="1" applyAlignment="1">
      <alignment horizontal="center"/>
    </xf>
    <xf numFmtId="0" fontId="0" fillId="7" borderId="0" xfId="0" applyFill="1"/>
    <xf numFmtId="0" fontId="0" fillId="0" borderId="6" xfId="0" applyBorder="1" applyAlignment="1">
      <alignment horizontal="center"/>
    </xf>
    <xf numFmtId="0" fontId="7" fillId="6" borderId="7" xfId="0" applyFont="1" applyFill="1" applyBorder="1" applyAlignment="1">
      <alignment horizontal="center"/>
    </xf>
    <xf numFmtId="0" fontId="0" fillId="0" borderId="14" xfId="0" applyBorder="1" applyAlignment="1">
      <alignment horizontal="left" indent="1"/>
    </xf>
    <xf numFmtId="0" fontId="0" fillId="0" borderId="15" xfId="0" applyBorder="1" applyAlignment="1">
      <alignment horizontal="center"/>
    </xf>
    <xf numFmtId="0" fontId="0" fillId="0" borderId="15" xfId="0" applyBorder="1" applyAlignment="1">
      <alignment horizontal="center" vertical="center"/>
    </xf>
    <xf numFmtId="0" fontId="0" fillId="0" borderId="15" xfId="0" applyBorder="1" applyAlignment="1">
      <alignment horizontal="left" vertical="center" indent="1"/>
    </xf>
    <xf numFmtId="0" fontId="12" fillId="0" borderId="15" xfId="0" applyFont="1" applyBorder="1"/>
    <xf numFmtId="0" fontId="0" fillId="0" borderId="12" xfId="0" applyBorder="1" applyAlignment="1">
      <alignment horizontal="center"/>
    </xf>
    <xf numFmtId="0" fontId="12" fillId="0" borderId="6" xfId="0" applyFont="1" applyBorder="1" applyAlignment="1">
      <alignment horizontal="center"/>
    </xf>
    <xf numFmtId="0" fontId="0" fillId="0" borderId="14" xfId="0" applyBorder="1" applyAlignment="1">
      <alignment horizontal="left" vertical="center" indent="1"/>
    </xf>
    <xf numFmtId="0" fontId="10" fillId="0" borderId="15" xfId="0" applyFont="1" applyBorder="1" applyAlignment="1">
      <alignment horizontal="center" vertical="center"/>
    </xf>
    <xf numFmtId="0" fontId="0" fillId="0" borderId="5" xfId="0" applyBorder="1" applyAlignment="1">
      <alignment horizontal="left" vertical="center" indent="1"/>
    </xf>
    <xf numFmtId="0" fontId="0" fillId="0" borderId="8" xfId="0" applyBorder="1" applyAlignment="1">
      <alignment horizontal="left" vertical="center" indent="1"/>
    </xf>
    <xf numFmtId="0" fontId="0" fillId="0" borderId="8" xfId="0" applyBorder="1" applyAlignment="1">
      <alignment horizontal="center" vertical="center"/>
    </xf>
    <xf numFmtId="0" fontId="10" fillId="0" borderId="15" xfId="0" applyFont="1" applyBorder="1" applyAlignment="1">
      <alignment horizontal="center"/>
    </xf>
    <xf numFmtId="0" fontId="14" fillId="0" borderId="0" xfId="0" applyFont="1" applyAlignment="1">
      <alignment horizontal="center"/>
    </xf>
    <xf numFmtId="0" fontId="14" fillId="0" borderId="0" xfId="0" applyFont="1"/>
    <xf numFmtId="0" fontId="10" fillId="0" borderId="0" xfId="0" applyFont="1" applyAlignment="1">
      <alignment horizontal="center"/>
    </xf>
    <xf numFmtId="0" fontId="12" fillId="0" borderId="8" xfId="0" applyFont="1" applyBorder="1" applyAlignment="1">
      <alignment horizontal="center"/>
    </xf>
    <xf numFmtId="0" fontId="12" fillId="0" borderId="12" xfId="0" applyFont="1" applyBorder="1" applyAlignment="1">
      <alignment horizontal="center"/>
    </xf>
    <xf numFmtId="0" fontId="0" fillId="0" borderId="0" xfId="0" applyAlignment="1">
      <alignment horizontal="left" vertical="center" indent="1"/>
    </xf>
    <xf numFmtId="0" fontId="0" fillId="0" borderId="5" xfId="0" applyBorder="1" applyAlignment="1">
      <alignment horizontal="left" vertical="center"/>
    </xf>
    <xf numFmtId="0" fontId="12" fillId="0" borderId="8" xfId="0" applyFont="1" applyBorder="1" applyAlignment="1">
      <alignment vertical="center"/>
    </xf>
    <xf numFmtId="0" fontId="0" fillId="0" borderId="0" xfId="0" applyAlignment="1">
      <alignment horizontal="center" vertical="center"/>
    </xf>
    <xf numFmtId="0" fontId="9" fillId="0" borderId="1" xfId="4" applyFont="1" applyFill="1" applyBorder="1" applyAlignment="1">
      <alignment horizontal="center" vertical="center"/>
    </xf>
    <xf numFmtId="0" fontId="9" fillId="0" borderId="1" xfId="4" applyFont="1" applyBorder="1" applyAlignment="1">
      <alignment horizontal="center" vertical="center"/>
    </xf>
    <xf numFmtId="0" fontId="8" fillId="0" borderId="4" xfId="4" applyFont="1" applyBorder="1" applyAlignment="1">
      <alignment horizontal="center" vertical="center"/>
    </xf>
    <xf numFmtId="0" fontId="10" fillId="0" borderId="1" xfId="4" applyFont="1" applyBorder="1" applyAlignment="1">
      <alignment horizontal="center" vertical="center"/>
    </xf>
    <xf numFmtId="0" fontId="17" fillId="0" borderId="0" xfId="4"/>
    <xf numFmtId="0" fontId="12" fillId="0" borderId="0" xfId="4" applyFont="1" applyAlignment="1">
      <alignment horizontal="left" indent="1"/>
    </xf>
    <xf numFmtId="0" fontId="12" fillId="0" borderId="13" xfId="4" applyFont="1" applyBorder="1" applyAlignment="1">
      <alignment horizontal="left" indent="1"/>
    </xf>
    <xf numFmtId="0" fontId="12" fillId="0" borderId="6" xfId="4" applyFont="1" applyBorder="1" applyAlignment="1">
      <alignment horizontal="left" indent="1"/>
    </xf>
    <xf numFmtId="0" fontId="12" fillId="0" borderId="7" xfId="4" applyFont="1" applyBorder="1" applyAlignment="1">
      <alignment horizontal="left" indent="1"/>
    </xf>
    <xf numFmtId="0" fontId="12" fillId="0" borderId="8" xfId="4" applyFont="1" applyBorder="1" applyAlignment="1">
      <alignment horizontal="left" indent="2"/>
    </xf>
    <xf numFmtId="0" fontId="12" fillId="0" borderId="9" xfId="4" applyFont="1" applyBorder="1" applyAlignment="1">
      <alignment horizontal="left" indent="2"/>
    </xf>
    <xf numFmtId="0" fontId="12" fillId="0" borderId="12" xfId="4" applyFont="1" applyBorder="1" applyAlignment="1">
      <alignment horizontal="left" indent="2"/>
    </xf>
    <xf numFmtId="0" fontId="12" fillId="0" borderId="17" xfId="4" applyFont="1" applyBorder="1" applyAlignment="1">
      <alignment horizontal="center" vertical="center"/>
    </xf>
    <xf numFmtId="0" fontId="12" fillId="0" borderId="6" xfId="4" applyFont="1" applyBorder="1" applyAlignment="1">
      <alignment horizontal="center"/>
    </xf>
    <xf numFmtId="0" fontId="12" fillId="0" borderId="8" xfId="4" applyFont="1" applyBorder="1" applyAlignment="1">
      <alignment horizontal="center"/>
    </xf>
    <xf numFmtId="0" fontId="12" fillId="0" borderId="15" xfId="4" applyFont="1" applyBorder="1" applyAlignment="1">
      <alignment horizontal="center"/>
    </xf>
    <xf numFmtId="0" fontId="12" fillId="0" borderId="12" xfId="4" applyFont="1" applyBorder="1" applyAlignment="1">
      <alignment horizontal="center"/>
    </xf>
    <xf numFmtId="0" fontId="12" fillId="0" borderId="16" xfId="4" applyFont="1" applyBorder="1" applyAlignment="1">
      <alignment horizontal="center"/>
    </xf>
    <xf numFmtId="0" fontId="12" fillId="0" borderId="13" xfId="4" applyFont="1" applyBorder="1" applyAlignment="1">
      <alignment horizontal="center"/>
    </xf>
    <xf numFmtId="0" fontId="12" fillId="0" borderId="7" xfId="4" applyFont="1" applyBorder="1" applyAlignment="1">
      <alignment horizontal="center"/>
    </xf>
    <xf numFmtId="0" fontId="12" fillId="0" borderId="17" xfId="4" applyFont="1" applyBorder="1" applyAlignment="1">
      <alignment horizontal="center"/>
    </xf>
    <xf numFmtId="0" fontId="12" fillId="0" borderId="7" xfId="4" applyFont="1" applyBorder="1" applyAlignment="1">
      <alignment horizontal="center" vertical="center"/>
    </xf>
    <xf numFmtId="0" fontId="12" fillId="0" borderId="9" xfId="4" applyFont="1" applyBorder="1" applyAlignment="1">
      <alignment horizontal="center"/>
    </xf>
    <xf numFmtId="0" fontId="12" fillId="0" borderId="6" xfId="4" applyFont="1" applyBorder="1" applyAlignment="1">
      <alignment horizontal="left" vertical="center" indent="1"/>
    </xf>
    <xf numFmtId="0" fontId="12" fillId="0" borderId="16" xfId="4" applyFont="1" applyBorder="1" applyAlignment="1">
      <alignment horizontal="left" vertical="center" indent="1"/>
    </xf>
    <xf numFmtId="0" fontId="12" fillId="0" borderId="0" xfId="4" applyFont="1" applyBorder="1" applyAlignment="1">
      <alignment horizontal="left" vertical="center" indent="1"/>
    </xf>
    <xf numFmtId="0" fontId="12" fillId="0" borderId="0" xfId="4" applyFont="1" applyBorder="1" applyAlignment="1">
      <alignment horizontal="center" vertical="center"/>
    </xf>
    <xf numFmtId="0" fontId="16" fillId="0" borderId="6" xfId="4" applyFont="1" applyBorder="1" applyAlignment="1">
      <alignment horizontal="center"/>
    </xf>
    <xf numFmtId="0" fontId="16" fillId="0" borderId="8" xfId="4" applyFont="1" applyBorder="1" applyAlignment="1">
      <alignment horizontal="center"/>
    </xf>
    <xf numFmtId="0" fontId="16" fillId="0" borderId="6" xfId="4" applyFont="1" applyBorder="1" applyAlignment="1">
      <alignment horizontal="center" vertical="center"/>
    </xf>
    <xf numFmtId="0" fontId="16" fillId="0" borderId="8" xfId="4" applyFont="1" applyBorder="1" applyAlignment="1">
      <alignment horizontal="center" vertical="center"/>
    </xf>
    <xf numFmtId="0" fontId="12" fillId="0" borderId="8" xfId="4" applyFont="1" applyBorder="1" applyAlignment="1">
      <alignment horizontal="center" vertical="center"/>
    </xf>
    <xf numFmtId="0" fontId="0" fillId="0" borderId="16" xfId="0" applyBorder="1"/>
    <xf numFmtId="0" fontId="10" fillId="0" borderId="8" xfId="0" applyFont="1" applyBorder="1" applyAlignment="1">
      <alignment horizontal="center" vertical="center"/>
    </xf>
    <xf numFmtId="44" fontId="2" fillId="0" borderId="0" xfId="1" applyFont="1" applyFill="1"/>
    <xf numFmtId="164" fontId="2" fillId="0" borderId="0" xfId="0" applyNumberFormat="1" applyFont="1"/>
    <xf numFmtId="164" fontId="0" fillId="0" borderId="0" xfId="0" applyNumberFormat="1" applyAlignment="1">
      <alignment wrapText="1"/>
    </xf>
    <xf numFmtId="0" fontId="0" fillId="0" borderId="0" xfId="0" applyAlignment="1">
      <alignment horizontal="left" vertical="center"/>
    </xf>
    <xf numFmtId="0" fontId="5" fillId="0" borderId="0" xfId="0" applyFont="1"/>
    <xf numFmtId="0" fontId="6" fillId="5" borderId="1" xfId="0" applyFont="1" applyFill="1" applyBorder="1" applyAlignment="1">
      <alignment horizontal="center" vertical="center"/>
    </xf>
    <xf numFmtId="0" fontId="7" fillId="0" borderId="0" xfId="0" applyFont="1"/>
    <xf numFmtId="0" fontId="7" fillId="0" borderId="0" xfId="0" applyFont="1" applyAlignment="1">
      <alignment horizontal="center" vertical="center"/>
    </xf>
    <xf numFmtId="0" fontId="7" fillId="0" borderId="2" xfId="0" applyFont="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4" applyFont="1" applyFill="1" applyBorder="1" applyAlignment="1">
      <alignment horizontal="center" vertical="center"/>
    </xf>
    <xf numFmtId="0" fontId="0" fillId="0" borderId="1" xfId="4" applyFont="1" applyBorder="1" applyAlignment="1">
      <alignment horizontal="center" vertical="center"/>
    </xf>
    <xf numFmtId="0" fontId="0" fillId="0" borderId="3" xfId="4" applyFont="1" applyBorder="1" applyAlignment="1">
      <alignment horizontal="center" vertical="center"/>
    </xf>
    <xf numFmtId="0" fontId="0" fillId="0" borderId="0" xfId="4" applyFont="1" applyBorder="1" applyAlignment="1">
      <alignment horizontal="center" vertical="center"/>
    </xf>
    <xf numFmtId="0" fontId="0" fillId="0" borderId="2" xfId="0" applyBorder="1" applyAlignment="1">
      <alignment horizontal="center" vertical="center"/>
    </xf>
    <xf numFmtId="0" fontId="7" fillId="0" borderId="2" xfId="0" applyFont="1" applyBorder="1" applyAlignment="1">
      <alignment horizontal="center" vertical="center"/>
    </xf>
    <xf numFmtId="0" fontId="10" fillId="0" borderId="1" xfId="0" applyFont="1" applyBorder="1" applyAlignment="1">
      <alignment horizontal="left" vertical="center" wrapText="1"/>
    </xf>
    <xf numFmtId="0" fontId="0" fillId="7" borderId="1" xfId="4" applyFont="1" applyFill="1" applyBorder="1" applyAlignment="1">
      <alignment horizontal="center" vertical="center"/>
    </xf>
    <xf numFmtId="0" fontId="0" fillId="0" borderId="18" xfId="4" applyFont="1" applyFill="1" applyBorder="1" applyAlignment="1">
      <alignment horizontal="center" vertical="center"/>
    </xf>
    <xf numFmtId="0" fontId="10" fillId="0" borderId="18" xfId="0" applyFont="1" applyBorder="1" applyAlignment="1">
      <alignment horizontal="left" vertical="center" wrapText="1"/>
    </xf>
    <xf numFmtId="0" fontId="0" fillId="0" borderId="0" xfId="4" applyFont="1" applyFill="1" applyBorder="1" applyAlignment="1">
      <alignment horizontal="center" vertical="center"/>
    </xf>
    <xf numFmtId="0" fontId="0" fillId="0" borderId="4" xfId="4" applyFont="1" applyBorder="1" applyAlignment="1">
      <alignment horizontal="center" vertical="center"/>
    </xf>
    <xf numFmtId="0" fontId="7" fillId="0" borderId="4" xfId="0" applyFont="1" applyBorder="1" applyAlignment="1">
      <alignment horizontal="center" vertical="center"/>
    </xf>
    <xf numFmtId="0" fontId="0" fillId="7" borderId="4" xfId="4" applyFont="1" applyFill="1" applyBorder="1" applyAlignment="1">
      <alignment horizontal="center" vertical="center"/>
    </xf>
    <xf numFmtId="0" fontId="0" fillId="0" borderId="21" xfId="4" applyFont="1" applyBorder="1" applyAlignment="1">
      <alignment horizontal="center" vertical="center"/>
    </xf>
    <xf numFmtId="0" fontId="0" fillId="0" borderId="21" xfId="0" applyBorder="1" applyAlignment="1">
      <alignment horizontal="left" vertical="center" wrapText="1"/>
    </xf>
    <xf numFmtId="0" fontId="0" fillId="0" borderId="2" xfId="0" applyBorder="1" applyAlignment="1">
      <alignment horizontal="left" vertical="center"/>
    </xf>
    <xf numFmtId="0" fontId="0" fillId="0" borderId="3" xfId="0" applyBorder="1" applyAlignment="1">
      <alignment horizontal="left" vertical="center"/>
    </xf>
    <xf numFmtId="0" fontId="0" fillId="0" borderId="18" xfId="4" applyFont="1" applyBorder="1" applyAlignment="1">
      <alignment horizontal="center" vertical="center"/>
    </xf>
    <xf numFmtId="0" fontId="0" fillId="0" borderId="18" xfId="0" applyBorder="1" applyAlignment="1">
      <alignment horizontal="left" vertical="center" wrapText="1"/>
    </xf>
    <xf numFmtId="0" fontId="0" fillId="0" borderId="0" xfId="0" applyAlignment="1">
      <alignment horizontal="left" vertical="center" wrapText="1"/>
    </xf>
    <xf numFmtId="0" fontId="0" fillId="0" borderId="4" xfId="0" applyBorder="1" applyAlignment="1">
      <alignment horizontal="center" vertical="center"/>
    </xf>
    <xf numFmtId="0" fontId="0" fillId="0" borderId="8" xfId="0" applyBorder="1" applyAlignment="1">
      <alignment horizontal="left" indent="4"/>
    </xf>
    <xf numFmtId="0" fontId="12" fillId="0" borderId="9" xfId="0" applyFont="1" applyBorder="1"/>
    <xf numFmtId="0" fontId="0" fillId="0" borderId="10" xfId="0" applyBorder="1" applyAlignment="1">
      <alignment horizontal="left" indent="1"/>
    </xf>
    <xf numFmtId="0" fontId="0" fillId="0" borderId="9" xfId="0" applyBorder="1" applyAlignment="1">
      <alignment horizontal="left" indent="4"/>
    </xf>
    <xf numFmtId="0" fontId="0" fillId="0" borderId="12" xfId="0" applyBorder="1" applyAlignment="1">
      <alignment horizontal="left" indent="4"/>
    </xf>
    <xf numFmtId="0" fontId="8" fillId="6" borderId="1" xfId="4" applyFont="1" applyFill="1" applyBorder="1" applyAlignment="1">
      <alignment horizontal="center"/>
    </xf>
    <xf numFmtId="0" fontId="8" fillId="6" borderId="1" xfId="4" applyFont="1" applyFill="1" applyBorder="1" applyAlignment="1">
      <alignment horizontal="center" vertical="center"/>
    </xf>
    <xf numFmtId="0" fontId="8" fillId="6" borderId="19" xfId="4" applyFont="1" applyFill="1" applyBorder="1" applyAlignment="1">
      <alignment horizontal="center"/>
    </xf>
    <xf numFmtId="0" fontId="8" fillId="6" borderId="20" xfId="4" applyFont="1" applyFill="1" applyBorder="1" applyAlignment="1">
      <alignment horizontal="center"/>
    </xf>
    <xf numFmtId="0" fontId="15" fillId="6" borderId="1" xfId="4" applyFont="1" applyFill="1" applyBorder="1" applyAlignment="1">
      <alignment horizontal="center"/>
    </xf>
    <xf numFmtId="0" fontId="13" fillId="6" borderId="1" xfId="4" applyFont="1" applyFill="1" applyBorder="1" applyAlignment="1">
      <alignment horizontal="center" vertical="center"/>
    </xf>
    <xf numFmtId="0" fontId="11" fillId="5" borderId="5" xfId="4" applyFont="1" applyFill="1" applyBorder="1" applyAlignment="1">
      <alignment horizontal="center"/>
    </xf>
    <xf numFmtId="0" fontId="11" fillId="5" borderId="6" xfId="4" applyFont="1" applyFill="1" applyBorder="1" applyAlignment="1">
      <alignment horizontal="center"/>
    </xf>
    <xf numFmtId="0" fontId="11" fillId="5" borderId="7" xfId="4" applyFont="1" applyFill="1" applyBorder="1" applyAlignment="1">
      <alignment horizontal="center"/>
    </xf>
    <xf numFmtId="0" fontId="0" fillId="0" borderId="15" xfId="0" applyBorder="1" applyAlignment="1">
      <alignment horizontal="left" vertical="center" indent="1"/>
    </xf>
    <xf numFmtId="0" fontId="0" fillId="0" borderId="12" xfId="0" applyBorder="1" applyAlignment="1">
      <alignment horizontal="left" vertical="center" indent="1"/>
    </xf>
    <xf numFmtId="0" fontId="0" fillId="0" borderId="15" xfId="0" applyBorder="1" applyAlignment="1">
      <alignment horizontal="center" vertical="center"/>
    </xf>
    <xf numFmtId="0" fontId="0" fillId="0" borderId="12" xfId="0" applyBorder="1" applyAlignment="1">
      <alignment horizontal="center" vertical="center"/>
    </xf>
    <xf numFmtId="0" fontId="12" fillId="0" borderId="14" xfId="4" applyFont="1" applyBorder="1" applyAlignment="1">
      <alignment horizontal="center" vertical="center"/>
    </xf>
    <xf numFmtId="0" fontId="12" fillId="0" borderId="12" xfId="4" applyFont="1" applyBorder="1" applyAlignment="1">
      <alignment horizontal="center" vertical="center"/>
    </xf>
    <xf numFmtId="0" fontId="12" fillId="0" borderId="17" xfId="4" applyFont="1" applyBorder="1" applyAlignment="1">
      <alignment horizontal="center" vertical="center"/>
    </xf>
    <xf numFmtId="0" fontId="0" fillId="0" borderId="9" xfId="0" applyBorder="1" applyAlignment="1">
      <alignment horizontal="center" vertical="center"/>
    </xf>
    <xf numFmtId="0" fontId="12" fillId="0" borderId="15" xfId="4" applyFont="1" applyBorder="1" applyAlignment="1">
      <alignment horizontal="left" vertical="center" indent="1"/>
    </xf>
    <xf numFmtId="0" fontId="12" fillId="0" borderId="9" xfId="4" applyFont="1" applyBorder="1" applyAlignment="1">
      <alignment horizontal="left" vertical="center" indent="1"/>
    </xf>
    <xf numFmtId="0" fontId="12" fillId="0" borderId="12" xfId="4" applyFont="1" applyBorder="1" applyAlignment="1">
      <alignment horizontal="left" vertical="center" indent="1"/>
    </xf>
    <xf numFmtId="0" fontId="12" fillId="0" borderId="9" xfId="4" applyFont="1" applyBorder="1" applyAlignment="1">
      <alignment horizontal="center" vertical="center"/>
    </xf>
    <xf numFmtId="0" fontId="0" fillId="0" borderId="9" xfId="0" applyBorder="1" applyAlignment="1">
      <alignment horizontal="left" vertical="center" indent="1"/>
    </xf>
    <xf numFmtId="0" fontId="12" fillId="0" borderId="15" xfId="4" applyFont="1" applyBorder="1" applyAlignment="1">
      <alignment horizontal="center" vertical="center"/>
    </xf>
  </cellXfs>
  <cellStyles count="5">
    <cellStyle name="Currency" xfId="1" builtinId="4"/>
    <cellStyle name="Currency 2" xfId="2" xr:uid="{42D73BFC-F5F6-4331-8BFE-C96DDB4FD985}"/>
    <cellStyle name="Hyperlink 2" xfId="4" xr:uid="{B8CD92AF-AD76-4C24-AA46-7123937115A1}"/>
    <cellStyle name="Normal" xfId="0" builtinId="0"/>
    <cellStyle name="Normal 2" xfId="3" xr:uid="{2B693325-FAFB-4F2B-A8F7-D45E473095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608586ebfecc6e1e/Documents/Budget.xlsx" TargetMode="External"/><Relationship Id="rId1" Type="http://schemas.openxmlformats.org/officeDocument/2006/relationships/externalLinkPath" Target="https://d.docs.live.net/608586ebfecc6e1e/Documents/Budg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hyperlink" Target="mailto:channel@4sight.cloud?subject=4verify%20Quote%20Request" TargetMode="External"/><Relationship Id="rId3" Type="http://schemas.openxmlformats.org/officeDocument/2006/relationships/hyperlink" Target="https://4sight.cloud/offerings/cp-4verify" TargetMode="External"/><Relationship Id="rId7" Type="http://schemas.openxmlformats.org/officeDocument/2006/relationships/hyperlink" Target="mailto:channel@4sight.cloud?subject=4asset%20Quote%20Request" TargetMode="External"/><Relationship Id="rId12" Type="http://schemas.openxmlformats.org/officeDocument/2006/relationships/hyperlink" Target="mailto:channel@4sight.cloud?subject=4flow%20Quote%20Request" TargetMode="External"/><Relationship Id="rId2" Type="http://schemas.openxmlformats.org/officeDocument/2006/relationships/hyperlink" Target="https://4sight.cloud/offerings/cp-4asset" TargetMode="External"/><Relationship Id="rId1" Type="http://schemas.openxmlformats.org/officeDocument/2006/relationships/hyperlink" Target="https://4sight.cloud/offerings/cp-4talk" TargetMode="External"/><Relationship Id="rId6" Type="http://schemas.openxmlformats.org/officeDocument/2006/relationships/hyperlink" Target="https://4sight.cloud/offerings/cp-4flow" TargetMode="External"/><Relationship Id="rId11" Type="http://schemas.openxmlformats.org/officeDocument/2006/relationships/hyperlink" Target="mailto:channel@4sight.cloud?subject=4integrate%20Quote%20Request" TargetMode="External"/><Relationship Id="rId5" Type="http://schemas.openxmlformats.org/officeDocument/2006/relationships/hyperlink" Target="https://4sight.cloud/offerings/cp-4integrate" TargetMode="External"/><Relationship Id="rId10" Type="http://schemas.openxmlformats.org/officeDocument/2006/relationships/hyperlink" Target="mailto:channel@4sight.cloud?subject=4audit%20Quote%20Request" TargetMode="External"/><Relationship Id="rId4" Type="http://schemas.openxmlformats.org/officeDocument/2006/relationships/hyperlink" Target="https://4sight.cloud/offerings/cp-4audit" TargetMode="External"/><Relationship Id="rId9" Type="http://schemas.openxmlformats.org/officeDocument/2006/relationships/hyperlink" Target="mailto:channel@4sight.cloud?subject=4talk%20Quote%20Request"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mailto:channel@4sight.cloud?subject=Navfarm%20Quote%20Request" TargetMode="External"/><Relationship Id="rId1" Type="http://schemas.openxmlformats.org/officeDocument/2006/relationships/hyperlink" Target="https://4sight.cloud/offerings/prudence-consulting?a9=1"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mailto:channel@4sight.cloud?subject=Veripark%20Quote%20Request" TargetMode="External"/><Relationship Id="rId1" Type="http://schemas.openxmlformats.org/officeDocument/2006/relationships/hyperlink" Target="https://4sight.cloud/offerings/cp-veripark"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mailto:channel@4sight.cloud?subject=Cognius.ai%20Quote%20Request" TargetMode="External"/><Relationship Id="rId1" Type="http://schemas.openxmlformats.org/officeDocument/2006/relationships/hyperlink" Target="https://4sight.cloud/offerings/cognius-ai"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4sight.cloud/offerings/solgari?a9=1" TargetMode="External"/><Relationship Id="rId2" Type="http://schemas.openxmlformats.org/officeDocument/2006/relationships/hyperlink" Target="mailto:channel@4sight.cloud?subject=Kunjani%20Quote%20Request" TargetMode="External"/><Relationship Id="rId1" Type="http://schemas.openxmlformats.org/officeDocument/2006/relationships/hyperlink" Target="https://4sight.cloud/offerings/cp-kunjani" TargetMode="External"/><Relationship Id="rId4" Type="http://schemas.openxmlformats.org/officeDocument/2006/relationships/hyperlink" Target="mailto:channel@4sight.cloud?subject=Solgari%20Quote%20Request"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go.4sight.cloud/asset/568:acroniscybercloud2312calculatorusdv18-1xlsx" TargetMode="External"/><Relationship Id="rId13" Type="http://schemas.openxmlformats.org/officeDocument/2006/relationships/hyperlink" Target="mailto:channel@4sight.cloud?subject=BlackFog%20Quote%20Request" TargetMode="External"/><Relationship Id="rId3" Type="http://schemas.openxmlformats.org/officeDocument/2006/relationships/hyperlink" Target="https://4sight.cloud/offerings/blackfog" TargetMode="External"/><Relationship Id="rId7" Type="http://schemas.openxmlformats.org/officeDocument/2006/relationships/hyperlink" Target="mailto:channel@4sight.cloud" TargetMode="External"/><Relationship Id="rId12" Type="http://schemas.openxmlformats.org/officeDocument/2006/relationships/hyperlink" Target="mailto:channel@4sight.cloud?subject=Acronis%20Quote%20Request" TargetMode="External"/><Relationship Id="rId2" Type="http://schemas.openxmlformats.org/officeDocument/2006/relationships/hyperlink" Target="https://go.4sight.cloud/asset/435:4sight-cp-xtracti-pricing-v5pdf" TargetMode="External"/><Relationship Id="rId1" Type="http://schemas.openxmlformats.org/officeDocument/2006/relationships/hyperlink" Target="https://4sight.cloud/offerings/4tress" TargetMode="External"/><Relationship Id="rId6" Type="http://schemas.openxmlformats.org/officeDocument/2006/relationships/hyperlink" Target="https://4sight.cloud/offerings/cp-acronis" TargetMode="External"/><Relationship Id="rId11" Type="http://schemas.openxmlformats.org/officeDocument/2006/relationships/hyperlink" Target="https://go.4sight.cloud/asset/433:4sight-cp-blackfog-pricelistpdf" TargetMode="External"/><Relationship Id="rId5" Type="http://schemas.openxmlformats.org/officeDocument/2006/relationships/hyperlink" Target="mailto:channel@4sight.cloud" TargetMode="External"/><Relationship Id="rId15" Type="http://schemas.openxmlformats.org/officeDocument/2006/relationships/hyperlink" Target="mailto:channel@4sight.cloud?subject=Heimdal%20Security%20Quote%20Request" TargetMode="External"/><Relationship Id="rId10" Type="http://schemas.openxmlformats.org/officeDocument/2006/relationships/hyperlink" Target="https://go.4sight.cloud/asset/569:blackfog-price-book-mea-2023-002-1xlsx" TargetMode="External"/><Relationship Id="rId4" Type="http://schemas.openxmlformats.org/officeDocument/2006/relationships/hyperlink" Target="mailto:channel@4sight.cloud?subject=XtrActi%20Quote%20Request" TargetMode="External"/><Relationship Id="rId9" Type="http://schemas.openxmlformats.org/officeDocument/2006/relationships/hyperlink" Target="https://go.4sight.cloud/asset/571:presentation-acronis-cyber-protect-external-licensing-guide-en-us-221223-1pptx" TargetMode="External"/><Relationship Id="rId14" Type="http://schemas.openxmlformats.org/officeDocument/2006/relationships/hyperlink" Target="https://go.4sight.cloud/asset/570:cloudpricelist-acroniscybercloud2312usd-1xlsx"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mailto:channel@4sight.cloud?subject=Bimser%20Postman%20Quote%20Request" TargetMode="External"/><Relationship Id="rId1" Type="http://schemas.openxmlformats.org/officeDocument/2006/relationships/hyperlink" Target="https://4sight.cloud/offerings/bimser-international?a9=1"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4sight.cloud/offerings/virtualpostman" TargetMode="External"/><Relationship Id="rId2" Type="http://schemas.openxmlformats.org/officeDocument/2006/relationships/hyperlink" Target="https://4sight.cloud/offerings/cp-paperless" TargetMode="External"/><Relationship Id="rId1" Type="http://schemas.openxmlformats.org/officeDocument/2006/relationships/hyperlink" Target="https://4sight.cloud/offerings/docuvision" TargetMode="External"/><Relationship Id="rId6" Type="http://schemas.openxmlformats.org/officeDocument/2006/relationships/hyperlink" Target="mailto:channel@4sight.cloud?subject=PaperLess%20Quote%20Request" TargetMode="External"/><Relationship Id="rId5" Type="http://schemas.openxmlformats.org/officeDocument/2006/relationships/hyperlink" Target="mailto:channel@4sight.cloud?subject=DocuVision%20Quote%20Request" TargetMode="External"/><Relationship Id="rId4" Type="http://schemas.openxmlformats.org/officeDocument/2006/relationships/hyperlink" Target="mailto:channel@4sight.cloud?subject=Virtual%20Postman%20Quote%20Request"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mailto:channel@4sight.cloud?subject=Shopify%20Quote%20Request" TargetMode="External"/><Relationship Id="rId1" Type="http://schemas.openxmlformats.org/officeDocument/2006/relationships/hyperlink" Target="https://4sight.cloud/offerings/cp-shopify?a9=1"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mailto:channel@4sight.cloud?subject=EDDUUS%20Quote%20Request" TargetMode="External"/><Relationship Id="rId2" Type="http://schemas.openxmlformats.org/officeDocument/2006/relationships/hyperlink" Target="https://4sight.cloud/offerings/edduus" TargetMode="External"/><Relationship Id="rId1" Type="http://schemas.openxmlformats.org/officeDocument/2006/relationships/hyperlink" Target="https://4sight.cloud/offerings/newleaf" TargetMode="External"/><Relationship Id="rId4" Type="http://schemas.openxmlformats.org/officeDocument/2006/relationships/hyperlink" Target="mailto:channel@4sight.cloud?subject=NewLeaf%20Quote%20Request"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mailto:channel@4sight.cloud?subject=CodeVision%20Quote%20Request" TargetMode="External"/><Relationship Id="rId1" Type="http://schemas.openxmlformats.org/officeDocument/2006/relationships/hyperlink" Target="https://4sight.cloud/offerings/codevision"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mailto:channel@4sight.cloud?subject=Crossware%20Quote%20Request" TargetMode="External"/></Relationships>
</file>

<file path=xl/worksheets/_rels/sheet18.xml.rels><?xml version="1.0" encoding="UTF-8" standalone="yes"?>
<Relationships xmlns="http://schemas.openxmlformats.org/package/2006/relationships"><Relationship Id="rId2" Type="http://schemas.openxmlformats.org/officeDocument/2006/relationships/hyperlink" Target="mailto:channel@4sight.cloud?subject=DarkRed%20Quote%20Request" TargetMode="External"/><Relationship Id="rId1" Type="http://schemas.openxmlformats.org/officeDocument/2006/relationships/hyperlink" Target="https://go.4sight.cloud/asset/437:4sight-cp-darkred-service-platform-brochure-2023pdf1" TargetMode="External"/></Relationships>
</file>

<file path=xl/worksheets/_rels/sheet19.xml.rels><?xml version="1.0" encoding="UTF-8" standalone="yes"?>
<Relationships xmlns="http://schemas.openxmlformats.org/package/2006/relationships"><Relationship Id="rId2" Type="http://schemas.openxmlformats.org/officeDocument/2006/relationships/hyperlink" Target="mailto:channel@4sight.cloud?subject=OSA%20INT.%20Quote%20Request" TargetMode="External"/><Relationship Id="rId1" Type="http://schemas.openxmlformats.org/officeDocument/2006/relationships/hyperlink" Target="https://4sight.cloud/offerings/cp-osa-int" TargetMode="External"/></Relationships>
</file>

<file path=xl/worksheets/_rels/sheet20.xml.rels><?xml version="1.0" encoding="UTF-8" standalone="yes"?>
<Relationships xmlns="http://schemas.openxmlformats.org/package/2006/relationships"><Relationship Id="rId2" Type="http://schemas.openxmlformats.org/officeDocument/2006/relationships/hyperlink" Target="mailto:channel@4sight.cloud?subject=TriFour%20Health%20Quote%20Request" TargetMode="External"/><Relationship Id="rId1" Type="http://schemas.openxmlformats.org/officeDocument/2006/relationships/hyperlink" Target="https://4sight.cloud/offerings/trifour-health" TargetMode="External"/></Relationships>
</file>

<file path=xl/worksheets/_rels/sheet21.xml.rels><?xml version="1.0" encoding="UTF-8" standalone="yes"?>
<Relationships xmlns="http://schemas.openxmlformats.org/package/2006/relationships"><Relationship Id="rId2" Type="http://schemas.openxmlformats.org/officeDocument/2006/relationships/hyperlink" Target="mailto:channel@4sight.cloud?subject=Netcash%20Quote%20Request" TargetMode="External"/><Relationship Id="rId1" Type="http://schemas.openxmlformats.org/officeDocument/2006/relationships/hyperlink" Target="https://4sight.cloud/offerings/cp-netcash"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mailto:channel@4sight.cloud?subject=Dynamics%20Payroll%20and%20HR%20Quote%20Request" TargetMode="External"/><Relationship Id="rId13" Type="http://schemas.openxmlformats.org/officeDocument/2006/relationships/hyperlink" Target="https://4sight.cloud/offerings/cp-ers-bio" TargetMode="External"/><Relationship Id="rId18" Type="http://schemas.openxmlformats.org/officeDocument/2006/relationships/hyperlink" Target="https://go.4sight.cloud/asset/572:dynamics-payroll-retail-zar-pricelist-october-2023---september-2024pdf" TargetMode="External"/><Relationship Id="rId3" Type="http://schemas.openxmlformats.org/officeDocument/2006/relationships/hyperlink" Target="https://go.4sight.cloud/asset/439:4sight-cp-econz-pricelist-zar-july2022pdf" TargetMode="External"/><Relationship Id="rId21" Type="http://schemas.openxmlformats.org/officeDocument/2006/relationships/hyperlink" Target="https://4sight.cloud/offerings/dynamics-payroll-powered-by-payspace" TargetMode="External"/><Relationship Id="rId7" Type="http://schemas.openxmlformats.org/officeDocument/2006/relationships/hyperlink" Target="mailto:channel@4sight.cloud" TargetMode="External"/><Relationship Id="rId12" Type="http://schemas.openxmlformats.org/officeDocument/2006/relationships/hyperlink" Target="mailto:channel@4sight.cloud?subject=ERS%20Bio%20Quote%20Request" TargetMode="External"/><Relationship Id="rId17" Type="http://schemas.openxmlformats.org/officeDocument/2006/relationships/hyperlink" Target="mailto:channel@4sight.cloud?subject=Direct%20Hire%20Quote%20Request" TargetMode="External"/><Relationship Id="rId2" Type="http://schemas.openxmlformats.org/officeDocument/2006/relationships/hyperlink" Target="https://4sight.cloud/offerings/econz-wireless" TargetMode="External"/><Relationship Id="rId16" Type="http://schemas.openxmlformats.org/officeDocument/2006/relationships/hyperlink" Target="https://4sight.cloud/offerings/cp-direct-hire?a9=1" TargetMode="External"/><Relationship Id="rId20" Type="http://schemas.openxmlformats.org/officeDocument/2006/relationships/hyperlink" Target="mailto:channel@4sight.cloud" TargetMode="External"/><Relationship Id="rId1" Type="http://schemas.openxmlformats.org/officeDocument/2006/relationships/hyperlink" Target="https://4sight.cloud/offerings/cp-paymenow" TargetMode="External"/><Relationship Id="rId6" Type="http://schemas.openxmlformats.org/officeDocument/2006/relationships/hyperlink" Target="mailto:channel@4sight.cloud?subject=Paymenow%20Quote%20Request" TargetMode="External"/><Relationship Id="rId11" Type="http://schemas.openxmlformats.org/officeDocument/2006/relationships/hyperlink" Target="https://4sight.cloud/offerings/signify" TargetMode="External"/><Relationship Id="rId5" Type="http://schemas.openxmlformats.org/officeDocument/2006/relationships/hyperlink" Target="https://go.4sight.cloud/asset/440:dynamics-payroll-partner-dollar-pricelist-october-2022-september-2023pdf" TargetMode="External"/><Relationship Id="rId15" Type="http://schemas.openxmlformats.org/officeDocument/2006/relationships/hyperlink" Target="mailto:channel@4sight.cloud?subject=Prudence%20Quote%20Request" TargetMode="External"/><Relationship Id="rId10" Type="http://schemas.openxmlformats.org/officeDocument/2006/relationships/hyperlink" Target="mailto:channel@4sight.cloud?subject=Signify%20Software%20Quote%20Request" TargetMode="External"/><Relationship Id="rId19" Type="http://schemas.openxmlformats.org/officeDocument/2006/relationships/hyperlink" Target="https://go.4sight.cloud/asset/573:dynamics-payroll-partner-zar-pricelist-october-2023---september-2024pdf" TargetMode="External"/><Relationship Id="rId4" Type="http://schemas.openxmlformats.org/officeDocument/2006/relationships/hyperlink" Target="https://go.4sight.cloud/asset/438:4sight-cp-econz-pricelist-usd-july2022pdf" TargetMode="External"/><Relationship Id="rId9" Type="http://schemas.openxmlformats.org/officeDocument/2006/relationships/hyperlink" Target="mailto:channel@4sight.cloud?subject=Econz%20Wireless%20Quote%20Request" TargetMode="External"/><Relationship Id="rId14" Type="http://schemas.openxmlformats.org/officeDocument/2006/relationships/hyperlink" Target="https://4sight.cloud/offerings/prudence-consulting?a9=1"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go.4sight.cloud/asset/436:4sight-cp-tallorder-zar-pricing-2023pdf" TargetMode="External"/><Relationship Id="rId2" Type="http://schemas.openxmlformats.org/officeDocument/2006/relationships/hyperlink" Target="https://4sight.cloud/offerings/cp-tallorder" TargetMode="External"/><Relationship Id="rId1" Type="http://schemas.openxmlformats.org/officeDocument/2006/relationships/hyperlink" Target="https://4sight.cloud/offerings/ivend-retail" TargetMode="External"/><Relationship Id="rId5" Type="http://schemas.openxmlformats.org/officeDocument/2006/relationships/hyperlink" Target="mailto:channel@4sight.cloud?subject=TallOrder" TargetMode="External"/><Relationship Id="rId4" Type="http://schemas.openxmlformats.org/officeDocument/2006/relationships/hyperlink" Target="mailto:channel@4sight.cloud?subject=iVend%20Retail%20Quote%20Request" TargetMode="External"/></Relationships>
</file>

<file path=xl/worksheets/_rels/sheet24.xml.rels><?xml version="1.0" encoding="UTF-8" standalone="yes"?>
<Relationships xmlns="http://schemas.openxmlformats.org/package/2006/relationships"><Relationship Id="rId2" Type="http://schemas.openxmlformats.org/officeDocument/2006/relationships/hyperlink" Target="mailto:channel@4sight.cloud?subject=MRI%20Quote%20Request" TargetMode="External"/><Relationship Id="rId1" Type="http://schemas.openxmlformats.org/officeDocument/2006/relationships/hyperlink" Target="https://4sight.cloud/offerings/cp-mri"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s://4sight.cloud/offerings/cp-zap" TargetMode="External"/><Relationship Id="rId2" Type="http://schemas.openxmlformats.org/officeDocument/2006/relationships/hyperlink" Target="https://4sight.cloud/offerings/cp-solver" TargetMode="External"/><Relationship Id="rId1" Type="http://schemas.openxmlformats.org/officeDocument/2006/relationships/hyperlink" Target="https://4sight.cloud/offerings/cp-idu" TargetMode="External"/><Relationship Id="rId6" Type="http://schemas.openxmlformats.org/officeDocument/2006/relationships/hyperlink" Target="mailto:channel@4sight.cloud?subject=ZAP%20Quote%20Request" TargetMode="External"/><Relationship Id="rId5" Type="http://schemas.openxmlformats.org/officeDocument/2006/relationships/hyperlink" Target="mailto:channel@4sight.cloud?subject=Solver%20Quote%20Request" TargetMode="External"/><Relationship Id="rId4" Type="http://schemas.openxmlformats.org/officeDocument/2006/relationships/hyperlink" Target="mailto:channel@4sight.cloud?subject=IDU%20Quote%20Reque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016E9-A131-4563-B6AA-A79A9E55F48A}">
  <dimension ref="A1:A33"/>
  <sheetViews>
    <sheetView topLeftCell="A30" workbookViewId="0">
      <selection activeCell="A35" sqref="A35:XFD38"/>
    </sheetView>
  </sheetViews>
  <sheetFormatPr defaultRowHeight="15" x14ac:dyDescent="0.25"/>
  <cols>
    <col min="1" max="1" width="124.5703125" bestFit="1" customWidth="1"/>
  </cols>
  <sheetData>
    <row r="1" spans="1:1" x14ac:dyDescent="0.25">
      <c r="A1" s="1" t="s">
        <v>0</v>
      </c>
    </row>
    <row r="2" spans="1:1" x14ac:dyDescent="0.25">
      <c r="A2" s="1" t="s">
        <v>1</v>
      </c>
    </row>
    <row r="3" spans="1:1" x14ac:dyDescent="0.25">
      <c r="A3" s="1"/>
    </row>
    <row r="4" spans="1:1" x14ac:dyDescent="0.25">
      <c r="A4" t="s">
        <v>2</v>
      </c>
    </row>
    <row r="5" spans="1:1" x14ac:dyDescent="0.25">
      <c r="A5" s="1"/>
    </row>
    <row r="6" spans="1:1" x14ac:dyDescent="0.25">
      <c r="A6" s="1" t="s">
        <v>3</v>
      </c>
    </row>
    <row r="7" spans="1:1" x14ac:dyDescent="0.25">
      <c r="A7" t="s">
        <v>4</v>
      </c>
    </row>
    <row r="8" spans="1:1" x14ac:dyDescent="0.25">
      <c r="A8" s="2" t="s">
        <v>5</v>
      </c>
    </row>
    <row r="9" spans="1:1" x14ac:dyDescent="0.25">
      <c r="A9" s="2" t="s">
        <v>6</v>
      </c>
    </row>
    <row r="10" spans="1:1" x14ac:dyDescent="0.25">
      <c r="A10" s="2" t="s">
        <v>7</v>
      </c>
    </row>
    <row r="11" spans="1:1" x14ac:dyDescent="0.25">
      <c r="A11" s="2" t="s">
        <v>8</v>
      </c>
    </row>
    <row r="12" spans="1:1" x14ac:dyDescent="0.25">
      <c r="A12" s="2" t="s">
        <v>9</v>
      </c>
    </row>
    <row r="13" spans="1:1" x14ac:dyDescent="0.25">
      <c r="A13" s="2" t="s">
        <v>10</v>
      </c>
    </row>
    <row r="14" spans="1:1" x14ac:dyDescent="0.25">
      <c r="A14" s="2" t="s">
        <v>11</v>
      </c>
    </row>
    <row r="15" spans="1:1" x14ac:dyDescent="0.25">
      <c r="A15" s="2" t="s">
        <v>12</v>
      </c>
    </row>
    <row r="17" spans="1:1" x14ac:dyDescent="0.25">
      <c r="A17" s="1" t="s">
        <v>13</v>
      </c>
    </row>
    <row r="18" spans="1:1" x14ac:dyDescent="0.25">
      <c r="A18" t="s">
        <v>14</v>
      </c>
    </row>
    <row r="19" spans="1:1" x14ac:dyDescent="0.25">
      <c r="A19" t="s">
        <v>15</v>
      </c>
    </row>
    <row r="20" spans="1:1" x14ac:dyDescent="0.25">
      <c r="A20" t="s">
        <v>16</v>
      </c>
    </row>
    <row r="21" spans="1:1" x14ac:dyDescent="0.25">
      <c r="A21" t="s">
        <v>17</v>
      </c>
    </row>
    <row r="22" spans="1:1" x14ac:dyDescent="0.25">
      <c r="A22" t="s">
        <v>18</v>
      </c>
    </row>
    <row r="23" spans="1:1" x14ac:dyDescent="0.25">
      <c r="A23" t="s">
        <v>19</v>
      </c>
    </row>
    <row r="25" spans="1:1" x14ac:dyDescent="0.25">
      <c r="A25" t="s">
        <v>20</v>
      </c>
    </row>
    <row r="26" spans="1:1" x14ac:dyDescent="0.25">
      <c r="A26" t="s">
        <v>21</v>
      </c>
    </row>
    <row r="27" spans="1:1" x14ac:dyDescent="0.25">
      <c r="A27" t="s">
        <v>22</v>
      </c>
    </row>
    <row r="30" spans="1:1" ht="60" x14ac:dyDescent="0.25">
      <c r="A30" s="3" t="s">
        <v>23</v>
      </c>
    </row>
    <row r="31" spans="1:1" ht="30" x14ac:dyDescent="0.25">
      <c r="A31" s="4" t="s">
        <v>24</v>
      </c>
    </row>
    <row r="32" spans="1:1" x14ac:dyDescent="0.25">
      <c r="A32" s="5" t="s">
        <v>25</v>
      </c>
    </row>
    <row r="33" spans="1:1" x14ac:dyDescent="0.25">
      <c r="A33" s="6"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74644-B17A-4630-AC8F-A0A6AA0C94CA}">
  <dimension ref="A1:K883"/>
  <sheetViews>
    <sheetView tabSelected="1" zoomScale="80" zoomScaleNormal="80" zoomScaleSheetLayoutView="100" workbookViewId="0">
      <pane ySplit="1" topLeftCell="A206" activePane="bottomLeft" state="frozen"/>
      <selection activeCell="B1" sqref="B1"/>
      <selection pane="bottomLeft" activeCell="J243" sqref="J243:J245"/>
    </sheetView>
  </sheetViews>
  <sheetFormatPr defaultRowHeight="15" x14ac:dyDescent="0.25"/>
  <cols>
    <col min="1" max="1" width="95.5703125" bestFit="1" customWidth="1"/>
    <col min="2" max="2" width="18.28515625" bestFit="1" customWidth="1"/>
    <col min="3" max="3" width="13.85546875" bestFit="1" customWidth="1"/>
    <col min="4" max="4" width="10.85546875" bestFit="1" customWidth="1"/>
    <col min="5" max="5" width="75.85546875" customWidth="1"/>
    <col min="6" max="6" width="42.5703125" customWidth="1"/>
    <col min="7" max="7" width="17" style="7" bestFit="1" customWidth="1"/>
    <col min="8" max="8" width="14.42578125" style="7" bestFit="1" customWidth="1"/>
    <col min="9" max="9" width="16.28515625" style="7" bestFit="1" customWidth="1"/>
    <col min="10" max="10" width="23.140625" bestFit="1" customWidth="1"/>
    <col min="11" max="11" width="23.5703125" style="7" bestFit="1" customWidth="1"/>
  </cols>
  <sheetData>
    <row r="1" spans="1:11" s="1" customFormat="1" x14ac:dyDescent="0.25">
      <c r="A1" s="8" t="s">
        <v>27</v>
      </c>
      <c r="B1" s="8" t="s">
        <v>28</v>
      </c>
      <c r="C1" s="8" t="s">
        <v>29</v>
      </c>
      <c r="D1" s="8" t="s">
        <v>30</v>
      </c>
      <c r="E1" s="8" t="s">
        <v>31</v>
      </c>
      <c r="F1" s="8" t="s">
        <v>423</v>
      </c>
      <c r="G1" s="9" t="s">
        <v>32</v>
      </c>
      <c r="H1" s="9" t="s">
        <v>33</v>
      </c>
      <c r="I1" s="9" t="s">
        <v>34</v>
      </c>
      <c r="J1" s="8" t="s">
        <v>35</v>
      </c>
      <c r="K1" s="10" t="s">
        <v>493</v>
      </c>
    </row>
    <row r="2" spans="1:11" x14ac:dyDescent="0.25">
      <c r="E2" s="8" t="s">
        <v>336</v>
      </c>
      <c r="F2" s="1"/>
      <c r="K2" s="11"/>
    </row>
    <row r="3" spans="1:11" x14ac:dyDescent="0.25">
      <c r="B3" t="s">
        <v>36</v>
      </c>
      <c r="C3" t="s">
        <v>338</v>
      </c>
      <c r="D3" t="s">
        <v>38</v>
      </c>
      <c r="E3" t="s">
        <v>39</v>
      </c>
      <c r="F3" t="s">
        <v>424</v>
      </c>
      <c r="G3" s="7">
        <v>4.8</v>
      </c>
      <c r="H3" s="7">
        <v>4.22</v>
      </c>
      <c r="I3" s="7">
        <f t="shared" ref="I3:I14" si="0">G3-H3</f>
        <v>0.58000000000000007</v>
      </c>
      <c r="J3" t="s">
        <v>40</v>
      </c>
      <c r="K3" s="11">
        <v>0.192</v>
      </c>
    </row>
    <row r="4" spans="1:11" x14ac:dyDescent="0.25">
      <c r="B4" t="s">
        <v>36</v>
      </c>
      <c r="C4" t="s">
        <v>37</v>
      </c>
      <c r="D4" t="s">
        <v>38</v>
      </c>
      <c r="E4" t="s">
        <v>39</v>
      </c>
      <c r="F4" t="s">
        <v>426</v>
      </c>
      <c r="G4" s="7">
        <v>4</v>
      </c>
      <c r="H4" s="7">
        <v>3.52</v>
      </c>
      <c r="I4" s="7">
        <f t="shared" si="0"/>
        <v>0.48</v>
      </c>
      <c r="J4" t="s">
        <v>40</v>
      </c>
      <c r="K4" s="11">
        <v>0.16</v>
      </c>
    </row>
    <row r="5" spans="1:11" x14ac:dyDescent="0.25">
      <c r="B5" t="s">
        <v>42</v>
      </c>
      <c r="C5" t="s">
        <v>338</v>
      </c>
      <c r="D5" t="s">
        <v>38</v>
      </c>
      <c r="E5" t="s">
        <v>43</v>
      </c>
      <c r="F5" t="s">
        <v>424</v>
      </c>
      <c r="G5" s="7">
        <v>9.6</v>
      </c>
      <c r="H5" s="7">
        <v>8.4499999999999993</v>
      </c>
      <c r="I5" s="7">
        <f t="shared" si="0"/>
        <v>1.1500000000000004</v>
      </c>
      <c r="J5" t="s">
        <v>40</v>
      </c>
      <c r="K5" s="11">
        <v>0.38</v>
      </c>
    </row>
    <row r="6" spans="1:11" x14ac:dyDescent="0.25">
      <c r="A6" t="s">
        <v>41</v>
      </c>
      <c r="B6" t="s">
        <v>42</v>
      </c>
      <c r="C6" t="s">
        <v>37</v>
      </c>
      <c r="D6" t="s">
        <v>38</v>
      </c>
      <c r="E6" t="s">
        <v>43</v>
      </c>
      <c r="F6" t="s">
        <v>426</v>
      </c>
      <c r="G6" s="7">
        <v>8</v>
      </c>
      <c r="H6" s="7">
        <v>7.04</v>
      </c>
      <c r="I6" s="7">
        <f t="shared" si="0"/>
        <v>0.96</v>
      </c>
      <c r="J6" t="s">
        <v>40</v>
      </c>
      <c r="K6" s="11">
        <v>0.32</v>
      </c>
    </row>
    <row r="7" spans="1:11" x14ac:dyDescent="0.25">
      <c r="B7" t="s">
        <v>44</v>
      </c>
      <c r="C7" t="s">
        <v>338</v>
      </c>
      <c r="D7" t="s">
        <v>38</v>
      </c>
      <c r="E7" t="s">
        <v>45</v>
      </c>
      <c r="F7" t="s">
        <v>424</v>
      </c>
      <c r="G7" s="7">
        <v>3.6</v>
      </c>
      <c r="H7" s="7">
        <v>3.17</v>
      </c>
      <c r="I7" s="7">
        <f t="shared" si="0"/>
        <v>0.43000000000000016</v>
      </c>
      <c r="J7" t="s">
        <v>40</v>
      </c>
      <c r="K7" s="11">
        <v>0.14000000000000001</v>
      </c>
    </row>
    <row r="8" spans="1:11" x14ac:dyDescent="0.25">
      <c r="B8" t="s">
        <v>44</v>
      </c>
      <c r="C8" t="s">
        <v>37</v>
      </c>
      <c r="D8" t="s">
        <v>38</v>
      </c>
      <c r="E8" t="s">
        <v>45</v>
      </c>
      <c r="F8" t="s">
        <v>426</v>
      </c>
      <c r="G8" s="7">
        <v>3</v>
      </c>
      <c r="H8" s="7">
        <v>2.64</v>
      </c>
      <c r="I8" s="7">
        <f t="shared" si="0"/>
        <v>0.35999999999999988</v>
      </c>
      <c r="J8" t="s">
        <v>40</v>
      </c>
      <c r="K8" s="11">
        <v>0.12</v>
      </c>
    </row>
    <row r="9" spans="1:11" x14ac:dyDescent="0.25">
      <c r="B9" t="s">
        <v>46</v>
      </c>
      <c r="C9" t="s">
        <v>338</v>
      </c>
      <c r="D9" t="s">
        <v>38</v>
      </c>
      <c r="E9" t="s">
        <v>47</v>
      </c>
      <c r="F9" t="s">
        <v>424</v>
      </c>
      <c r="G9" s="7">
        <v>3.6</v>
      </c>
      <c r="H9" s="7">
        <v>3.17</v>
      </c>
      <c r="I9" s="7">
        <f t="shared" si="0"/>
        <v>0.43000000000000016</v>
      </c>
      <c r="J9" t="s">
        <v>40</v>
      </c>
      <c r="K9" s="11">
        <v>0.14000000000000001</v>
      </c>
    </row>
    <row r="10" spans="1:11" x14ac:dyDescent="0.25">
      <c r="B10" t="s">
        <v>46</v>
      </c>
      <c r="C10" t="s">
        <v>37</v>
      </c>
      <c r="D10" t="s">
        <v>38</v>
      </c>
      <c r="E10" t="s">
        <v>47</v>
      </c>
      <c r="F10" t="s">
        <v>426</v>
      </c>
      <c r="G10" s="7">
        <v>3</v>
      </c>
      <c r="H10" s="7">
        <v>2.64</v>
      </c>
      <c r="I10" s="7">
        <f t="shared" si="0"/>
        <v>0.35999999999999988</v>
      </c>
      <c r="J10" t="s">
        <v>40</v>
      </c>
      <c r="K10" s="11">
        <v>0.12</v>
      </c>
    </row>
    <row r="11" spans="1:11" x14ac:dyDescent="0.25">
      <c r="B11" t="s">
        <v>48</v>
      </c>
      <c r="C11" t="s">
        <v>338</v>
      </c>
      <c r="D11" t="s">
        <v>38</v>
      </c>
      <c r="E11" t="s">
        <v>49</v>
      </c>
      <c r="F11" t="s">
        <v>424</v>
      </c>
      <c r="G11" s="7">
        <v>2.4</v>
      </c>
      <c r="H11" s="7">
        <v>2.11</v>
      </c>
      <c r="I11" s="7">
        <f t="shared" si="0"/>
        <v>0.29000000000000004</v>
      </c>
      <c r="J11" t="s">
        <v>40</v>
      </c>
      <c r="K11" s="11">
        <v>0.1</v>
      </c>
    </row>
    <row r="12" spans="1:11" x14ac:dyDescent="0.25">
      <c r="B12" t="s">
        <v>48</v>
      </c>
      <c r="C12" t="s">
        <v>37</v>
      </c>
      <c r="D12" t="s">
        <v>38</v>
      </c>
      <c r="E12" t="s">
        <v>49</v>
      </c>
      <c r="F12" t="s">
        <v>426</v>
      </c>
      <c r="G12" s="7">
        <v>2</v>
      </c>
      <c r="H12" s="7">
        <v>1.76</v>
      </c>
      <c r="I12" s="7">
        <f t="shared" si="0"/>
        <v>0.24</v>
      </c>
      <c r="J12" t="s">
        <v>40</v>
      </c>
      <c r="K12" s="11">
        <v>0.08</v>
      </c>
    </row>
    <row r="13" spans="1:11" x14ac:dyDescent="0.25">
      <c r="B13" t="s">
        <v>50</v>
      </c>
      <c r="C13" t="s">
        <v>338</v>
      </c>
      <c r="D13" t="s">
        <v>38</v>
      </c>
      <c r="E13" t="s">
        <v>51</v>
      </c>
      <c r="F13" t="s">
        <v>424</v>
      </c>
      <c r="G13" s="7">
        <v>1.2</v>
      </c>
      <c r="H13" s="7">
        <v>1.06</v>
      </c>
      <c r="I13" s="7">
        <f t="shared" si="0"/>
        <v>0.1399999999999999</v>
      </c>
      <c r="J13" t="s">
        <v>40</v>
      </c>
      <c r="K13" s="11">
        <v>0.05</v>
      </c>
    </row>
    <row r="14" spans="1:11" x14ac:dyDescent="0.25">
      <c r="B14" t="s">
        <v>50</v>
      </c>
      <c r="C14" t="s">
        <v>37</v>
      </c>
      <c r="D14" t="s">
        <v>38</v>
      </c>
      <c r="E14" t="s">
        <v>51</v>
      </c>
      <c r="F14" t="s">
        <v>426</v>
      </c>
      <c r="G14" s="7">
        <v>1</v>
      </c>
      <c r="H14" s="7">
        <v>0.88</v>
      </c>
      <c r="I14" s="7">
        <f t="shared" si="0"/>
        <v>0.12</v>
      </c>
      <c r="J14" t="s">
        <v>40</v>
      </c>
      <c r="K14" s="11">
        <v>0.08</v>
      </c>
    </row>
    <row r="15" spans="1:11" x14ac:dyDescent="0.25">
      <c r="K15" s="11"/>
    </row>
    <row r="16" spans="1:11" x14ac:dyDescent="0.25">
      <c r="A16" t="s">
        <v>337</v>
      </c>
      <c r="B16" t="s">
        <v>52</v>
      </c>
      <c r="C16" t="s">
        <v>338</v>
      </c>
      <c r="D16" t="s">
        <v>38</v>
      </c>
      <c r="E16" t="s">
        <v>53</v>
      </c>
      <c r="F16" t="s">
        <v>424</v>
      </c>
      <c r="G16" s="7">
        <v>9.9600000000000009</v>
      </c>
      <c r="H16" s="7">
        <v>8.7669999999999995</v>
      </c>
      <c r="I16" s="7">
        <f t="shared" ref="I16:I21" si="1">G16-H16</f>
        <v>1.1930000000000014</v>
      </c>
      <c r="J16" t="s">
        <v>40</v>
      </c>
      <c r="K16" s="11">
        <v>0.4</v>
      </c>
    </row>
    <row r="17" spans="1:11" x14ac:dyDescent="0.25">
      <c r="B17" t="s">
        <v>52</v>
      </c>
      <c r="C17" t="s">
        <v>37</v>
      </c>
      <c r="D17" t="s">
        <v>38</v>
      </c>
      <c r="E17" t="s">
        <v>53</v>
      </c>
      <c r="F17" t="s">
        <v>426</v>
      </c>
      <c r="G17" s="7">
        <v>8.2999999999999989</v>
      </c>
      <c r="H17" s="7">
        <v>7.3039999999999994</v>
      </c>
      <c r="I17" s="7">
        <f t="shared" si="1"/>
        <v>0.99599999999999955</v>
      </c>
      <c r="J17" t="s">
        <v>40</v>
      </c>
      <c r="K17" s="11">
        <v>0.33</v>
      </c>
    </row>
    <row r="18" spans="1:11" x14ac:dyDescent="0.25">
      <c r="A18" t="s">
        <v>339</v>
      </c>
      <c r="B18" t="s">
        <v>54</v>
      </c>
      <c r="C18" t="s">
        <v>338</v>
      </c>
      <c r="D18" t="s">
        <v>38</v>
      </c>
      <c r="E18" t="s">
        <v>55</v>
      </c>
      <c r="F18" t="s">
        <v>424</v>
      </c>
      <c r="G18" s="7">
        <v>7.2</v>
      </c>
      <c r="H18" s="7">
        <v>6.34</v>
      </c>
      <c r="I18" s="7">
        <f t="shared" si="1"/>
        <v>0.86000000000000032</v>
      </c>
      <c r="J18" t="s">
        <v>40</v>
      </c>
      <c r="K18" s="11">
        <v>0.28999999999999998</v>
      </c>
    </row>
    <row r="19" spans="1:11" x14ac:dyDescent="0.25">
      <c r="B19" t="s">
        <v>54</v>
      </c>
      <c r="C19" t="s">
        <v>37</v>
      </c>
      <c r="D19" t="s">
        <v>38</v>
      </c>
      <c r="E19" t="s">
        <v>55</v>
      </c>
      <c r="F19" t="s">
        <v>426</v>
      </c>
      <c r="G19" s="7">
        <v>6</v>
      </c>
      <c r="H19" s="7">
        <v>5.28</v>
      </c>
      <c r="I19" s="7">
        <f t="shared" si="1"/>
        <v>0.71999999999999975</v>
      </c>
      <c r="J19" t="s">
        <v>40</v>
      </c>
      <c r="K19" s="11">
        <v>0.24</v>
      </c>
    </row>
    <row r="20" spans="1:11" x14ac:dyDescent="0.25">
      <c r="B20" t="s">
        <v>54</v>
      </c>
      <c r="C20" t="s">
        <v>338</v>
      </c>
      <c r="D20" t="s">
        <v>38</v>
      </c>
      <c r="E20" t="s">
        <v>1297</v>
      </c>
      <c r="F20" t="s">
        <v>424</v>
      </c>
      <c r="G20" s="7">
        <v>5.76</v>
      </c>
      <c r="H20" s="7">
        <v>5.07</v>
      </c>
      <c r="I20" s="7">
        <f t="shared" si="1"/>
        <v>0.6899999999999995</v>
      </c>
      <c r="J20" t="s">
        <v>40</v>
      </c>
      <c r="K20" s="11"/>
    </row>
    <row r="21" spans="1:11" x14ac:dyDescent="0.25">
      <c r="B21" t="s">
        <v>54</v>
      </c>
      <c r="C21" t="s">
        <v>37</v>
      </c>
      <c r="D21" t="s">
        <v>38</v>
      </c>
      <c r="E21" t="s">
        <v>1297</v>
      </c>
      <c r="F21" t="s">
        <v>426</v>
      </c>
      <c r="G21" s="7">
        <v>4.8</v>
      </c>
      <c r="H21" s="7">
        <v>4.22</v>
      </c>
      <c r="I21" s="7">
        <f t="shared" si="1"/>
        <v>0.58000000000000007</v>
      </c>
      <c r="J21" t="s">
        <v>40</v>
      </c>
      <c r="K21" s="11"/>
    </row>
    <row r="22" spans="1:11" x14ac:dyDescent="0.25">
      <c r="K22" s="11"/>
    </row>
    <row r="23" spans="1:11" x14ac:dyDescent="0.25">
      <c r="A23" t="s">
        <v>340</v>
      </c>
      <c r="B23" t="s">
        <v>341</v>
      </c>
      <c r="C23" t="s">
        <v>338</v>
      </c>
      <c r="D23" t="s">
        <v>342</v>
      </c>
      <c r="E23" t="s">
        <v>343</v>
      </c>
      <c r="F23" t="s">
        <v>425</v>
      </c>
      <c r="G23" s="7">
        <v>0</v>
      </c>
      <c r="H23" s="7">
        <v>0</v>
      </c>
      <c r="I23" s="7">
        <f>G23-H23</f>
        <v>0</v>
      </c>
      <c r="J23" t="s">
        <v>40</v>
      </c>
      <c r="K23" s="11"/>
    </row>
    <row r="24" spans="1:11" x14ac:dyDescent="0.25">
      <c r="B24" t="s">
        <v>341</v>
      </c>
      <c r="C24" t="s">
        <v>338</v>
      </c>
      <c r="D24" t="s">
        <v>38</v>
      </c>
      <c r="E24" t="s">
        <v>343</v>
      </c>
      <c r="F24" t="s">
        <v>424</v>
      </c>
      <c r="G24" s="7">
        <v>15</v>
      </c>
      <c r="H24" s="7">
        <v>13.2</v>
      </c>
      <c r="I24" s="7">
        <f>G24-H24</f>
        <v>1.8000000000000007</v>
      </c>
      <c r="J24" t="s">
        <v>40</v>
      </c>
      <c r="K24" s="11">
        <v>0.6</v>
      </c>
    </row>
    <row r="25" spans="1:11" x14ac:dyDescent="0.25">
      <c r="B25" t="s">
        <v>341</v>
      </c>
      <c r="C25" t="s">
        <v>37</v>
      </c>
      <c r="D25" t="s">
        <v>38</v>
      </c>
      <c r="E25" t="s">
        <v>343</v>
      </c>
      <c r="F25" t="s">
        <v>426</v>
      </c>
      <c r="G25" s="7">
        <v>12.5</v>
      </c>
      <c r="H25" s="7">
        <v>11</v>
      </c>
      <c r="I25" s="7">
        <f>G25-H25</f>
        <v>1.5</v>
      </c>
      <c r="J25" t="s">
        <v>40</v>
      </c>
      <c r="K25" s="11">
        <v>0.5</v>
      </c>
    </row>
    <row r="26" spans="1:11" x14ac:dyDescent="0.25">
      <c r="B26" t="s">
        <v>341</v>
      </c>
      <c r="C26" t="s">
        <v>338</v>
      </c>
      <c r="D26" t="s">
        <v>342</v>
      </c>
      <c r="E26" t="s">
        <v>1299</v>
      </c>
      <c r="F26" t="s">
        <v>425</v>
      </c>
      <c r="G26" s="7">
        <v>0</v>
      </c>
      <c r="H26" s="7">
        <v>0</v>
      </c>
      <c r="I26" s="7">
        <v>0</v>
      </c>
      <c r="J26" t="s">
        <v>40</v>
      </c>
      <c r="K26" s="11"/>
    </row>
    <row r="27" spans="1:11" x14ac:dyDescent="0.25">
      <c r="B27" t="s">
        <v>341</v>
      </c>
      <c r="C27" t="s">
        <v>338</v>
      </c>
      <c r="D27" t="s">
        <v>38</v>
      </c>
      <c r="E27" t="s">
        <v>1299</v>
      </c>
      <c r="F27" t="s">
        <v>424</v>
      </c>
      <c r="G27" s="7">
        <v>12.36</v>
      </c>
      <c r="H27" s="7">
        <v>10.88</v>
      </c>
      <c r="I27" s="7">
        <v>0</v>
      </c>
      <c r="J27" t="s">
        <v>40</v>
      </c>
      <c r="K27" s="11"/>
    </row>
    <row r="28" spans="1:11" x14ac:dyDescent="0.25">
      <c r="B28" t="s">
        <v>341</v>
      </c>
      <c r="C28" t="s">
        <v>37</v>
      </c>
      <c r="D28" t="s">
        <v>38</v>
      </c>
      <c r="E28" t="s">
        <v>1299</v>
      </c>
      <c r="F28" t="s">
        <v>426</v>
      </c>
      <c r="G28" s="7">
        <v>10.029999999999999</v>
      </c>
      <c r="H28" s="7">
        <v>9.06</v>
      </c>
      <c r="I28" s="7">
        <v>0</v>
      </c>
      <c r="J28" t="s">
        <v>40</v>
      </c>
      <c r="K28" s="11"/>
    </row>
    <row r="29" spans="1:11" x14ac:dyDescent="0.25">
      <c r="K29" s="11"/>
    </row>
    <row r="30" spans="1:11" x14ac:dyDescent="0.25">
      <c r="A30" t="s">
        <v>344</v>
      </c>
      <c r="B30" t="s">
        <v>56</v>
      </c>
      <c r="C30" t="s">
        <v>338</v>
      </c>
      <c r="D30" t="s">
        <v>38</v>
      </c>
      <c r="E30" t="s">
        <v>57</v>
      </c>
      <c r="F30" t="s">
        <v>424</v>
      </c>
      <c r="G30" s="7">
        <v>12</v>
      </c>
      <c r="H30" s="7">
        <v>10.56</v>
      </c>
      <c r="I30" s="7">
        <f t="shared" ref="I30:I59" si="2">G30-H30</f>
        <v>1.4399999999999995</v>
      </c>
      <c r="J30" t="s">
        <v>40</v>
      </c>
      <c r="K30" s="11">
        <v>0.38</v>
      </c>
    </row>
    <row r="31" spans="1:11" x14ac:dyDescent="0.25">
      <c r="B31" t="s">
        <v>56</v>
      </c>
      <c r="C31" t="s">
        <v>37</v>
      </c>
      <c r="D31" t="s">
        <v>38</v>
      </c>
      <c r="E31" t="s">
        <v>57</v>
      </c>
      <c r="F31" t="s">
        <v>426</v>
      </c>
      <c r="G31" s="7">
        <v>10</v>
      </c>
      <c r="H31" s="7">
        <v>8.8000000000000007</v>
      </c>
      <c r="I31" s="7">
        <f t="shared" si="2"/>
        <v>1.1999999999999993</v>
      </c>
      <c r="J31" t="s">
        <v>40</v>
      </c>
      <c r="K31" s="11">
        <v>0.32</v>
      </c>
    </row>
    <row r="32" spans="1:11" x14ac:dyDescent="0.25">
      <c r="B32" t="s">
        <v>56</v>
      </c>
      <c r="C32" t="s">
        <v>338</v>
      </c>
      <c r="D32" t="s">
        <v>38</v>
      </c>
      <c r="E32" t="s">
        <v>1305</v>
      </c>
      <c r="F32" t="s">
        <v>424</v>
      </c>
      <c r="G32" s="7">
        <v>9.36</v>
      </c>
      <c r="H32" s="7">
        <v>8.24</v>
      </c>
      <c r="I32" s="7">
        <f t="shared" si="2"/>
        <v>1.1199999999999992</v>
      </c>
      <c r="J32" t="s">
        <v>40</v>
      </c>
      <c r="K32" s="11"/>
    </row>
    <row r="33" spans="1:11" x14ac:dyDescent="0.25">
      <c r="B33" t="s">
        <v>56</v>
      </c>
      <c r="C33" t="s">
        <v>37</v>
      </c>
      <c r="D33" t="s">
        <v>38</v>
      </c>
      <c r="E33" t="s">
        <v>1305</v>
      </c>
      <c r="F33" t="s">
        <v>426</v>
      </c>
      <c r="G33" s="7">
        <v>7.8</v>
      </c>
      <c r="H33" s="7">
        <v>6.86</v>
      </c>
      <c r="I33" s="7">
        <f t="shared" si="2"/>
        <v>0.9399999999999995</v>
      </c>
      <c r="J33" t="s">
        <v>40</v>
      </c>
      <c r="K33" s="11"/>
    </row>
    <row r="34" spans="1:11" x14ac:dyDescent="0.25">
      <c r="A34" t="s">
        <v>345</v>
      </c>
      <c r="B34" t="s">
        <v>58</v>
      </c>
      <c r="C34" t="s">
        <v>338</v>
      </c>
      <c r="D34" t="s">
        <v>342</v>
      </c>
      <c r="E34" t="s">
        <v>59</v>
      </c>
      <c r="F34" t="s">
        <v>425</v>
      </c>
      <c r="G34" s="7">
        <v>0</v>
      </c>
      <c r="H34" s="7">
        <v>0</v>
      </c>
      <c r="I34" s="7">
        <f t="shared" si="2"/>
        <v>0</v>
      </c>
      <c r="J34" t="s">
        <v>40</v>
      </c>
      <c r="K34" s="11"/>
    </row>
    <row r="35" spans="1:11" x14ac:dyDescent="0.25">
      <c r="B35" t="s">
        <v>58</v>
      </c>
      <c r="C35" t="s">
        <v>338</v>
      </c>
      <c r="D35" t="s">
        <v>38</v>
      </c>
      <c r="E35" t="s">
        <v>59</v>
      </c>
      <c r="F35" t="s">
        <v>424</v>
      </c>
      <c r="G35" s="7">
        <v>27.6</v>
      </c>
      <c r="H35" s="7">
        <v>24.29</v>
      </c>
      <c r="I35" s="7">
        <f t="shared" si="2"/>
        <v>3.3100000000000023</v>
      </c>
      <c r="J35" t="s">
        <v>40</v>
      </c>
      <c r="K35" s="11">
        <v>0.96</v>
      </c>
    </row>
    <row r="36" spans="1:11" x14ac:dyDescent="0.25">
      <c r="B36" t="s">
        <v>58</v>
      </c>
      <c r="C36" t="s">
        <v>37</v>
      </c>
      <c r="D36" t="s">
        <v>38</v>
      </c>
      <c r="E36" t="s">
        <v>59</v>
      </c>
      <c r="F36" t="s">
        <v>426</v>
      </c>
      <c r="G36" s="7">
        <v>23</v>
      </c>
      <c r="H36" s="7">
        <v>20.239999999999998</v>
      </c>
      <c r="I36" s="7">
        <f t="shared" si="2"/>
        <v>2.7600000000000016</v>
      </c>
      <c r="J36" t="s">
        <v>40</v>
      </c>
      <c r="K36" s="11">
        <v>0.8</v>
      </c>
    </row>
    <row r="37" spans="1:11" x14ac:dyDescent="0.25">
      <c r="B37" t="s">
        <v>58</v>
      </c>
      <c r="C37" t="s">
        <v>338</v>
      </c>
      <c r="D37" t="s">
        <v>342</v>
      </c>
      <c r="E37" t="s">
        <v>1306</v>
      </c>
      <c r="F37" t="s">
        <v>425</v>
      </c>
      <c r="G37" s="7">
        <v>0</v>
      </c>
      <c r="H37" s="7">
        <v>0</v>
      </c>
      <c r="I37" s="7">
        <f t="shared" si="2"/>
        <v>0</v>
      </c>
      <c r="J37" t="s">
        <v>40</v>
      </c>
      <c r="K37" s="11"/>
    </row>
    <row r="38" spans="1:11" x14ac:dyDescent="0.25">
      <c r="B38" t="s">
        <v>58</v>
      </c>
      <c r="C38" t="s">
        <v>338</v>
      </c>
      <c r="D38" t="s">
        <v>38</v>
      </c>
      <c r="E38" t="s">
        <v>1306</v>
      </c>
      <c r="F38" t="s">
        <v>424</v>
      </c>
      <c r="G38" s="7">
        <v>24.96</v>
      </c>
      <c r="H38" s="7">
        <v>21.97</v>
      </c>
      <c r="I38" s="7">
        <f t="shared" si="2"/>
        <v>2.990000000000002</v>
      </c>
      <c r="J38" t="s">
        <v>40</v>
      </c>
      <c r="K38" s="11"/>
    </row>
    <row r="39" spans="1:11" x14ac:dyDescent="0.25">
      <c r="B39" t="s">
        <v>58</v>
      </c>
      <c r="C39" t="s">
        <v>37</v>
      </c>
      <c r="D39" t="s">
        <v>38</v>
      </c>
      <c r="E39" t="s">
        <v>1306</v>
      </c>
      <c r="F39" t="s">
        <v>426</v>
      </c>
      <c r="G39" s="7">
        <v>20.8</v>
      </c>
      <c r="H39" s="7">
        <v>18.3</v>
      </c>
      <c r="I39" s="7">
        <f t="shared" si="2"/>
        <v>2.5</v>
      </c>
      <c r="J39" t="s">
        <v>40</v>
      </c>
      <c r="K39" s="11"/>
    </row>
    <row r="40" spans="1:11" x14ac:dyDescent="0.25">
      <c r="A40" t="s">
        <v>346</v>
      </c>
      <c r="B40" t="s">
        <v>60</v>
      </c>
      <c r="C40" t="s">
        <v>338</v>
      </c>
      <c r="D40" t="s">
        <v>342</v>
      </c>
      <c r="E40" t="s">
        <v>61</v>
      </c>
      <c r="F40" t="s">
        <v>425</v>
      </c>
      <c r="G40" s="7">
        <v>0</v>
      </c>
      <c r="H40" s="7">
        <v>0</v>
      </c>
      <c r="I40" s="7">
        <f t="shared" si="2"/>
        <v>0</v>
      </c>
      <c r="J40" t="s">
        <v>40</v>
      </c>
      <c r="K40" s="11"/>
    </row>
    <row r="41" spans="1:11" x14ac:dyDescent="0.25">
      <c r="B41" t="s">
        <v>60</v>
      </c>
      <c r="C41" t="s">
        <v>338</v>
      </c>
      <c r="D41" t="s">
        <v>38</v>
      </c>
      <c r="E41" t="s">
        <v>61</v>
      </c>
      <c r="F41" t="s">
        <v>424</v>
      </c>
      <c r="G41" s="7">
        <v>45.6</v>
      </c>
      <c r="H41" s="7">
        <v>40.130000000000003</v>
      </c>
      <c r="I41" s="7">
        <f t="shared" si="2"/>
        <v>5.4699999999999989</v>
      </c>
      <c r="J41" t="s">
        <v>40</v>
      </c>
      <c r="K41" s="11">
        <v>1.68</v>
      </c>
    </row>
    <row r="42" spans="1:11" x14ac:dyDescent="0.25">
      <c r="B42" t="s">
        <v>60</v>
      </c>
      <c r="C42" t="s">
        <v>37</v>
      </c>
      <c r="D42" t="s">
        <v>38</v>
      </c>
      <c r="E42" t="s">
        <v>61</v>
      </c>
      <c r="F42" t="s">
        <v>426</v>
      </c>
      <c r="G42" s="7">
        <v>38</v>
      </c>
      <c r="H42" s="7">
        <v>33.44</v>
      </c>
      <c r="I42" s="7">
        <f t="shared" si="2"/>
        <v>4.5600000000000023</v>
      </c>
      <c r="J42" t="s">
        <v>40</v>
      </c>
      <c r="K42" s="11">
        <v>1.4</v>
      </c>
    </row>
    <row r="43" spans="1:11" x14ac:dyDescent="0.25">
      <c r="B43" t="s">
        <v>60</v>
      </c>
      <c r="C43" t="s">
        <v>338</v>
      </c>
      <c r="D43" t="s">
        <v>342</v>
      </c>
      <c r="E43" t="s">
        <v>1307</v>
      </c>
      <c r="F43" t="s">
        <v>425</v>
      </c>
      <c r="G43" s="7">
        <v>0</v>
      </c>
      <c r="H43" s="7">
        <v>0</v>
      </c>
      <c r="I43" s="7">
        <f t="shared" si="2"/>
        <v>0</v>
      </c>
      <c r="J43" t="s">
        <v>40</v>
      </c>
      <c r="K43" s="11"/>
    </row>
    <row r="44" spans="1:11" x14ac:dyDescent="0.25">
      <c r="B44" t="s">
        <v>60</v>
      </c>
      <c r="C44" t="s">
        <v>338</v>
      </c>
      <c r="D44" t="s">
        <v>38</v>
      </c>
      <c r="E44" t="s">
        <v>1307</v>
      </c>
      <c r="F44" t="s">
        <v>424</v>
      </c>
      <c r="G44" s="7">
        <v>42.96</v>
      </c>
      <c r="H44" s="7">
        <v>37.81</v>
      </c>
      <c r="I44" s="7">
        <f t="shared" si="2"/>
        <v>5.1499999999999986</v>
      </c>
      <c r="J44" t="s">
        <v>40</v>
      </c>
      <c r="K44" s="11"/>
    </row>
    <row r="45" spans="1:11" x14ac:dyDescent="0.25">
      <c r="B45" t="s">
        <v>60</v>
      </c>
      <c r="C45" t="s">
        <v>37</v>
      </c>
      <c r="D45" t="s">
        <v>38</v>
      </c>
      <c r="E45" t="s">
        <v>1307</v>
      </c>
      <c r="F45" t="s">
        <v>426</v>
      </c>
      <c r="G45" s="7">
        <v>35.799999999999997</v>
      </c>
      <c r="H45" s="7">
        <v>31.5</v>
      </c>
      <c r="I45" s="7">
        <f t="shared" si="2"/>
        <v>4.2999999999999972</v>
      </c>
      <c r="J45" t="s">
        <v>40</v>
      </c>
      <c r="K45" s="11"/>
    </row>
    <row r="46" spans="1:11" x14ac:dyDescent="0.25">
      <c r="A46" t="s">
        <v>347</v>
      </c>
      <c r="B46" t="s">
        <v>60</v>
      </c>
      <c r="C46" t="s">
        <v>338</v>
      </c>
      <c r="D46" t="s">
        <v>38</v>
      </c>
      <c r="E46" t="s">
        <v>62</v>
      </c>
      <c r="F46" t="s">
        <v>424</v>
      </c>
      <c r="G46" s="7">
        <v>45.6</v>
      </c>
      <c r="H46" s="7">
        <v>40.130000000000003</v>
      </c>
      <c r="I46" s="7">
        <f t="shared" si="2"/>
        <v>5.4699999999999989</v>
      </c>
      <c r="J46" t="s">
        <v>40</v>
      </c>
      <c r="K46" s="11">
        <v>1.68</v>
      </c>
    </row>
    <row r="47" spans="1:11" x14ac:dyDescent="0.25">
      <c r="B47" t="s">
        <v>60</v>
      </c>
      <c r="C47" t="s">
        <v>37</v>
      </c>
      <c r="D47" t="s">
        <v>38</v>
      </c>
      <c r="E47" t="s">
        <v>62</v>
      </c>
      <c r="F47" t="s">
        <v>426</v>
      </c>
      <c r="G47" s="7">
        <v>38</v>
      </c>
      <c r="H47" s="7">
        <v>33.44</v>
      </c>
      <c r="I47" s="7">
        <f t="shared" si="2"/>
        <v>4.5600000000000023</v>
      </c>
      <c r="J47" t="s">
        <v>40</v>
      </c>
      <c r="K47" s="11">
        <v>1.4</v>
      </c>
    </row>
    <row r="48" spans="1:11" x14ac:dyDescent="0.25">
      <c r="B48" t="s">
        <v>60</v>
      </c>
      <c r="C48" t="s">
        <v>338</v>
      </c>
      <c r="D48" t="s">
        <v>342</v>
      </c>
      <c r="E48" t="s">
        <v>62</v>
      </c>
      <c r="F48" t="s">
        <v>425</v>
      </c>
      <c r="G48" s="7">
        <v>0</v>
      </c>
      <c r="H48" s="7">
        <v>0</v>
      </c>
      <c r="I48" s="7">
        <f t="shared" si="2"/>
        <v>0</v>
      </c>
      <c r="J48" t="s">
        <v>40</v>
      </c>
      <c r="K48" s="11"/>
    </row>
    <row r="49" spans="1:11" x14ac:dyDescent="0.25">
      <c r="B49" t="s">
        <v>63</v>
      </c>
      <c r="C49" t="s">
        <v>338</v>
      </c>
      <c r="D49" t="s">
        <v>38</v>
      </c>
      <c r="E49" t="s">
        <v>64</v>
      </c>
      <c r="F49" t="s">
        <v>424</v>
      </c>
      <c r="G49" s="7">
        <v>0.24</v>
      </c>
      <c r="H49" s="7">
        <v>0.21</v>
      </c>
      <c r="I49" s="7">
        <f t="shared" si="2"/>
        <v>0.03</v>
      </c>
      <c r="J49" t="s">
        <v>40</v>
      </c>
      <c r="K49" s="11">
        <v>0.01</v>
      </c>
    </row>
    <row r="50" spans="1:11" x14ac:dyDescent="0.25">
      <c r="B50" t="s">
        <v>63</v>
      </c>
      <c r="C50" t="s">
        <v>37</v>
      </c>
      <c r="D50" t="s">
        <v>38</v>
      </c>
      <c r="E50" t="s">
        <v>64</v>
      </c>
      <c r="F50" t="s">
        <v>426</v>
      </c>
      <c r="G50" s="7">
        <v>0.19999999999999998</v>
      </c>
      <c r="H50" s="7">
        <v>0.17600000000000002</v>
      </c>
      <c r="I50" s="7">
        <f t="shared" si="2"/>
        <v>2.3999999999999966E-2</v>
      </c>
      <c r="J50" t="s">
        <v>40</v>
      </c>
      <c r="K50" s="11">
        <v>0.01</v>
      </c>
    </row>
    <row r="51" spans="1:11" x14ac:dyDescent="0.25">
      <c r="A51" t="s">
        <v>348</v>
      </c>
      <c r="B51" t="s">
        <v>65</v>
      </c>
      <c r="C51" t="s">
        <v>338</v>
      </c>
      <c r="D51" t="s">
        <v>38</v>
      </c>
      <c r="E51" t="s">
        <v>66</v>
      </c>
      <c r="F51" t="s">
        <v>424</v>
      </c>
      <c r="G51" s="7">
        <v>4.8</v>
      </c>
      <c r="H51" s="7">
        <v>4.2240000000000002</v>
      </c>
      <c r="I51" s="7">
        <f t="shared" si="2"/>
        <v>0.57599999999999962</v>
      </c>
      <c r="J51" t="s">
        <v>40</v>
      </c>
      <c r="K51" s="11">
        <v>0.19</v>
      </c>
    </row>
    <row r="52" spans="1:11" x14ac:dyDescent="0.25">
      <c r="B52" t="s">
        <v>65</v>
      </c>
      <c r="C52" t="s">
        <v>37</v>
      </c>
      <c r="D52" t="s">
        <v>38</v>
      </c>
      <c r="E52" t="s">
        <v>66</v>
      </c>
      <c r="F52" t="s">
        <v>426</v>
      </c>
      <c r="G52" s="7">
        <v>4</v>
      </c>
      <c r="H52" s="7">
        <v>3.52</v>
      </c>
      <c r="I52" s="7">
        <f t="shared" si="2"/>
        <v>0.48</v>
      </c>
      <c r="J52" t="s">
        <v>40</v>
      </c>
      <c r="K52" s="11">
        <v>0.16</v>
      </c>
    </row>
    <row r="53" spans="1:11" x14ac:dyDescent="0.25">
      <c r="B53" t="s">
        <v>65</v>
      </c>
      <c r="C53" t="s">
        <v>338</v>
      </c>
      <c r="D53" t="s">
        <v>38</v>
      </c>
      <c r="E53" t="s">
        <v>1308</v>
      </c>
      <c r="F53" t="s">
        <v>424</v>
      </c>
      <c r="G53" s="7">
        <v>4.2</v>
      </c>
      <c r="H53" s="7">
        <v>3.7</v>
      </c>
      <c r="I53" s="7">
        <f t="shared" si="2"/>
        <v>0.5</v>
      </c>
      <c r="J53" t="s">
        <v>40</v>
      </c>
      <c r="K53" s="11"/>
    </row>
    <row r="54" spans="1:11" x14ac:dyDescent="0.25">
      <c r="B54" t="s">
        <v>65</v>
      </c>
      <c r="C54" t="s">
        <v>37</v>
      </c>
      <c r="D54" t="s">
        <v>38</v>
      </c>
      <c r="E54" t="s">
        <v>1308</v>
      </c>
      <c r="F54" t="s">
        <v>426</v>
      </c>
      <c r="G54" s="7">
        <v>3.85</v>
      </c>
      <c r="H54" s="7">
        <v>3.08</v>
      </c>
      <c r="I54" s="7">
        <f t="shared" si="2"/>
        <v>0.77</v>
      </c>
      <c r="J54" t="s">
        <v>40</v>
      </c>
      <c r="K54" s="11"/>
    </row>
    <row r="55" spans="1:11" x14ac:dyDescent="0.25">
      <c r="A55" t="s">
        <v>349</v>
      </c>
      <c r="B55" t="s">
        <v>67</v>
      </c>
      <c r="C55" t="s">
        <v>338</v>
      </c>
      <c r="D55" t="s">
        <v>38</v>
      </c>
      <c r="E55" t="s">
        <v>68</v>
      </c>
      <c r="F55" t="s">
        <v>424</v>
      </c>
      <c r="G55" s="7">
        <v>14.4</v>
      </c>
      <c r="H55" s="7">
        <v>12.671999999999999</v>
      </c>
      <c r="I55" s="7">
        <f t="shared" si="2"/>
        <v>1.7280000000000015</v>
      </c>
      <c r="J55" t="s">
        <v>40</v>
      </c>
      <c r="K55" s="11">
        <v>0.57999999999999996</v>
      </c>
    </row>
    <row r="56" spans="1:11" x14ac:dyDescent="0.25">
      <c r="B56" t="s">
        <v>67</v>
      </c>
      <c r="C56" t="s">
        <v>37</v>
      </c>
      <c r="D56" t="s">
        <v>38</v>
      </c>
      <c r="E56" t="s">
        <v>68</v>
      </c>
      <c r="F56" t="s">
        <v>426</v>
      </c>
      <c r="G56" s="7">
        <v>12</v>
      </c>
      <c r="H56" s="7">
        <v>10.56</v>
      </c>
      <c r="I56" s="7">
        <f t="shared" si="2"/>
        <v>1.4399999999999995</v>
      </c>
      <c r="J56" t="s">
        <v>40</v>
      </c>
      <c r="K56" s="11">
        <v>0.48</v>
      </c>
    </row>
    <row r="57" spans="1:11" x14ac:dyDescent="0.25">
      <c r="B57" t="s">
        <v>69</v>
      </c>
      <c r="C57" t="s">
        <v>338</v>
      </c>
      <c r="D57" t="s">
        <v>38</v>
      </c>
      <c r="E57" t="s">
        <v>70</v>
      </c>
      <c r="F57" t="s">
        <v>424</v>
      </c>
      <c r="G57" s="7">
        <v>3.6</v>
      </c>
      <c r="H57" s="7">
        <v>3.17</v>
      </c>
      <c r="I57" s="7">
        <f t="shared" si="2"/>
        <v>0.43000000000000016</v>
      </c>
      <c r="J57" t="s">
        <v>40</v>
      </c>
      <c r="K57" s="11">
        <v>0.14000000000000001</v>
      </c>
    </row>
    <row r="58" spans="1:11" x14ac:dyDescent="0.25">
      <c r="B58" t="s">
        <v>69</v>
      </c>
      <c r="C58" t="s">
        <v>37</v>
      </c>
      <c r="D58" t="s">
        <v>38</v>
      </c>
      <c r="E58" t="s">
        <v>70</v>
      </c>
      <c r="F58" t="s">
        <v>426</v>
      </c>
      <c r="G58" s="7">
        <v>3</v>
      </c>
      <c r="H58" s="7">
        <v>2.64</v>
      </c>
      <c r="I58" s="7">
        <f t="shared" si="2"/>
        <v>0.35999999999999988</v>
      </c>
      <c r="J58" t="s">
        <v>40</v>
      </c>
      <c r="K58" s="11">
        <v>0.12</v>
      </c>
    </row>
    <row r="59" spans="1:11" x14ac:dyDescent="0.25">
      <c r="B59" t="s">
        <v>838</v>
      </c>
      <c r="C59" t="s">
        <v>37</v>
      </c>
      <c r="D59" t="s">
        <v>38</v>
      </c>
      <c r="E59" t="s">
        <v>837</v>
      </c>
      <c r="F59" t="s">
        <v>426</v>
      </c>
      <c r="G59" s="7">
        <v>2</v>
      </c>
      <c r="H59" s="7">
        <v>1.76</v>
      </c>
      <c r="I59" s="7">
        <f t="shared" si="2"/>
        <v>0.24</v>
      </c>
      <c r="J59" t="s">
        <v>40</v>
      </c>
      <c r="K59" s="11"/>
    </row>
    <row r="60" spans="1:11" x14ac:dyDescent="0.25">
      <c r="K60" s="11"/>
    </row>
    <row r="61" spans="1:11" x14ac:dyDescent="0.25">
      <c r="B61" t="s">
        <v>71</v>
      </c>
      <c r="C61" t="s">
        <v>338</v>
      </c>
      <c r="D61" t="s">
        <v>38</v>
      </c>
      <c r="E61" t="s">
        <v>72</v>
      </c>
      <c r="F61" t="s">
        <v>424</v>
      </c>
      <c r="G61" s="7">
        <v>43.2</v>
      </c>
      <c r="H61" s="7">
        <v>38.020000000000003</v>
      </c>
      <c r="I61" s="7">
        <f t="shared" ref="I61:I103" si="3">G61-H61</f>
        <v>5.18</v>
      </c>
      <c r="J61" t="s">
        <v>40</v>
      </c>
      <c r="K61" s="11">
        <v>1.73</v>
      </c>
    </row>
    <row r="62" spans="1:11" x14ac:dyDescent="0.25">
      <c r="B62" t="s">
        <v>71</v>
      </c>
      <c r="C62" t="s">
        <v>37</v>
      </c>
      <c r="D62" t="s">
        <v>38</v>
      </c>
      <c r="E62" t="s">
        <v>72</v>
      </c>
      <c r="F62" t="s">
        <v>426</v>
      </c>
      <c r="G62" s="7">
        <v>36</v>
      </c>
      <c r="H62" s="7">
        <v>31.68</v>
      </c>
      <c r="I62" s="7">
        <f t="shared" si="3"/>
        <v>4.32</v>
      </c>
      <c r="J62" t="s">
        <v>40</v>
      </c>
      <c r="K62" s="11">
        <v>1.44</v>
      </c>
    </row>
    <row r="63" spans="1:11" x14ac:dyDescent="0.25">
      <c r="B63" t="s">
        <v>71</v>
      </c>
      <c r="C63" t="s">
        <v>338</v>
      </c>
      <c r="D63" t="s">
        <v>38</v>
      </c>
      <c r="E63" t="s">
        <v>1300</v>
      </c>
      <c r="F63" t="s">
        <v>424</v>
      </c>
      <c r="G63" s="7">
        <v>33.800000000000004</v>
      </c>
      <c r="H63" s="7">
        <v>29.744000000000003</v>
      </c>
      <c r="I63" s="7">
        <f t="shared" si="3"/>
        <v>4.0560000000000009</v>
      </c>
      <c r="J63" t="s">
        <v>40</v>
      </c>
      <c r="K63" s="11">
        <v>1.44</v>
      </c>
    </row>
    <row r="64" spans="1:11" x14ac:dyDescent="0.25">
      <c r="B64" t="s">
        <v>71</v>
      </c>
      <c r="C64" t="s">
        <v>37</v>
      </c>
      <c r="D64" t="s">
        <v>38</v>
      </c>
      <c r="E64" t="s">
        <v>1300</v>
      </c>
      <c r="F64" t="s">
        <v>426</v>
      </c>
      <c r="G64" s="7">
        <v>40.56</v>
      </c>
      <c r="H64" s="7">
        <v>35.695</v>
      </c>
      <c r="I64" s="7">
        <f t="shared" si="3"/>
        <v>4.865000000000002</v>
      </c>
      <c r="J64" t="s">
        <v>40</v>
      </c>
      <c r="K64" s="11">
        <v>1.44</v>
      </c>
    </row>
    <row r="65" spans="2:11" x14ac:dyDescent="0.25">
      <c r="B65" t="s">
        <v>73</v>
      </c>
      <c r="C65" t="s">
        <v>338</v>
      </c>
      <c r="D65" t="s">
        <v>38</v>
      </c>
      <c r="E65" t="s">
        <v>74</v>
      </c>
      <c r="F65" t="s">
        <v>424</v>
      </c>
      <c r="G65" s="7">
        <v>14.4</v>
      </c>
      <c r="H65" s="7">
        <v>12.67</v>
      </c>
      <c r="I65" s="7">
        <f t="shared" si="3"/>
        <v>1.7300000000000004</v>
      </c>
      <c r="J65" t="s">
        <v>40</v>
      </c>
      <c r="K65" s="11">
        <v>0.57999999999999996</v>
      </c>
    </row>
    <row r="66" spans="2:11" x14ac:dyDescent="0.25">
      <c r="B66" t="s">
        <v>73</v>
      </c>
      <c r="C66" t="s">
        <v>37</v>
      </c>
      <c r="D66" t="s">
        <v>38</v>
      </c>
      <c r="E66" t="s">
        <v>74</v>
      </c>
      <c r="F66" t="s">
        <v>426</v>
      </c>
      <c r="G66" s="7">
        <v>12</v>
      </c>
      <c r="H66" s="7">
        <v>10.56</v>
      </c>
      <c r="I66" s="7">
        <f t="shared" si="3"/>
        <v>1.4399999999999995</v>
      </c>
      <c r="J66" t="s">
        <v>40</v>
      </c>
      <c r="K66" s="11">
        <v>0.48</v>
      </c>
    </row>
    <row r="67" spans="2:11" x14ac:dyDescent="0.25">
      <c r="B67" t="s">
        <v>75</v>
      </c>
      <c r="C67" t="s">
        <v>338</v>
      </c>
      <c r="D67" t="s">
        <v>38</v>
      </c>
      <c r="E67" t="s">
        <v>76</v>
      </c>
      <c r="F67" t="s">
        <v>424</v>
      </c>
      <c r="G67" s="7">
        <v>14.4</v>
      </c>
      <c r="H67" s="7">
        <v>12.67</v>
      </c>
      <c r="I67" s="7">
        <f t="shared" si="3"/>
        <v>1.7300000000000004</v>
      </c>
      <c r="J67" t="s">
        <v>40</v>
      </c>
      <c r="K67" s="11">
        <v>120</v>
      </c>
    </row>
    <row r="68" spans="2:11" x14ac:dyDescent="0.25">
      <c r="B68" t="s">
        <v>75</v>
      </c>
      <c r="C68" t="s">
        <v>37</v>
      </c>
      <c r="D68" t="s">
        <v>38</v>
      </c>
      <c r="E68" t="s">
        <v>76</v>
      </c>
      <c r="F68" t="s">
        <v>426</v>
      </c>
      <c r="G68" s="7">
        <v>12</v>
      </c>
      <c r="H68" s="7">
        <v>10.56</v>
      </c>
      <c r="I68" s="7">
        <f t="shared" si="3"/>
        <v>1.4399999999999995</v>
      </c>
      <c r="J68" t="s">
        <v>40</v>
      </c>
      <c r="K68" s="11">
        <v>100</v>
      </c>
    </row>
    <row r="69" spans="2:11" x14ac:dyDescent="0.25">
      <c r="B69" t="s">
        <v>75</v>
      </c>
      <c r="C69" t="s">
        <v>338</v>
      </c>
      <c r="D69" t="s">
        <v>38</v>
      </c>
      <c r="E69" t="s">
        <v>797</v>
      </c>
      <c r="F69" t="s">
        <v>424</v>
      </c>
      <c r="G69" s="7">
        <v>600</v>
      </c>
      <c r="H69" s="7">
        <v>528</v>
      </c>
      <c r="I69" s="7">
        <f t="shared" si="3"/>
        <v>72</v>
      </c>
      <c r="J69" t="s">
        <v>40</v>
      </c>
      <c r="K69" s="11"/>
    </row>
    <row r="70" spans="2:11" x14ac:dyDescent="0.25">
      <c r="B70" t="s">
        <v>75</v>
      </c>
      <c r="C70" t="s">
        <v>37</v>
      </c>
      <c r="D70" t="s">
        <v>38</v>
      </c>
      <c r="E70" t="s">
        <v>797</v>
      </c>
      <c r="F70" t="s">
        <v>426</v>
      </c>
      <c r="G70" s="7">
        <v>500</v>
      </c>
      <c r="H70" s="7">
        <v>440</v>
      </c>
      <c r="I70" s="7">
        <f t="shared" si="3"/>
        <v>60</v>
      </c>
      <c r="J70" t="s">
        <v>40</v>
      </c>
      <c r="K70" s="11"/>
    </row>
    <row r="71" spans="2:11" x14ac:dyDescent="0.25">
      <c r="B71" t="s">
        <v>445</v>
      </c>
      <c r="C71" t="s">
        <v>338</v>
      </c>
      <c r="D71" t="s">
        <v>38</v>
      </c>
      <c r="E71" t="s">
        <v>444</v>
      </c>
      <c r="F71" t="s">
        <v>424</v>
      </c>
      <c r="G71" s="7">
        <v>3.6</v>
      </c>
      <c r="H71" s="7">
        <v>3.17</v>
      </c>
      <c r="I71" s="7">
        <f t="shared" si="3"/>
        <v>0.43000000000000016</v>
      </c>
      <c r="J71" t="s">
        <v>40</v>
      </c>
      <c r="K71" s="11"/>
    </row>
    <row r="72" spans="2:11" x14ac:dyDescent="0.25">
      <c r="B72" t="s">
        <v>445</v>
      </c>
      <c r="C72" t="s">
        <v>37</v>
      </c>
      <c r="D72" t="s">
        <v>38</v>
      </c>
      <c r="E72" t="s">
        <v>444</v>
      </c>
      <c r="F72" t="s">
        <v>426</v>
      </c>
      <c r="G72" s="7">
        <v>3</v>
      </c>
      <c r="H72" s="7">
        <v>2.64</v>
      </c>
      <c r="I72" s="7">
        <f t="shared" si="3"/>
        <v>0.35999999999999988</v>
      </c>
      <c r="J72" t="s">
        <v>40</v>
      </c>
      <c r="K72" s="11"/>
    </row>
    <row r="73" spans="2:11" x14ac:dyDescent="0.25">
      <c r="B73" t="s">
        <v>77</v>
      </c>
      <c r="C73" t="s">
        <v>338</v>
      </c>
      <c r="D73" t="s">
        <v>38</v>
      </c>
      <c r="E73" t="s">
        <v>422</v>
      </c>
      <c r="F73" t="s">
        <v>424</v>
      </c>
      <c r="G73" s="7">
        <v>6.24</v>
      </c>
      <c r="H73" s="7">
        <v>5.49</v>
      </c>
      <c r="I73" s="7">
        <f t="shared" si="3"/>
        <v>0.75</v>
      </c>
      <c r="J73" t="s">
        <v>40</v>
      </c>
      <c r="K73" s="11">
        <v>0.25</v>
      </c>
    </row>
    <row r="74" spans="2:11" x14ac:dyDescent="0.25">
      <c r="B74" t="s">
        <v>77</v>
      </c>
      <c r="C74" t="s">
        <v>37</v>
      </c>
      <c r="D74" t="s">
        <v>38</v>
      </c>
      <c r="E74" t="s">
        <v>422</v>
      </c>
      <c r="F74" t="s">
        <v>426</v>
      </c>
      <c r="G74" s="7">
        <v>5.2</v>
      </c>
      <c r="H74" s="7">
        <v>4.58</v>
      </c>
      <c r="I74" s="7">
        <f t="shared" si="3"/>
        <v>0.62000000000000011</v>
      </c>
      <c r="J74" t="s">
        <v>40</v>
      </c>
      <c r="K74" s="11">
        <v>0.21</v>
      </c>
    </row>
    <row r="75" spans="2:11" x14ac:dyDescent="0.25">
      <c r="B75" t="s">
        <v>77</v>
      </c>
      <c r="C75" t="s">
        <v>338</v>
      </c>
      <c r="D75" t="s">
        <v>38</v>
      </c>
      <c r="E75" t="s">
        <v>78</v>
      </c>
      <c r="F75" t="s">
        <v>424</v>
      </c>
      <c r="G75" s="7">
        <v>6.24</v>
      </c>
      <c r="H75" s="7">
        <v>5.49</v>
      </c>
      <c r="I75" s="7">
        <f t="shared" si="3"/>
        <v>0.75</v>
      </c>
      <c r="J75" t="s">
        <v>40</v>
      </c>
      <c r="K75" s="11">
        <v>0.14000000000000001</v>
      </c>
    </row>
    <row r="76" spans="2:11" x14ac:dyDescent="0.25">
      <c r="B76" t="s">
        <v>77</v>
      </c>
      <c r="C76" t="s">
        <v>37</v>
      </c>
      <c r="D76" t="s">
        <v>38</v>
      </c>
      <c r="E76" t="s">
        <v>78</v>
      </c>
      <c r="F76" t="s">
        <v>426</v>
      </c>
      <c r="G76" s="7">
        <v>5.2</v>
      </c>
      <c r="H76" s="7">
        <v>4.5759999999999996</v>
      </c>
      <c r="I76" s="7">
        <f t="shared" si="3"/>
        <v>0.62400000000000055</v>
      </c>
      <c r="J76" t="s">
        <v>40</v>
      </c>
      <c r="K76" s="11">
        <v>0.12</v>
      </c>
    </row>
    <row r="77" spans="2:11" x14ac:dyDescent="0.25">
      <c r="B77" t="s">
        <v>716</v>
      </c>
      <c r="C77" t="s">
        <v>338</v>
      </c>
      <c r="D77" t="s">
        <v>38</v>
      </c>
      <c r="E77" t="s">
        <v>714</v>
      </c>
      <c r="F77" t="s">
        <v>424</v>
      </c>
      <c r="G77" s="7">
        <v>3.6</v>
      </c>
      <c r="H77" s="7">
        <v>3.17</v>
      </c>
      <c r="I77" s="7">
        <f t="shared" si="3"/>
        <v>0.43000000000000016</v>
      </c>
      <c r="J77" t="s">
        <v>40</v>
      </c>
      <c r="K77" s="11"/>
    </row>
    <row r="78" spans="2:11" x14ac:dyDescent="0.25">
      <c r="B78" t="s">
        <v>716</v>
      </c>
      <c r="C78" t="s">
        <v>37</v>
      </c>
      <c r="D78" t="s">
        <v>38</v>
      </c>
      <c r="E78" t="s">
        <v>714</v>
      </c>
      <c r="F78" t="s">
        <v>426</v>
      </c>
      <c r="G78" s="7">
        <v>3</v>
      </c>
      <c r="H78" s="7">
        <v>2.64</v>
      </c>
      <c r="I78" s="7">
        <f t="shared" si="3"/>
        <v>0.35999999999999988</v>
      </c>
      <c r="J78" t="s">
        <v>40</v>
      </c>
      <c r="K78" s="11"/>
    </row>
    <row r="79" spans="2:11" x14ac:dyDescent="0.25">
      <c r="B79" t="s">
        <v>717</v>
      </c>
      <c r="C79" t="s">
        <v>338</v>
      </c>
      <c r="D79" t="s">
        <v>38</v>
      </c>
      <c r="E79" t="s">
        <v>715</v>
      </c>
      <c r="F79" t="s">
        <v>424</v>
      </c>
      <c r="G79" s="7">
        <v>3.6</v>
      </c>
      <c r="H79" s="7">
        <v>3.17</v>
      </c>
      <c r="I79" s="7">
        <f t="shared" si="3"/>
        <v>0.43000000000000016</v>
      </c>
      <c r="J79" t="s">
        <v>40</v>
      </c>
      <c r="K79" s="11"/>
    </row>
    <row r="80" spans="2:11" x14ac:dyDescent="0.25">
      <c r="B80" t="s">
        <v>717</v>
      </c>
      <c r="C80" t="s">
        <v>37</v>
      </c>
      <c r="D80" t="s">
        <v>38</v>
      </c>
      <c r="E80" t="s">
        <v>715</v>
      </c>
      <c r="F80" t="s">
        <v>426</v>
      </c>
      <c r="G80" s="7">
        <v>3</v>
      </c>
      <c r="H80" s="7">
        <v>2.64</v>
      </c>
      <c r="I80" s="7">
        <f t="shared" si="3"/>
        <v>0.35999999999999988</v>
      </c>
      <c r="J80" t="s">
        <v>40</v>
      </c>
      <c r="K80" s="11"/>
    </row>
    <row r="81" spans="2:11" x14ac:dyDescent="0.25">
      <c r="B81" t="s">
        <v>717</v>
      </c>
      <c r="C81" t="s">
        <v>373</v>
      </c>
      <c r="D81" t="s">
        <v>38</v>
      </c>
      <c r="E81" t="s">
        <v>715</v>
      </c>
      <c r="F81" t="s">
        <v>703</v>
      </c>
      <c r="G81" s="7">
        <v>3</v>
      </c>
      <c r="H81" s="7">
        <v>2.64</v>
      </c>
      <c r="I81" s="7">
        <f t="shared" si="3"/>
        <v>0.35999999999999988</v>
      </c>
      <c r="J81" t="s">
        <v>40</v>
      </c>
      <c r="K81" s="11"/>
    </row>
    <row r="82" spans="2:11" x14ac:dyDescent="0.25">
      <c r="B82" t="s">
        <v>800</v>
      </c>
      <c r="C82" t="s">
        <v>338</v>
      </c>
      <c r="D82" t="s">
        <v>38</v>
      </c>
      <c r="E82" t="s">
        <v>801</v>
      </c>
      <c r="F82" t="s">
        <v>424</v>
      </c>
      <c r="G82" s="7">
        <v>4.2</v>
      </c>
      <c r="H82" s="7">
        <v>3.7</v>
      </c>
      <c r="I82" s="7">
        <f t="shared" si="3"/>
        <v>0.5</v>
      </c>
      <c r="J82" t="s">
        <v>40</v>
      </c>
      <c r="K82" s="11"/>
    </row>
    <row r="83" spans="2:11" x14ac:dyDescent="0.25">
      <c r="B83" t="s">
        <v>800</v>
      </c>
      <c r="C83" t="s">
        <v>37</v>
      </c>
      <c r="D83" t="s">
        <v>38</v>
      </c>
      <c r="E83" t="s">
        <v>801</v>
      </c>
      <c r="F83" t="s">
        <v>426</v>
      </c>
      <c r="G83" s="7">
        <v>3.5</v>
      </c>
      <c r="H83" s="7">
        <v>3.08</v>
      </c>
      <c r="I83" s="7">
        <f t="shared" si="3"/>
        <v>0.41999999999999993</v>
      </c>
      <c r="J83" t="s">
        <v>40</v>
      </c>
      <c r="K83" s="11"/>
    </row>
    <row r="84" spans="2:11" x14ac:dyDescent="0.25">
      <c r="B84" t="s">
        <v>443</v>
      </c>
      <c r="C84" t="s">
        <v>338</v>
      </c>
      <c r="D84" t="s">
        <v>38</v>
      </c>
      <c r="E84" t="s">
        <v>442</v>
      </c>
      <c r="F84" t="s">
        <v>424</v>
      </c>
      <c r="G84" s="7">
        <v>4.8</v>
      </c>
      <c r="H84" s="7">
        <v>4.22</v>
      </c>
      <c r="I84" s="7">
        <f t="shared" si="3"/>
        <v>0.58000000000000007</v>
      </c>
      <c r="J84" t="s">
        <v>40</v>
      </c>
      <c r="K84" s="11">
        <v>0.19</v>
      </c>
    </row>
    <row r="85" spans="2:11" x14ac:dyDescent="0.25">
      <c r="B85" t="s">
        <v>443</v>
      </c>
      <c r="C85" t="s">
        <v>37</v>
      </c>
      <c r="D85" t="s">
        <v>38</v>
      </c>
      <c r="E85" t="s">
        <v>442</v>
      </c>
      <c r="F85" t="s">
        <v>426</v>
      </c>
      <c r="G85" s="7">
        <v>4</v>
      </c>
      <c r="H85" s="7">
        <v>3.52</v>
      </c>
      <c r="I85" s="7">
        <f t="shared" si="3"/>
        <v>0.48</v>
      </c>
      <c r="J85" t="s">
        <v>40</v>
      </c>
      <c r="K85" s="11">
        <v>0.16</v>
      </c>
    </row>
    <row r="86" spans="2:11" x14ac:dyDescent="0.25">
      <c r="B86" t="s">
        <v>754</v>
      </c>
      <c r="C86" t="s">
        <v>338</v>
      </c>
      <c r="D86" t="s">
        <v>38</v>
      </c>
      <c r="E86" t="s">
        <v>748</v>
      </c>
      <c r="F86" t="s">
        <v>426</v>
      </c>
      <c r="G86" s="7">
        <v>1.02</v>
      </c>
      <c r="H86" s="7">
        <v>0.9</v>
      </c>
      <c r="I86" s="7">
        <f t="shared" si="3"/>
        <v>0.12</v>
      </c>
      <c r="J86" t="s">
        <v>40</v>
      </c>
      <c r="K86" s="11"/>
    </row>
    <row r="87" spans="2:11" x14ac:dyDescent="0.25">
      <c r="B87" t="s">
        <v>754</v>
      </c>
      <c r="C87" t="s">
        <v>37</v>
      </c>
      <c r="D87" t="s">
        <v>38</v>
      </c>
      <c r="E87" t="s">
        <v>748</v>
      </c>
      <c r="F87" t="s">
        <v>426</v>
      </c>
      <c r="G87" s="7">
        <v>0.85</v>
      </c>
      <c r="H87" s="7">
        <v>0.75</v>
      </c>
      <c r="I87" s="7">
        <f t="shared" si="3"/>
        <v>9.9999999999999978E-2</v>
      </c>
      <c r="J87" t="s">
        <v>40</v>
      </c>
      <c r="K87" s="11"/>
    </row>
    <row r="88" spans="2:11" x14ac:dyDescent="0.25">
      <c r="B88" t="s">
        <v>755</v>
      </c>
      <c r="C88" t="s">
        <v>338</v>
      </c>
      <c r="D88" t="s">
        <v>38</v>
      </c>
      <c r="E88" t="s">
        <v>749</v>
      </c>
      <c r="F88" t="s">
        <v>426</v>
      </c>
      <c r="G88" s="7">
        <v>150</v>
      </c>
      <c r="H88" s="7">
        <v>132</v>
      </c>
      <c r="I88" s="7">
        <f t="shared" si="3"/>
        <v>18</v>
      </c>
      <c r="J88" t="s">
        <v>40</v>
      </c>
      <c r="K88" s="11"/>
    </row>
    <row r="89" spans="2:11" x14ac:dyDescent="0.25">
      <c r="B89" t="s">
        <v>755</v>
      </c>
      <c r="C89" t="s">
        <v>37</v>
      </c>
      <c r="D89" t="s">
        <v>38</v>
      </c>
      <c r="E89" t="s">
        <v>750</v>
      </c>
      <c r="F89" t="s">
        <v>426</v>
      </c>
      <c r="G89" s="7">
        <v>1500</v>
      </c>
      <c r="H89" s="7">
        <v>1320</v>
      </c>
      <c r="I89" s="7">
        <f t="shared" si="3"/>
        <v>180</v>
      </c>
      <c r="J89" t="s">
        <v>40</v>
      </c>
      <c r="K89" s="11"/>
    </row>
    <row r="90" spans="2:11" x14ac:dyDescent="0.25">
      <c r="B90" t="s">
        <v>755</v>
      </c>
      <c r="C90" t="s">
        <v>37</v>
      </c>
      <c r="D90" t="s">
        <v>38</v>
      </c>
      <c r="E90" t="s">
        <v>751</v>
      </c>
      <c r="F90" t="s">
        <v>426</v>
      </c>
      <c r="G90" s="7">
        <v>250</v>
      </c>
      <c r="H90" s="7">
        <v>220</v>
      </c>
      <c r="I90" s="7">
        <f t="shared" si="3"/>
        <v>30</v>
      </c>
      <c r="J90" t="s">
        <v>40</v>
      </c>
      <c r="K90" s="11"/>
    </row>
    <row r="91" spans="2:11" x14ac:dyDescent="0.25">
      <c r="B91" t="s">
        <v>755</v>
      </c>
      <c r="C91" t="s">
        <v>37</v>
      </c>
      <c r="D91" t="s">
        <v>38</v>
      </c>
      <c r="E91" t="s">
        <v>752</v>
      </c>
      <c r="F91" t="s">
        <v>426</v>
      </c>
      <c r="G91" s="7">
        <v>70</v>
      </c>
      <c r="H91" s="7">
        <v>61.6</v>
      </c>
      <c r="I91" s="7">
        <f t="shared" si="3"/>
        <v>8.3999999999999986</v>
      </c>
      <c r="J91" t="s">
        <v>40</v>
      </c>
      <c r="K91" s="11"/>
    </row>
    <row r="92" spans="2:11" x14ac:dyDescent="0.25">
      <c r="B92" t="s">
        <v>755</v>
      </c>
      <c r="C92" t="s">
        <v>37</v>
      </c>
      <c r="D92" t="s">
        <v>38</v>
      </c>
      <c r="E92" t="s">
        <v>753</v>
      </c>
      <c r="F92" t="s">
        <v>426</v>
      </c>
      <c r="G92" s="7">
        <v>400</v>
      </c>
      <c r="H92" s="7">
        <v>352</v>
      </c>
      <c r="I92" s="7">
        <f t="shared" si="3"/>
        <v>48</v>
      </c>
      <c r="J92" t="s">
        <v>40</v>
      </c>
      <c r="K92" s="11"/>
    </row>
    <row r="93" spans="2:11" x14ac:dyDescent="0.25">
      <c r="B93" t="s">
        <v>756</v>
      </c>
      <c r="C93" t="s">
        <v>338</v>
      </c>
      <c r="D93" t="s">
        <v>38</v>
      </c>
      <c r="E93" t="s">
        <v>757</v>
      </c>
      <c r="F93" t="s">
        <v>424</v>
      </c>
      <c r="G93" s="7">
        <v>3999.96</v>
      </c>
      <c r="H93" s="7">
        <v>3519.97</v>
      </c>
      <c r="I93" s="7">
        <f t="shared" si="3"/>
        <v>479.99000000000024</v>
      </c>
      <c r="J93" t="s">
        <v>40</v>
      </c>
      <c r="K93" s="11"/>
    </row>
    <row r="94" spans="2:11" x14ac:dyDescent="0.25">
      <c r="B94" t="s">
        <v>756</v>
      </c>
      <c r="C94" t="s">
        <v>37</v>
      </c>
      <c r="D94" t="s">
        <v>38</v>
      </c>
      <c r="E94" t="s">
        <v>757</v>
      </c>
      <c r="F94" t="s">
        <v>426</v>
      </c>
      <c r="G94" s="7">
        <v>3333.3</v>
      </c>
      <c r="H94" s="7">
        <v>2933.3</v>
      </c>
      <c r="I94" s="7">
        <f t="shared" si="3"/>
        <v>400</v>
      </c>
      <c r="J94" t="s">
        <v>40</v>
      </c>
      <c r="K94" s="11"/>
    </row>
    <row r="95" spans="2:11" x14ac:dyDescent="0.25">
      <c r="B95" t="s">
        <v>756</v>
      </c>
      <c r="C95" t="s">
        <v>373</v>
      </c>
      <c r="D95" t="s">
        <v>38</v>
      </c>
      <c r="E95" t="s">
        <v>758</v>
      </c>
      <c r="F95" t="s">
        <v>703</v>
      </c>
      <c r="G95" s="7">
        <v>4166.7</v>
      </c>
      <c r="H95" s="7">
        <v>3666.7</v>
      </c>
      <c r="I95" s="7">
        <f t="shared" si="3"/>
        <v>500</v>
      </c>
      <c r="J95" t="s">
        <v>40</v>
      </c>
      <c r="K95" s="11"/>
    </row>
    <row r="96" spans="2:11" x14ac:dyDescent="0.25">
      <c r="B96" t="s">
        <v>756</v>
      </c>
      <c r="C96" t="s">
        <v>338</v>
      </c>
      <c r="D96" t="s">
        <v>38</v>
      </c>
      <c r="E96" t="s">
        <v>758</v>
      </c>
      <c r="F96" t="s">
        <v>424</v>
      </c>
      <c r="G96" s="7">
        <v>5000.04</v>
      </c>
      <c r="H96" s="7">
        <v>4400.03</v>
      </c>
      <c r="I96" s="7">
        <f t="shared" si="3"/>
        <v>600.01000000000022</v>
      </c>
      <c r="J96" t="s">
        <v>40</v>
      </c>
      <c r="K96" s="11"/>
    </row>
    <row r="97" spans="2:11" x14ac:dyDescent="0.25">
      <c r="B97" t="s">
        <v>756</v>
      </c>
      <c r="C97" t="s">
        <v>37</v>
      </c>
      <c r="D97" t="s">
        <v>38</v>
      </c>
      <c r="E97" t="s">
        <v>758</v>
      </c>
      <c r="F97" t="s">
        <v>426</v>
      </c>
      <c r="G97" s="7">
        <v>4166.7</v>
      </c>
      <c r="H97" s="7">
        <v>3666.7</v>
      </c>
      <c r="I97" s="7">
        <f t="shared" si="3"/>
        <v>500</v>
      </c>
      <c r="J97" t="s">
        <v>40</v>
      </c>
      <c r="K97" s="11"/>
    </row>
    <row r="98" spans="2:11" x14ac:dyDescent="0.25">
      <c r="B98" t="s">
        <v>761</v>
      </c>
      <c r="C98" t="s">
        <v>338</v>
      </c>
      <c r="D98" t="s">
        <v>38</v>
      </c>
      <c r="E98" t="s">
        <v>1345</v>
      </c>
      <c r="F98" t="s">
        <v>424</v>
      </c>
      <c r="G98" s="7">
        <v>3.6</v>
      </c>
      <c r="H98" s="7">
        <v>3.1679999999999997</v>
      </c>
      <c r="I98" s="7">
        <f t="shared" si="3"/>
        <v>0.43200000000000038</v>
      </c>
      <c r="J98" t="s">
        <v>40</v>
      </c>
      <c r="K98" s="11"/>
    </row>
    <row r="99" spans="2:11" x14ac:dyDescent="0.25">
      <c r="B99" t="s">
        <v>761</v>
      </c>
      <c r="C99" t="s">
        <v>37</v>
      </c>
      <c r="D99" t="s">
        <v>38</v>
      </c>
      <c r="E99" t="s">
        <v>1345</v>
      </c>
      <c r="F99" t="s">
        <v>426</v>
      </c>
      <c r="G99" s="7">
        <v>3</v>
      </c>
      <c r="H99" s="7">
        <v>2.6399999999999997</v>
      </c>
      <c r="I99" s="7">
        <f t="shared" si="3"/>
        <v>0.36000000000000032</v>
      </c>
      <c r="J99" t="s">
        <v>40</v>
      </c>
      <c r="K99" s="11"/>
    </row>
    <row r="100" spans="2:11" x14ac:dyDescent="0.25">
      <c r="B100" t="s">
        <v>761</v>
      </c>
      <c r="C100" t="s">
        <v>338</v>
      </c>
      <c r="D100" t="s">
        <v>38</v>
      </c>
      <c r="E100" t="s">
        <v>759</v>
      </c>
      <c r="F100" t="s">
        <v>424</v>
      </c>
      <c r="G100" s="7">
        <v>2.4</v>
      </c>
      <c r="H100" s="7">
        <v>2.11</v>
      </c>
      <c r="I100" s="7">
        <f t="shared" si="3"/>
        <v>0.29000000000000004</v>
      </c>
      <c r="J100" t="s">
        <v>40</v>
      </c>
      <c r="K100" s="11"/>
    </row>
    <row r="101" spans="2:11" x14ac:dyDescent="0.25">
      <c r="B101" t="s">
        <v>761</v>
      </c>
      <c r="C101" t="s">
        <v>37</v>
      </c>
      <c r="D101" t="s">
        <v>38</v>
      </c>
      <c r="E101" t="s">
        <v>759</v>
      </c>
      <c r="F101" t="s">
        <v>426</v>
      </c>
      <c r="G101" s="7">
        <v>2</v>
      </c>
      <c r="H101" s="7">
        <v>1.76</v>
      </c>
      <c r="I101" s="7">
        <f t="shared" si="3"/>
        <v>0.24</v>
      </c>
      <c r="J101" t="s">
        <v>40</v>
      </c>
      <c r="K101" s="11"/>
    </row>
    <row r="102" spans="2:11" x14ac:dyDescent="0.25">
      <c r="B102" t="s">
        <v>761</v>
      </c>
      <c r="C102" t="s">
        <v>338</v>
      </c>
      <c r="D102" t="s">
        <v>38</v>
      </c>
      <c r="E102" t="s">
        <v>760</v>
      </c>
      <c r="F102" t="s">
        <v>424</v>
      </c>
      <c r="G102" s="7">
        <v>2.4</v>
      </c>
      <c r="H102" s="7">
        <v>2.11</v>
      </c>
      <c r="I102" s="7">
        <f t="shared" si="3"/>
        <v>0.29000000000000004</v>
      </c>
      <c r="J102" t="s">
        <v>40</v>
      </c>
      <c r="K102" s="11"/>
    </row>
    <row r="103" spans="2:11" x14ac:dyDescent="0.25">
      <c r="B103" t="s">
        <v>761</v>
      </c>
      <c r="C103" t="s">
        <v>37</v>
      </c>
      <c r="D103" t="s">
        <v>38</v>
      </c>
      <c r="E103" t="s">
        <v>760</v>
      </c>
      <c r="F103" t="s">
        <v>426</v>
      </c>
      <c r="G103" s="7">
        <v>2</v>
      </c>
      <c r="H103" s="7">
        <v>1.76</v>
      </c>
      <c r="I103" s="7">
        <f t="shared" si="3"/>
        <v>0.24</v>
      </c>
      <c r="J103" t="s">
        <v>40</v>
      </c>
      <c r="K103" s="11"/>
    </row>
    <row r="104" spans="2:11" x14ac:dyDescent="0.25">
      <c r="K104" s="11"/>
    </row>
    <row r="105" spans="2:11" x14ac:dyDescent="0.25">
      <c r="B105" s="1" t="s">
        <v>884</v>
      </c>
      <c r="C105" s="1" t="s">
        <v>37</v>
      </c>
      <c r="D105" s="1" t="s">
        <v>429</v>
      </c>
      <c r="E105" t="s">
        <v>883</v>
      </c>
      <c r="F105" s="1" t="s">
        <v>885</v>
      </c>
      <c r="G105" s="7">
        <v>360</v>
      </c>
      <c r="H105" s="7">
        <v>333.72</v>
      </c>
      <c r="I105" s="7">
        <f t="shared" ref="I105:I112" si="4">G105-H105</f>
        <v>26.279999999999973</v>
      </c>
      <c r="J105" t="s">
        <v>40</v>
      </c>
      <c r="K105" s="11"/>
    </row>
    <row r="106" spans="2:11" x14ac:dyDescent="0.25">
      <c r="B106" s="1" t="s">
        <v>890</v>
      </c>
      <c r="C106" s="1" t="s">
        <v>37</v>
      </c>
      <c r="D106" s="1" t="s">
        <v>429</v>
      </c>
      <c r="E106" t="s">
        <v>888</v>
      </c>
      <c r="F106" s="1" t="s">
        <v>885</v>
      </c>
      <c r="G106" s="7">
        <v>600</v>
      </c>
      <c r="H106" s="7">
        <v>556.20000000000005</v>
      </c>
      <c r="I106" s="7">
        <f t="shared" si="4"/>
        <v>43.799999999999955</v>
      </c>
      <c r="J106" t="s">
        <v>40</v>
      </c>
      <c r="K106" s="11"/>
    </row>
    <row r="107" spans="2:11" x14ac:dyDescent="0.25">
      <c r="B107" s="1" t="s">
        <v>891</v>
      </c>
      <c r="C107" s="1" t="s">
        <v>37</v>
      </c>
      <c r="D107" s="1" t="s">
        <v>429</v>
      </c>
      <c r="E107" t="s">
        <v>889</v>
      </c>
      <c r="F107" s="1" t="s">
        <v>885</v>
      </c>
      <c r="G107" s="7">
        <v>600</v>
      </c>
      <c r="H107" s="7">
        <v>556.20000000000005</v>
      </c>
      <c r="I107" s="7">
        <f t="shared" si="4"/>
        <v>43.799999999999955</v>
      </c>
      <c r="J107" t="s">
        <v>40</v>
      </c>
      <c r="K107" s="11"/>
    </row>
    <row r="108" spans="2:11" x14ac:dyDescent="0.25">
      <c r="B108" t="s">
        <v>323</v>
      </c>
      <c r="C108" t="s">
        <v>338</v>
      </c>
      <c r="D108" t="s">
        <v>38</v>
      </c>
      <c r="E108" t="s">
        <v>876</v>
      </c>
      <c r="F108" t="s">
        <v>424</v>
      </c>
      <c r="G108" s="7">
        <v>0</v>
      </c>
      <c r="H108" s="7">
        <v>0</v>
      </c>
      <c r="I108" s="7">
        <f t="shared" si="4"/>
        <v>0</v>
      </c>
      <c r="J108" t="s">
        <v>40</v>
      </c>
      <c r="K108" s="11"/>
    </row>
    <row r="109" spans="2:11" x14ac:dyDescent="0.25">
      <c r="B109" t="s">
        <v>323</v>
      </c>
      <c r="C109" t="s">
        <v>37</v>
      </c>
      <c r="D109" t="s">
        <v>38</v>
      </c>
      <c r="E109" t="s">
        <v>876</v>
      </c>
      <c r="F109" t="s">
        <v>426</v>
      </c>
      <c r="G109" s="7">
        <v>0</v>
      </c>
      <c r="H109" s="7">
        <v>0</v>
      </c>
      <c r="I109" s="7">
        <f t="shared" si="4"/>
        <v>0</v>
      </c>
      <c r="J109" t="s">
        <v>40</v>
      </c>
      <c r="K109" s="11"/>
    </row>
    <row r="110" spans="2:11" x14ac:dyDescent="0.25">
      <c r="B110" t="s">
        <v>323</v>
      </c>
      <c r="C110" t="s">
        <v>338</v>
      </c>
      <c r="D110" t="s">
        <v>38</v>
      </c>
      <c r="E110" t="s">
        <v>877</v>
      </c>
      <c r="F110" t="s">
        <v>424</v>
      </c>
      <c r="G110" s="7">
        <v>240</v>
      </c>
      <c r="H110" s="7">
        <v>222.48</v>
      </c>
      <c r="I110" s="7">
        <f t="shared" si="4"/>
        <v>17.52000000000001</v>
      </c>
      <c r="J110" t="s">
        <v>40</v>
      </c>
      <c r="K110" s="11"/>
    </row>
    <row r="111" spans="2:11" x14ac:dyDescent="0.25">
      <c r="B111" t="s">
        <v>323</v>
      </c>
      <c r="C111" t="s">
        <v>37</v>
      </c>
      <c r="D111" t="s">
        <v>38</v>
      </c>
      <c r="E111" t="s">
        <v>877</v>
      </c>
      <c r="F111" t="s">
        <v>426</v>
      </c>
      <c r="G111" s="7">
        <v>200</v>
      </c>
      <c r="H111" s="7">
        <v>185.4</v>
      </c>
      <c r="I111" s="7">
        <f t="shared" si="4"/>
        <v>14.599999999999994</v>
      </c>
      <c r="J111" t="s">
        <v>40</v>
      </c>
      <c r="K111" s="11"/>
    </row>
    <row r="112" spans="2:11" x14ac:dyDescent="0.25">
      <c r="B112" t="s">
        <v>881</v>
      </c>
      <c r="C112" t="s">
        <v>338</v>
      </c>
      <c r="D112" t="s">
        <v>38</v>
      </c>
      <c r="E112" t="s">
        <v>879</v>
      </c>
      <c r="F112" t="s">
        <v>424</v>
      </c>
      <c r="G112" s="7">
        <v>3.6</v>
      </c>
      <c r="H112" s="7">
        <v>3.17</v>
      </c>
      <c r="I112" s="7">
        <f t="shared" si="4"/>
        <v>0.43000000000000016</v>
      </c>
      <c r="J112" t="s">
        <v>40</v>
      </c>
      <c r="K112" s="11"/>
    </row>
    <row r="113" spans="2:11" x14ac:dyDescent="0.25">
      <c r="B113" t="s">
        <v>881</v>
      </c>
      <c r="C113" t="s">
        <v>37</v>
      </c>
      <c r="D113" t="s">
        <v>38</v>
      </c>
      <c r="E113" t="s">
        <v>879</v>
      </c>
      <c r="F113" t="s">
        <v>426</v>
      </c>
      <c r="G113" s="7">
        <v>3</v>
      </c>
      <c r="H113" s="7">
        <v>2.64</v>
      </c>
      <c r="I113" s="7">
        <f t="shared" ref="I113:I117" si="5">G113-H113</f>
        <v>0.35999999999999988</v>
      </c>
      <c r="J113" t="s">
        <v>40</v>
      </c>
      <c r="K113" s="11"/>
    </row>
    <row r="114" spans="2:11" x14ac:dyDescent="0.25">
      <c r="B114" t="s">
        <v>881</v>
      </c>
      <c r="C114" t="s">
        <v>338</v>
      </c>
      <c r="D114" t="s">
        <v>38</v>
      </c>
      <c r="E114" t="s">
        <v>880</v>
      </c>
      <c r="F114" t="s">
        <v>424</v>
      </c>
      <c r="G114" s="7">
        <v>8.4</v>
      </c>
      <c r="H114" s="7">
        <v>7.39</v>
      </c>
      <c r="I114" s="7">
        <f t="shared" si="5"/>
        <v>1.0100000000000007</v>
      </c>
      <c r="J114" t="s">
        <v>40</v>
      </c>
      <c r="K114" s="11"/>
    </row>
    <row r="115" spans="2:11" x14ac:dyDescent="0.25">
      <c r="B115" t="s">
        <v>881</v>
      </c>
      <c r="C115" t="s">
        <v>37</v>
      </c>
      <c r="D115" t="s">
        <v>38</v>
      </c>
      <c r="E115" t="s">
        <v>880</v>
      </c>
      <c r="F115" t="s">
        <v>426</v>
      </c>
      <c r="G115" s="7">
        <v>7</v>
      </c>
      <c r="H115" s="7">
        <v>6.16</v>
      </c>
      <c r="I115" s="7">
        <f t="shared" si="5"/>
        <v>0.83999999999999986</v>
      </c>
      <c r="J115" t="s">
        <v>40</v>
      </c>
      <c r="K115" s="11"/>
    </row>
    <row r="116" spans="2:11" x14ac:dyDescent="0.25">
      <c r="B116" t="s">
        <v>881</v>
      </c>
      <c r="C116" t="s">
        <v>338</v>
      </c>
      <c r="D116" t="s">
        <v>38</v>
      </c>
      <c r="E116" t="s">
        <v>882</v>
      </c>
      <c r="F116" t="s">
        <v>424</v>
      </c>
      <c r="G116" s="7">
        <v>6</v>
      </c>
      <c r="H116" s="7">
        <v>5.28</v>
      </c>
      <c r="I116" s="7">
        <f t="shared" si="5"/>
        <v>0.71999999999999975</v>
      </c>
      <c r="J116" t="s">
        <v>40</v>
      </c>
      <c r="K116" s="11"/>
    </row>
    <row r="117" spans="2:11" x14ac:dyDescent="0.25">
      <c r="B117" t="s">
        <v>881</v>
      </c>
      <c r="C117" t="s">
        <v>37</v>
      </c>
      <c r="D117" t="s">
        <v>38</v>
      </c>
      <c r="E117" t="s">
        <v>882</v>
      </c>
      <c r="F117" t="s">
        <v>426</v>
      </c>
      <c r="G117" s="7">
        <v>5</v>
      </c>
      <c r="H117" s="7">
        <v>4.4000000000000004</v>
      </c>
      <c r="I117" s="7">
        <f t="shared" si="5"/>
        <v>0.59999999999999964</v>
      </c>
      <c r="J117" t="s">
        <v>40</v>
      </c>
      <c r="K117" s="11"/>
    </row>
    <row r="118" spans="2:11" x14ac:dyDescent="0.25">
      <c r="K118" s="11"/>
    </row>
    <row r="119" spans="2:11" x14ac:dyDescent="0.25">
      <c r="B119" t="s">
        <v>79</v>
      </c>
      <c r="C119" t="s">
        <v>338</v>
      </c>
      <c r="D119" t="s">
        <v>38</v>
      </c>
      <c r="E119" t="s">
        <v>80</v>
      </c>
      <c r="F119" t="s">
        <v>424</v>
      </c>
      <c r="G119" s="7">
        <v>7.2</v>
      </c>
      <c r="H119" s="7">
        <v>6.34</v>
      </c>
      <c r="I119" s="7">
        <f>G119-H119</f>
        <v>0.86000000000000032</v>
      </c>
      <c r="J119" t="s">
        <v>40</v>
      </c>
      <c r="K119" s="11">
        <v>0.28999999999999998</v>
      </c>
    </row>
    <row r="120" spans="2:11" x14ac:dyDescent="0.25">
      <c r="B120" t="s">
        <v>79</v>
      </c>
      <c r="C120" t="s">
        <v>37</v>
      </c>
      <c r="D120" t="s">
        <v>38</v>
      </c>
      <c r="E120" t="s">
        <v>80</v>
      </c>
      <c r="F120" t="s">
        <v>426</v>
      </c>
      <c r="G120" s="7">
        <v>6</v>
      </c>
      <c r="H120" s="7">
        <v>5.28</v>
      </c>
      <c r="I120" s="7">
        <f>G120-H120</f>
        <v>0.71999999999999975</v>
      </c>
      <c r="J120" t="s">
        <v>40</v>
      </c>
      <c r="K120" s="11">
        <v>0.24</v>
      </c>
    </row>
    <row r="121" spans="2:11" x14ac:dyDescent="0.25">
      <c r="K121" s="11"/>
    </row>
    <row r="122" spans="2:11" x14ac:dyDescent="0.25">
      <c r="B122" t="s">
        <v>81</v>
      </c>
      <c r="C122" t="s">
        <v>338</v>
      </c>
      <c r="D122" t="s">
        <v>38</v>
      </c>
      <c r="E122" t="s">
        <v>82</v>
      </c>
      <c r="F122" t="s">
        <v>424</v>
      </c>
      <c r="G122" s="7">
        <v>8.4</v>
      </c>
      <c r="H122" s="7">
        <v>7.39</v>
      </c>
      <c r="I122" s="7">
        <f t="shared" ref="I122:I136" si="6">G122-H122</f>
        <v>1.0100000000000007</v>
      </c>
      <c r="J122" t="s">
        <v>40</v>
      </c>
      <c r="K122" s="11">
        <v>0.34</v>
      </c>
    </row>
    <row r="123" spans="2:11" x14ac:dyDescent="0.25">
      <c r="B123" t="s">
        <v>81</v>
      </c>
      <c r="C123" t="s">
        <v>37</v>
      </c>
      <c r="D123" t="s">
        <v>38</v>
      </c>
      <c r="E123" t="s">
        <v>82</v>
      </c>
      <c r="F123" t="s">
        <v>426</v>
      </c>
      <c r="G123" s="7">
        <v>7</v>
      </c>
      <c r="H123" s="7">
        <v>6.16</v>
      </c>
      <c r="I123" s="7">
        <f t="shared" si="6"/>
        <v>0.83999999999999986</v>
      </c>
      <c r="J123" t="s">
        <v>40</v>
      </c>
      <c r="K123" s="11">
        <v>0.28000000000000003</v>
      </c>
    </row>
    <row r="124" spans="2:11" x14ac:dyDescent="0.25">
      <c r="B124" t="s">
        <v>83</v>
      </c>
      <c r="C124" t="s">
        <v>338</v>
      </c>
      <c r="D124" t="s">
        <v>38</v>
      </c>
      <c r="E124" t="s">
        <v>84</v>
      </c>
      <c r="F124" t="s">
        <v>424</v>
      </c>
      <c r="G124" s="7">
        <v>7.2</v>
      </c>
      <c r="H124" s="7">
        <v>6.34</v>
      </c>
      <c r="I124" s="7">
        <f t="shared" si="6"/>
        <v>0.86000000000000032</v>
      </c>
      <c r="J124" t="s">
        <v>40</v>
      </c>
      <c r="K124" s="11">
        <v>0.28999999999999998</v>
      </c>
    </row>
    <row r="125" spans="2:11" x14ac:dyDescent="0.25">
      <c r="B125" t="s">
        <v>83</v>
      </c>
      <c r="C125" t="s">
        <v>37</v>
      </c>
      <c r="D125" t="s">
        <v>38</v>
      </c>
      <c r="E125" t="s">
        <v>84</v>
      </c>
      <c r="F125" t="s">
        <v>426</v>
      </c>
      <c r="G125" s="7">
        <v>6</v>
      </c>
      <c r="H125" s="7">
        <v>5.28</v>
      </c>
      <c r="I125" s="7">
        <f t="shared" si="6"/>
        <v>0.71999999999999975</v>
      </c>
      <c r="J125" t="s">
        <v>40</v>
      </c>
      <c r="K125" s="11">
        <v>0.24</v>
      </c>
    </row>
    <row r="126" spans="2:11" x14ac:dyDescent="0.25">
      <c r="B126" t="s">
        <v>740</v>
      </c>
      <c r="C126" t="s">
        <v>373</v>
      </c>
      <c r="D126" t="s">
        <v>38</v>
      </c>
      <c r="E126" t="s">
        <v>739</v>
      </c>
      <c r="F126" t="s">
        <v>703</v>
      </c>
      <c r="G126" s="7">
        <v>75</v>
      </c>
      <c r="H126" s="7">
        <v>66</v>
      </c>
      <c r="I126" s="7">
        <f t="shared" si="6"/>
        <v>9</v>
      </c>
      <c r="J126" t="s">
        <v>40</v>
      </c>
      <c r="K126" s="11"/>
    </row>
    <row r="127" spans="2:11" x14ac:dyDescent="0.25">
      <c r="B127" t="s">
        <v>740</v>
      </c>
      <c r="C127" t="s">
        <v>338</v>
      </c>
      <c r="D127" t="s">
        <v>38</v>
      </c>
      <c r="E127" t="s">
        <v>739</v>
      </c>
      <c r="F127" t="s">
        <v>424</v>
      </c>
      <c r="G127" s="7">
        <v>90</v>
      </c>
      <c r="H127" s="7">
        <v>79.2</v>
      </c>
      <c r="I127" s="7">
        <f t="shared" si="6"/>
        <v>10.799999999999997</v>
      </c>
      <c r="J127" t="s">
        <v>40</v>
      </c>
      <c r="K127" s="11"/>
    </row>
    <row r="128" spans="2:11" x14ac:dyDescent="0.25">
      <c r="B128" t="s">
        <v>740</v>
      </c>
      <c r="C128" t="s">
        <v>37</v>
      </c>
      <c r="D128" t="s">
        <v>38</v>
      </c>
      <c r="E128" t="s">
        <v>739</v>
      </c>
      <c r="F128" t="s">
        <v>426</v>
      </c>
      <c r="G128" s="7">
        <v>75</v>
      </c>
      <c r="H128" s="7">
        <v>66</v>
      </c>
      <c r="I128" s="7">
        <f t="shared" si="6"/>
        <v>9</v>
      </c>
      <c r="J128" t="s">
        <v>40</v>
      </c>
      <c r="K128" s="11"/>
    </row>
    <row r="129" spans="2:11" x14ac:dyDescent="0.25">
      <c r="B129" t="s">
        <v>770</v>
      </c>
      <c r="C129" t="s">
        <v>338</v>
      </c>
      <c r="D129" t="s">
        <v>38</v>
      </c>
      <c r="E129" t="s">
        <v>766</v>
      </c>
      <c r="F129" t="s">
        <v>424</v>
      </c>
      <c r="G129" s="7">
        <v>6</v>
      </c>
      <c r="H129" s="7">
        <v>5.28</v>
      </c>
      <c r="I129" s="7">
        <f t="shared" si="6"/>
        <v>0.71999999999999975</v>
      </c>
      <c r="J129" t="s">
        <v>40</v>
      </c>
      <c r="K129" s="11"/>
    </row>
    <row r="130" spans="2:11" x14ac:dyDescent="0.25">
      <c r="B130" t="s">
        <v>770</v>
      </c>
      <c r="C130" t="s">
        <v>37</v>
      </c>
      <c r="D130" t="s">
        <v>38</v>
      </c>
      <c r="E130" t="s">
        <v>766</v>
      </c>
      <c r="F130" t="s">
        <v>426</v>
      </c>
      <c r="G130" s="7">
        <v>5</v>
      </c>
      <c r="H130" s="7">
        <v>4.4000000000000004</v>
      </c>
      <c r="I130" s="7">
        <f t="shared" si="6"/>
        <v>0.59999999999999964</v>
      </c>
      <c r="J130" t="s">
        <v>40</v>
      </c>
      <c r="K130" s="11"/>
    </row>
    <row r="131" spans="2:11" x14ac:dyDescent="0.25">
      <c r="B131" t="s">
        <v>770</v>
      </c>
      <c r="C131" t="s">
        <v>338</v>
      </c>
      <c r="D131" t="s">
        <v>38</v>
      </c>
      <c r="E131" t="s">
        <v>767</v>
      </c>
      <c r="F131" t="s">
        <v>424</v>
      </c>
      <c r="G131" s="7">
        <v>2000.04</v>
      </c>
      <c r="H131" s="7">
        <v>1760.35</v>
      </c>
      <c r="I131" s="7">
        <f t="shared" si="6"/>
        <v>239.69000000000005</v>
      </c>
      <c r="J131" t="s">
        <v>40</v>
      </c>
      <c r="K131" s="11"/>
    </row>
    <row r="132" spans="2:11" x14ac:dyDescent="0.25">
      <c r="B132" t="s">
        <v>770</v>
      </c>
      <c r="C132" t="s">
        <v>37</v>
      </c>
      <c r="D132" t="s">
        <v>38</v>
      </c>
      <c r="E132" t="s">
        <v>767</v>
      </c>
      <c r="F132" t="s">
        <v>426</v>
      </c>
      <c r="G132" s="7">
        <v>1666.7</v>
      </c>
      <c r="H132" s="7">
        <v>1466.7</v>
      </c>
      <c r="I132" s="7">
        <f t="shared" si="6"/>
        <v>200</v>
      </c>
      <c r="J132" t="s">
        <v>40</v>
      </c>
      <c r="K132" s="11"/>
    </row>
    <row r="133" spans="2:11" x14ac:dyDescent="0.25">
      <c r="B133" t="s">
        <v>770</v>
      </c>
      <c r="C133" t="s">
        <v>338</v>
      </c>
      <c r="D133" t="s">
        <v>38</v>
      </c>
      <c r="E133" t="s">
        <v>768</v>
      </c>
      <c r="F133" t="s">
        <v>424</v>
      </c>
      <c r="G133" s="7">
        <v>200.04</v>
      </c>
      <c r="H133" s="7">
        <v>176.35</v>
      </c>
      <c r="I133" s="7">
        <f t="shared" si="6"/>
        <v>23.689999999999998</v>
      </c>
      <c r="J133" t="s">
        <v>40</v>
      </c>
      <c r="K133" s="11"/>
    </row>
    <row r="134" spans="2:11" x14ac:dyDescent="0.25">
      <c r="B134" t="s">
        <v>770</v>
      </c>
      <c r="C134" t="s">
        <v>37</v>
      </c>
      <c r="D134" t="s">
        <v>38</v>
      </c>
      <c r="E134" t="s">
        <v>768</v>
      </c>
      <c r="F134" t="s">
        <v>426</v>
      </c>
      <c r="G134" s="7">
        <v>166.7</v>
      </c>
      <c r="H134" s="7">
        <v>146.69999999999999</v>
      </c>
      <c r="I134" s="7">
        <f t="shared" si="6"/>
        <v>20</v>
      </c>
      <c r="J134" t="s">
        <v>40</v>
      </c>
      <c r="K134" s="11"/>
    </row>
    <row r="135" spans="2:11" x14ac:dyDescent="0.25">
      <c r="B135" t="s">
        <v>770</v>
      </c>
      <c r="C135" t="s">
        <v>338</v>
      </c>
      <c r="D135" t="s">
        <v>38</v>
      </c>
      <c r="E135" t="s">
        <v>769</v>
      </c>
      <c r="F135" t="s">
        <v>424</v>
      </c>
      <c r="G135" s="7">
        <v>20.04</v>
      </c>
      <c r="H135" s="7">
        <v>17.63</v>
      </c>
      <c r="I135" s="7">
        <f t="shared" si="6"/>
        <v>2.41</v>
      </c>
      <c r="J135" t="s">
        <v>40</v>
      </c>
      <c r="K135" s="11"/>
    </row>
    <row r="136" spans="2:11" x14ac:dyDescent="0.25">
      <c r="B136" t="s">
        <v>770</v>
      </c>
      <c r="C136" t="s">
        <v>37</v>
      </c>
      <c r="D136" t="s">
        <v>38</v>
      </c>
      <c r="E136" t="s">
        <v>769</v>
      </c>
      <c r="F136" t="s">
        <v>426</v>
      </c>
      <c r="G136" s="7">
        <v>16.7</v>
      </c>
      <c r="H136" s="7">
        <v>14.1</v>
      </c>
      <c r="I136" s="7">
        <f t="shared" si="6"/>
        <v>2.5999999999999996</v>
      </c>
      <c r="J136" t="s">
        <v>40</v>
      </c>
      <c r="K136" s="11"/>
    </row>
    <row r="137" spans="2:11" x14ac:dyDescent="0.25">
      <c r="K137" s="11"/>
    </row>
    <row r="138" spans="2:11" x14ac:dyDescent="0.25">
      <c r="B138" t="s">
        <v>85</v>
      </c>
      <c r="C138" t="s">
        <v>338</v>
      </c>
      <c r="D138" t="s">
        <v>38</v>
      </c>
      <c r="E138" t="s">
        <v>86</v>
      </c>
      <c r="F138" t="s">
        <v>424</v>
      </c>
      <c r="G138" s="7">
        <v>2.4</v>
      </c>
      <c r="H138" s="7">
        <v>2.11</v>
      </c>
      <c r="I138" s="7">
        <f t="shared" ref="I138:I145" si="7">G138-H138</f>
        <v>0.29000000000000004</v>
      </c>
      <c r="J138" t="s">
        <v>40</v>
      </c>
      <c r="K138" s="11">
        <v>0.1</v>
      </c>
    </row>
    <row r="139" spans="2:11" x14ac:dyDescent="0.25">
      <c r="B139" t="s">
        <v>85</v>
      </c>
      <c r="C139" t="s">
        <v>37</v>
      </c>
      <c r="D139" t="s">
        <v>38</v>
      </c>
      <c r="E139" t="s">
        <v>86</v>
      </c>
      <c r="F139" t="s">
        <v>426</v>
      </c>
      <c r="G139" s="7">
        <v>2</v>
      </c>
      <c r="H139" s="7">
        <v>1.76</v>
      </c>
      <c r="I139" s="7">
        <f t="shared" si="7"/>
        <v>0.24</v>
      </c>
      <c r="J139" t="s">
        <v>40</v>
      </c>
      <c r="K139" s="11">
        <v>0.08</v>
      </c>
    </row>
    <row r="140" spans="2:11" x14ac:dyDescent="0.25">
      <c r="B140" t="s">
        <v>87</v>
      </c>
      <c r="C140" t="s">
        <v>338</v>
      </c>
      <c r="D140" t="s">
        <v>38</v>
      </c>
      <c r="E140" t="s">
        <v>88</v>
      </c>
      <c r="F140" t="s">
        <v>424</v>
      </c>
      <c r="G140" s="7">
        <v>6</v>
      </c>
      <c r="H140" s="7">
        <v>5.28</v>
      </c>
      <c r="I140" s="7">
        <f t="shared" si="7"/>
        <v>0.71999999999999975</v>
      </c>
      <c r="J140" t="s">
        <v>40</v>
      </c>
      <c r="K140" s="11">
        <v>0.24</v>
      </c>
    </row>
    <row r="141" spans="2:11" x14ac:dyDescent="0.25">
      <c r="B141" t="s">
        <v>87</v>
      </c>
      <c r="C141" t="s">
        <v>37</v>
      </c>
      <c r="D141" t="s">
        <v>38</v>
      </c>
      <c r="E141" t="s">
        <v>88</v>
      </c>
      <c r="F141" t="s">
        <v>426</v>
      </c>
      <c r="G141" s="7">
        <v>5</v>
      </c>
      <c r="H141" s="7">
        <v>4.3999999999999995</v>
      </c>
      <c r="I141" s="7">
        <f t="shared" si="7"/>
        <v>0.60000000000000053</v>
      </c>
      <c r="J141" t="s">
        <v>40</v>
      </c>
      <c r="K141" s="11">
        <v>0.2</v>
      </c>
    </row>
    <row r="142" spans="2:11" x14ac:dyDescent="0.25">
      <c r="B142" t="s">
        <v>89</v>
      </c>
      <c r="C142" t="s">
        <v>37</v>
      </c>
      <c r="D142" t="s">
        <v>38</v>
      </c>
      <c r="E142" t="s">
        <v>90</v>
      </c>
      <c r="F142" t="s">
        <v>426</v>
      </c>
      <c r="G142" s="7">
        <v>100</v>
      </c>
      <c r="H142" s="7">
        <v>88</v>
      </c>
      <c r="I142" s="7">
        <f t="shared" si="7"/>
        <v>12</v>
      </c>
      <c r="J142" t="s">
        <v>40</v>
      </c>
      <c r="K142" s="11">
        <v>4.8000000000000007</v>
      </c>
    </row>
    <row r="143" spans="2:11" x14ac:dyDescent="0.25">
      <c r="B143" t="s">
        <v>89</v>
      </c>
      <c r="C143" t="s">
        <v>338</v>
      </c>
      <c r="D143" t="s">
        <v>38</v>
      </c>
      <c r="E143" t="s">
        <v>90</v>
      </c>
      <c r="F143" t="s">
        <v>424</v>
      </c>
      <c r="G143" s="7">
        <v>120</v>
      </c>
      <c r="H143" s="7">
        <v>105.6</v>
      </c>
      <c r="I143" s="7">
        <f t="shared" si="7"/>
        <v>14.400000000000006</v>
      </c>
      <c r="J143" t="s">
        <v>40</v>
      </c>
      <c r="K143" s="11">
        <v>48</v>
      </c>
    </row>
    <row r="144" spans="2:11" x14ac:dyDescent="0.25">
      <c r="B144" t="s">
        <v>702</v>
      </c>
      <c r="C144" t="s">
        <v>37</v>
      </c>
      <c r="D144" t="s">
        <v>38</v>
      </c>
      <c r="E144" t="s">
        <v>878</v>
      </c>
      <c r="F144" t="s">
        <v>426</v>
      </c>
      <c r="G144" s="7">
        <v>2</v>
      </c>
      <c r="H144" s="7">
        <v>1.76</v>
      </c>
      <c r="I144" s="7">
        <f t="shared" si="7"/>
        <v>0.24</v>
      </c>
      <c r="J144" t="s">
        <v>40</v>
      </c>
      <c r="K144" s="11"/>
    </row>
    <row r="145" spans="2:11" x14ac:dyDescent="0.25">
      <c r="B145" t="s">
        <v>702</v>
      </c>
      <c r="C145" t="s">
        <v>373</v>
      </c>
      <c r="D145" t="s">
        <v>38</v>
      </c>
      <c r="E145" t="s">
        <v>878</v>
      </c>
      <c r="F145" t="s">
        <v>704</v>
      </c>
      <c r="G145" s="7">
        <v>2</v>
      </c>
      <c r="H145" s="7">
        <v>1.76</v>
      </c>
      <c r="I145" s="7">
        <f t="shared" si="7"/>
        <v>0.24</v>
      </c>
      <c r="J145" t="s">
        <v>40</v>
      </c>
      <c r="K145" s="11"/>
    </row>
    <row r="146" spans="2:11" x14ac:dyDescent="0.25">
      <c r="K146" s="11"/>
    </row>
    <row r="147" spans="2:11" x14ac:dyDescent="0.25">
      <c r="B147" t="s">
        <v>91</v>
      </c>
      <c r="C147" t="s">
        <v>338</v>
      </c>
      <c r="D147" t="s">
        <v>38</v>
      </c>
      <c r="E147" t="s">
        <v>92</v>
      </c>
      <c r="F147" t="s">
        <v>424</v>
      </c>
      <c r="G147" s="7">
        <v>6.6</v>
      </c>
      <c r="H147" s="7">
        <v>5.81</v>
      </c>
      <c r="I147" s="7">
        <f>G147-H147</f>
        <v>0.79</v>
      </c>
      <c r="J147" t="s">
        <v>40</v>
      </c>
      <c r="K147" s="11">
        <v>0.26</v>
      </c>
    </row>
    <row r="148" spans="2:11" x14ac:dyDescent="0.25">
      <c r="B148" t="s">
        <v>91</v>
      </c>
      <c r="C148" t="s">
        <v>37</v>
      </c>
      <c r="D148" t="s">
        <v>38</v>
      </c>
      <c r="E148" t="s">
        <v>92</v>
      </c>
      <c r="F148" t="s">
        <v>426</v>
      </c>
      <c r="G148" s="7">
        <v>5.5</v>
      </c>
      <c r="H148" s="7">
        <v>4.84</v>
      </c>
      <c r="I148" s="7">
        <f>G148-H148</f>
        <v>0.66000000000000014</v>
      </c>
      <c r="J148" t="s">
        <v>40</v>
      </c>
      <c r="K148" s="11">
        <v>0.22</v>
      </c>
    </row>
    <row r="149" spans="2:11" x14ac:dyDescent="0.25">
      <c r="B149" t="s">
        <v>94</v>
      </c>
      <c r="C149" t="s">
        <v>338</v>
      </c>
      <c r="D149" t="s">
        <v>38</v>
      </c>
      <c r="E149" t="s">
        <v>95</v>
      </c>
      <c r="F149" t="s">
        <v>424</v>
      </c>
      <c r="G149" s="7">
        <v>0</v>
      </c>
      <c r="H149" s="7">
        <v>0</v>
      </c>
      <c r="I149" s="7">
        <f t="shared" ref="I149:I272" si="8">G149-H149</f>
        <v>0</v>
      </c>
      <c r="J149" t="s">
        <v>40</v>
      </c>
      <c r="K149" s="11"/>
    </row>
    <row r="150" spans="2:11" x14ac:dyDescent="0.25">
      <c r="B150" t="s">
        <v>94</v>
      </c>
      <c r="C150" t="s">
        <v>37</v>
      </c>
      <c r="D150" t="s">
        <v>38</v>
      </c>
      <c r="E150" t="s">
        <v>95</v>
      </c>
      <c r="F150" t="s">
        <v>426</v>
      </c>
      <c r="G150" s="7">
        <v>0</v>
      </c>
      <c r="H150" s="7">
        <v>0</v>
      </c>
      <c r="I150" s="7">
        <f t="shared" si="8"/>
        <v>0</v>
      </c>
      <c r="J150" t="s">
        <v>40</v>
      </c>
      <c r="K150" s="11"/>
    </row>
    <row r="151" spans="2:11" x14ac:dyDescent="0.25">
      <c r="I151" s="7">
        <f t="shared" si="8"/>
        <v>0</v>
      </c>
      <c r="K151" s="11"/>
    </row>
    <row r="152" spans="2:11" x14ac:dyDescent="0.25">
      <c r="B152" t="s">
        <v>808</v>
      </c>
      <c r="C152" t="s">
        <v>338</v>
      </c>
      <c r="D152" t="s">
        <v>38</v>
      </c>
      <c r="E152" t="s">
        <v>804</v>
      </c>
      <c r="F152" t="s">
        <v>424</v>
      </c>
      <c r="G152" s="7">
        <v>8.4</v>
      </c>
      <c r="H152" s="7">
        <v>7.39</v>
      </c>
      <c r="I152" s="7">
        <f t="shared" si="8"/>
        <v>1.0100000000000007</v>
      </c>
      <c r="J152" t="s">
        <v>40</v>
      </c>
      <c r="K152" s="11"/>
    </row>
    <row r="153" spans="2:11" x14ac:dyDescent="0.25">
      <c r="B153" t="s">
        <v>808</v>
      </c>
      <c r="C153" t="s">
        <v>37</v>
      </c>
      <c r="D153" t="s">
        <v>38</v>
      </c>
      <c r="E153" t="s">
        <v>804</v>
      </c>
      <c r="F153" t="s">
        <v>426</v>
      </c>
      <c r="G153" s="7">
        <v>7</v>
      </c>
      <c r="H153" s="7">
        <v>6.16</v>
      </c>
      <c r="I153" s="7">
        <f t="shared" si="8"/>
        <v>0.83999999999999986</v>
      </c>
      <c r="J153" t="s">
        <v>40</v>
      </c>
      <c r="K153" s="11"/>
    </row>
    <row r="154" spans="2:11" x14ac:dyDescent="0.25">
      <c r="B154" t="s">
        <v>808</v>
      </c>
      <c r="C154" t="s">
        <v>342</v>
      </c>
      <c r="D154" t="s">
        <v>38</v>
      </c>
      <c r="E154" t="s">
        <v>805</v>
      </c>
      <c r="F154" t="s">
        <v>811</v>
      </c>
      <c r="G154" s="7">
        <v>0</v>
      </c>
      <c r="H154" s="7">
        <v>0</v>
      </c>
      <c r="I154" s="7">
        <f t="shared" si="8"/>
        <v>0</v>
      </c>
      <c r="J154" t="s">
        <v>40</v>
      </c>
      <c r="K154" s="11"/>
    </row>
    <row r="155" spans="2:11" x14ac:dyDescent="0.25">
      <c r="B155" t="s">
        <v>808</v>
      </c>
      <c r="C155" t="s">
        <v>338</v>
      </c>
      <c r="D155" t="s">
        <v>38</v>
      </c>
      <c r="E155" t="s">
        <v>805</v>
      </c>
      <c r="F155" t="s">
        <v>424</v>
      </c>
      <c r="G155" s="7">
        <v>4.8</v>
      </c>
      <c r="H155" s="7">
        <v>4.22</v>
      </c>
      <c r="I155" s="7">
        <f t="shared" si="8"/>
        <v>0.58000000000000007</v>
      </c>
      <c r="J155" t="s">
        <v>40</v>
      </c>
      <c r="K155" s="11"/>
    </row>
    <row r="156" spans="2:11" x14ac:dyDescent="0.25">
      <c r="B156" t="s">
        <v>808</v>
      </c>
      <c r="C156" t="s">
        <v>37</v>
      </c>
      <c r="D156" t="s">
        <v>38</v>
      </c>
      <c r="E156" t="s">
        <v>805</v>
      </c>
      <c r="F156" t="s">
        <v>426</v>
      </c>
      <c r="G156" s="7">
        <v>4</v>
      </c>
      <c r="H156" s="7">
        <v>3.52</v>
      </c>
      <c r="I156" s="7">
        <f t="shared" si="8"/>
        <v>0.48</v>
      </c>
      <c r="J156" t="s">
        <v>40</v>
      </c>
      <c r="K156" s="11"/>
    </row>
    <row r="157" spans="2:11" x14ac:dyDescent="0.25">
      <c r="B157" t="s">
        <v>808</v>
      </c>
      <c r="C157" t="s">
        <v>338</v>
      </c>
      <c r="D157" t="s">
        <v>38</v>
      </c>
      <c r="E157" t="s">
        <v>1346</v>
      </c>
      <c r="F157" t="s">
        <v>424</v>
      </c>
      <c r="G157" s="7">
        <v>3.24</v>
      </c>
      <c r="H157" s="7">
        <v>2.8489999999999998</v>
      </c>
      <c r="I157" s="7">
        <f t="shared" si="8"/>
        <v>0.39100000000000046</v>
      </c>
      <c r="J157" t="s">
        <v>40</v>
      </c>
      <c r="K157" s="11"/>
    </row>
    <row r="158" spans="2:11" x14ac:dyDescent="0.25">
      <c r="B158" t="s">
        <v>808</v>
      </c>
      <c r="C158" t="s">
        <v>37</v>
      </c>
      <c r="D158" t="s">
        <v>38</v>
      </c>
      <c r="E158" t="s">
        <v>1346</v>
      </c>
      <c r="F158" t="s">
        <v>426</v>
      </c>
      <c r="G158" s="7">
        <v>2.6999999999999997</v>
      </c>
      <c r="H158" s="7">
        <v>2.3760000000000003</v>
      </c>
      <c r="I158" s="7">
        <f t="shared" si="8"/>
        <v>0.3239999999999994</v>
      </c>
      <c r="J158" t="s">
        <v>40</v>
      </c>
      <c r="K158" s="11"/>
    </row>
    <row r="159" spans="2:11" x14ac:dyDescent="0.25">
      <c r="B159" t="s">
        <v>808</v>
      </c>
      <c r="C159" t="s">
        <v>338</v>
      </c>
      <c r="D159" t="s">
        <v>38</v>
      </c>
      <c r="E159" t="s">
        <v>1347</v>
      </c>
      <c r="F159" t="s">
        <v>424</v>
      </c>
      <c r="G159" s="7">
        <v>5.64</v>
      </c>
      <c r="H159" s="7">
        <v>4.9609999999999994</v>
      </c>
      <c r="I159" s="7">
        <f t="shared" si="8"/>
        <v>0.67900000000000027</v>
      </c>
      <c r="J159" t="s">
        <v>40</v>
      </c>
      <c r="K159" s="11"/>
    </row>
    <row r="160" spans="2:11" x14ac:dyDescent="0.25">
      <c r="B160" t="s">
        <v>808</v>
      </c>
      <c r="C160" t="s">
        <v>37</v>
      </c>
      <c r="D160" t="s">
        <v>38</v>
      </c>
      <c r="E160" t="s">
        <v>1347</v>
      </c>
      <c r="F160" t="s">
        <v>426</v>
      </c>
      <c r="G160" s="7">
        <v>4.7</v>
      </c>
      <c r="H160" s="7">
        <v>4.1360000000000001</v>
      </c>
      <c r="I160" s="7">
        <f t="shared" si="8"/>
        <v>0.56400000000000006</v>
      </c>
      <c r="J160" t="s">
        <v>40</v>
      </c>
      <c r="K160" s="11"/>
    </row>
    <row r="161" spans="2:11" x14ac:dyDescent="0.25">
      <c r="B161" t="s">
        <v>809</v>
      </c>
      <c r="C161" t="s">
        <v>338</v>
      </c>
      <c r="D161" t="s">
        <v>38</v>
      </c>
      <c r="E161" t="s">
        <v>806</v>
      </c>
      <c r="F161" t="s">
        <v>424</v>
      </c>
      <c r="G161" s="7">
        <v>7.2</v>
      </c>
      <c r="H161" s="7">
        <v>6.34</v>
      </c>
      <c r="I161" s="7">
        <f t="shared" si="8"/>
        <v>0.86000000000000032</v>
      </c>
      <c r="J161" t="s">
        <v>40</v>
      </c>
      <c r="K161" s="11"/>
    </row>
    <row r="162" spans="2:11" x14ac:dyDescent="0.25">
      <c r="B162" t="s">
        <v>809</v>
      </c>
      <c r="C162" t="s">
        <v>37</v>
      </c>
      <c r="D162" t="s">
        <v>38</v>
      </c>
      <c r="E162" t="s">
        <v>806</v>
      </c>
      <c r="F162" t="s">
        <v>426</v>
      </c>
      <c r="G162" s="7">
        <v>6</v>
      </c>
      <c r="H162" s="7">
        <v>5.28</v>
      </c>
      <c r="I162" s="7">
        <f t="shared" si="8"/>
        <v>0.71999999999999975</v>
      </c>
      <c r="J162" t="s">
        <v>40</v>
      </c>
      <c r="K162" s="11"/>
    </row>
    <row r="163" spans="2:11" x14ac:dyDescent="0.25">
      <c r="B163" t="s">
        <v>810</v>
      </c>
      <c r="C163" t="s">
        <v>338</v>
      </c>
      <c r="D163" t="s">
        <v>38</v>
      </c>
      <c r="E163" t="s">
        <v>807</v>
      </c>
      <c r="F163" t="s">
        <v>424</v>
      </c>
      <c r="G163" s="7">
        <v>10.8</v>
      </c>
      <c r="H163" s="7">
        <v>9.5</v>
      </c>
      <c r="I163" s="7">
        <f t="shared" si="8"/>
        <v>1.3000000000000007</v>
      </c>
      <c r="J163" t="s">
        <v>40</v>
      </c>
      <c r="K163" s="11"/>
    </row>
    <row r="164" spans="2:11" x14ac:dyDescent="0.25">
      <c r="B164" t="s">
        <v>810</v>
      </c>
      <c r="C164" t="s">
        <v>37</v>
      </c>
      <c r="D164" t="s">
        <v>38</v>
      </c>
      <c r="E164" t="s">
        <v>807</v>
      </c>
      <c r="F164" t="s">
        <v>426</v>
      </c>
      <c r="G164" s="7">
        <v>9</v>
      </c>
      <c r="H164" s="7">
        <v>7.92</v>
      </c>
      <c r="I164" s="7">
        <f t="shared" ref="I164:I171" si="9">G164-H164</f>
        <v>1.08</v>
      </c>
      <c r="J164" t="s">
        <v>40</v>
      </c>
      <c r="K164" s="11"/>
    </row>
    <row r="165" spans="2:11" x14ac:dyDescent="0.25">
      <c r="B165" t="s">
        <v>813</v>
      </c>
      <c r="C165" t="s">
        <v>338</v>
      </c>
      <c r="D165" t="s">
        <v>38</v>
      </c>
      <c r="E165" t="s">
        <v>812</v>
      </c>
      <c r="F165" t="s">
        <v>424</v>
      </c>
      <c r="G165" s="7">
        <v>12.48</v>
      </c>
      <c r="H165" s="7">
        <v>10.98</v>
      </c>
      <c r="I165" s="7">
        <f t="shared" si="9"/>
        <v>1.5</v>
      </c>
      <c r="J165" t="s">
        <v>40</v>
      </c>
      <c r="K165" s="11"/>
    </row>
    <row r="166" spans="2:11" x14ac:dyDescent="0.25">
      <c r="B166" t="s">
        <v>813</v>
      </c>
      <c r="C166" t="s">
        <v>37</v>
      </c>
      <c r="D166" t="s">
        <v>38</v>
      </c>
      <c r="E166" t="s">
        <v>812</v>
      </c>
      <c r="F166" t="s">
        <v>426</v>
      </c>
      <c r="G166" s="7">
        <v>10.4</v>
      </c>
      <c r="H166" s="7">
        <v>9.15</v>
      </c>
      <c r="I166" s="7">
        <f t="shared" si="9"/>
        <v>1.25</v>
      </c>
      <c r="J166" t="s">
        <v>40</v>
      </c>
      <c r="K166" s="11"/>
    </row>
    <row r="167" spans="2:11" x14ac:dyDescent="0.25">
      <c r="B167" t="s">
        <v>813</v>
      </c>
      <c r="C167" t="s">
        <v>373</v>
      </c>
      <c r="D167" t="s">
        <v>38</v>
      </c>
      <c r="E167" t="s">
        <v>812</v>
      </c>
      <c r="F167" t="s">
        <v>703</v>
      </c>
      <c r="G167" s="7">
        <v>10.4</v>
      </c>
      <c r="H167" s="7">
        <v>9.15</v>
      </c>
      <c r="I167" s="7">
        <f t="shared" si="9"/>
        <v>1.25</v>
      </c>
      <c r="J167" t="s">
        <v>40</v>
      </c>
      <c r="K167" s="11"/>
    </row>
    <row r="168" spans="2:11" x14ac:dyDescent="0.25">
      <c r="B168" t="s">
        <v>814</v>
      </c>
      <c r="C168" t="s">
        <v>338</v>
      </c>
      <c r="D168" t="s">
        <v>38</v>
      </c>
      <c r="E168" t="s">
        <v>1368</v>
      </c>
      <c r="F168" t="s">
        <v>424</v>
      </c>
      <c r="G168" s="7">
        <v>3.6</v>
      </c>
      <c r="H168" s="7">
        <v>3.17</v>
      </c>
      <c r="I168" s="7">
        <f t="shared" si="9"/>
        <v>0.43000000000000016</v>
      </c>
      <c r="J168" t="s">
        <v>40</v>
      </c>
      <c r="K168" s="11"/>
    </row>
    <row r="169" spans="2:11" x14ac:dyDescent="0.25">
      <c r="B169" t="s">
        <v>814</v>
      </c>
      <c r="C169" t="s">
        <v>37</v>
      </c>
      <c r="D169" t="s">
        <v>38</v>
      </c>
      <c r="E169" t="s">
        <v>1368</v>
      </c>
      <c r="F169" t="s">
        <v>426</v>
      </c>
      <c r="G169" s="7">
        <v>3</v>
      </c>
      <c r="H169" s="7">
        <v>2.64</v>
      </c>
      <c r="I169" s="7">
        <f t="shared" si="9"/>
        <v>0.35999999999999988</v>
      </c>
      <c r="J169" t="s">
        <v>40</v>
      </c>
      <c r="K169" s="11"/>
    </row>
    <row r="170" spans="2:11" x14ac:dyDescent="0.25">
      <c r="B170" t="s">
        <v>814</v>
      </c>
      <c r="C170" t="s">
        <v>373</v>
      </c>
      <c r="D170" t="s">
        <v>38</v>
      </c>
      <c r="E170" t="s">
        <v>1368</v>
      </c>
      <c r="F170" t="s">
        <v>703</v>
      </c>
      <c r="G170" s="7">
        <v>3</v>
      </c>
      <c r="H170" s="7">
        <v>2.64</v>
      </c>
      <c r="I170" s="7">
        <f t="shared" si="9"/>
        <v>0.35999999999999988</v>
      </c>
      <c r="J170" t="s">
        <v>40</v>
      </c>
      <c r="K170" s="11"/>
    </row>
    <row r="171" spans="2:11" x14ac:dyDescent="0.25">
      <c r="B171" t="s">
        <v>1370</v>
      </c>
      <c r="C171" t="s">
        <v>37</v>
      </c>
      <c r="D171" t="s">
        <v>38</v>
      </c>
      <c r="E171" t="s">
        <v>1369</v>
      </c>
      <c r="F171" t="s">
        <v>426</v>
      </c>
      <c r="G171" s="7">
        <v>0</v>
      </c>
      <c r="H171" s="7">
        <v>0</v>
      </c>
      <c r="I171" s="7">
        <f t="shared" si="9"/>
        <v>0</v>
      </c>
      <c r="J171" t="s">
        <v>40</v>
      </c>
      <c r="K171" s="11"/>
    </row>
    <row r="172" spans="2:11" x14ac:dyDescent="0.25">
      <c r="K172" s="11"/>
    </row>
    <row r="173" spans="2:11" x14ac:dyDescent="0.25">
      <c r="B173" t="s">
        <v>96</v>
      </c>
      <c r="C173" t="s">
        <v>338</v>
      </c>
      <c r="D173" t="s">
        <v>38</v>
      </c>
      <c r="E173" t="s">
        <v>97</v>
      </c>
      <c r="F173" t="s">
        <v>424</v>
      </c>
      <c r="G173" s="7">
        <v>6</v>
      </c>
      <c r="H173" s="7">
        <v>5.28</v>
      </c>
      <c r="I173" s="7">
        <f>G173-H173</f>
        <v>0.71999999999999975</v>
      </c>
      <c r="J173" t="s">
        <v>40</v>
      </c>
      <c r="K173" s="11">
        <v>0.24</v>
      </c>
    </row>
    <row r="174" spans="2:11" x14ac:dyDescent="0.25">
      <c r="B174" t="s">
        <v>96</v>
      </c>
      <c r="C174" t="s">
        <v>37</v>
      </c>
      <c r="D174" t="s">
        <v>38</v>
      </c>
      <c r="E174" t="s">
        <v>97</v>
      </c>
      <c r="F174" t="s">
        <v>426</v>
      </c>
      <c r="G174" s="7">
        <v>5</v>
      </c>
      <c r="H174" s="7">
        <v>4.3999999999999995</v>
      </c>
      <c r="I174" s="7">
        <f t="shared" si="8"/>
        <v>0.60000000000000053</v>
      </c>
      <c r="J174" t="s">
        <v>40</v>
      </c>
      <c r="K174" s="11">
        <v>0.2</v>
      </c>
    </row>
    <row r="175" spans="2:11" x14ac:dyDescent="0.25">
      <c r="B175" t="s">
        <v>98</v>
      </c>
      <c r="C175" t="s">
        <v>338</v>
      </c>
      <c r="D175" t="s">
        <v>38</v>
      </c>
      <c r="E175" t="s">
        <v>99</v>
      </c>
      <c r="F175" t="s">
        <v>424</v>
      </c>
      <c r="G175" s="7">
        <v>12</v>
      </c>
      <c r="H175" s="7">
        <v>10.56</v>
      </c>
      <c r="I175" s="7">
        <f>G175-H175</f>
        <v>1.4399999999999995</v>
      </c>
      <c r="J175" t="s">
        <v>40</v>
      </c>
      <c r="K175" s="11">
        <v>0.48</v>
      </c>
    </row>
    <row r="176" spans="2:11" x14ac:dyDescent="0.25">
      <c r="B176" t="s">
        <v>98</v>
      </c>
      <c r="C176" t="s">
        <v>37</v>
      </c>
      <c r="D176" t="s">
        <v>38</v>
      </c>
      <c r="E176" t="s">
        <v>99</v>
      </c>
      <c r="F176" t="s">
        <v>426</v>
      </c>
      <c r="G176" s="7">
        <v>10</v>
      </c>
      <c r="H176" s="7">
        <v>8.7999999999999989</v>
      </c>
      <c r="I176" s="7">
        <f t="shared" si="8"/>
        <v>1.2000000000000011</v>
      </c>
      <c r="J176" t="s">
        <v>40</v>
      </c>
      <c r="K176" s="11">
        <v>0.4</v>
      </c>
    </row>
    <row r="177" spans="1:11" x14ac:dyDescent="0.25">
      <c r="K177" s="11"/>
    </row>
    <row r="178" spans="1:11" x14ac:dyDescent="0.25">
      <c r="E178" s="8" t="s">
        <v>350</v>
      </c>
      <c r="F178" s="8"/>
      <c r="K178" s="11"/>
    </row>
    <row r="179" spans="1:11" x14ac:dyDescent="0.25">
      <c r="A179" t="s">
        <v>351</v>
      </c>
      <c r="B179" t="s">
        <v>100</v>
      </c>
      <c r="C179" t="s">
        <v>338</v>
      </c>
      <c r="D179" t="s">
        <v>38</v>
      </c>
      <c r="E179" t="s">
        <v>101</v>
      </c>
      <c r="F179" t="s">
        <v>424</v>
      </c>
      <c r="G179" s="7">
        <v>12</v>
      </c>
      <c r="H179" s="7">
        <v>10.559999999999999</v>
      </c>
      <c r="I179" s="7">
        <f t="shared" si="8"/>
        <v>1.4400000000000013</v>
      </c>
      <c r="J179" t="s">
        <v>40</v>
      </c>
      <c r="K179" s="11">
        <v>0.48</v>
      </c>
    </row>
    <row r="180" spans="1:11" x14ac:dyDescent="0.25">
      <c r="B180" t="s">
        <v>100</v>
      </c>
      <c r="C180" t="s">
        <v>37</v>
      </c>
      <c r="D180" t="s">
        <v>38</v>
      </c>
      <c r="E180" t="s">
        <v>101</v>
      </c>
      <c r="F180" t="s">
        <v>426</v>
      </c>
      <c r="G180" s="7">
        <v>10</v>
      </c>
      <c r="H180" s="7">
        <v>8.7999999999999989</v>
      </c>
      <c r="I180" s="7">
        <f t="shared" si="8"/>
        <v>1.2000000000000011</v>
      </c>
      <c r="J180" t="s">
        <v>40</v>
      </c>
      <c r="K180" s="11">
        <v>0.4</v>
      </c>
    </row>
    <row r="181" spans="1:11" x14ac:dyDescent="0.25">
      <c r="B181" t="s">
        <v>102</v>
      </c>
      <c r="C181" t="s">
        <v>338</v>
      </c>
      <c r="D181" t="s">
        <v>38</v>
      </c>
      <c r="E181" t="s">
        <v>103</v>
      </c>
      <c r="F181" t="s">
        <v>424</v>
      </c>
      <c r="G181" s="7">
        <v>5994</v>
      </c>
      <c r="H181" s="7">
        <v>5274.7199999999993</v>
      </c>
      <c r="I181" s="7">
        <f t="shared" si="8"/>
        <v>719.28000000000065</v>
      </c>
      <c r="J181" t="s">
        <v>40</v>
      </c>
      <c r="K181" s="11">
        <v>239.76</v>
      </c>
    </row>
    <row r="182" spans="1:11" x14ac:dyDescent="0.25">
      <c r="B182" t="s">
        <v>102</v>
      </c>
      <c r="C182" t="s">
        <v>37</v>
      </c>
      <c r="D182" t="s">
        <v>38</v>
      </c>
      <c r="E182" t="s">
        <v>103</v>
      </c>
      <c r="F182" t="s">
        <v>426</v>
      </c>
      <c r="G182" s="7">
        <v>4995</v>
      </c>
      <c r="H182" s="7">
        <v>4395.5999999999995</v>
      </c>
      <c r="I182" s="7">
        <f t="shared" si="8"/>
        <v>599.40000000000055</v>
      </c>
      <c r="J182" t="s">
        <v>40</v>
      </c>
      <c r="K182" s="11">
        <v>199.8</v>
      </c>
    </row>
    <row r="183" spans="1:11" x14ac:dyDescent="0.25">
      <c r="B183" t="s">
        <v>102</v>
      </c>
      <c r="C183" t="s">
        <v>338</v>
      </c>
      <c r="D183" t="s">
        <v>38</v>
      </c>
      <c r="E183" t="s">
        <v>104</v>
      </c>
      <c r="F183" t="s">
        <v>424</v>
      </c>
      <c r="G183" s="7">
        <v>11994</v>
      </c>
      <c r="H183" s="7">
        <v>10554.720000000001</v>
      </c>
      <c r="I183" s="7">
        <f t="shared" si="8"/>
        <v>1439.2799999999988</v>
      </c>
      <c r="J183" t="s">
        <v>40</v>
      </c>
      <c r="K183" s="11">
        <v>476.76</v>
      </c>
    </row>
    <row r="184" spans="1:11" x14ac:dyDescent="0.25">
      <c r="B184" t="s">
        <v>102</v>
      </c>
      <c r="C184" t="s">
        <v>37</v>
      </c>
      <c r="D184" t="s">
        <v>38</v>
      </c>
      <c r="E184" t="s">
        <v>104</v>
      </c>
      <c r="F184" t="s">
        <v>426</v>
      </c>
      <c r="G184" s="7">
        <v>9995</v>
      </c>
      <c r="H184" s="7">
        <v>8795.6</v>
      </c>
      <c r="I184" s="7">
        <f t="shared" si="8"/>
        <v>1199.3999999999996</v>
      </c>
      <c r="J184" t="s">
        <v>40</v>
      </c>
      <c r="K184" s="11">
        <v>399.8</v>
      </c>
    </row>
    <row r="185" spans="1:11" x14ac:dyDescent="0.25">
      <c r="B185" t="s">
        <v>102</v>
      </c>
      <c r="C185" t="s">
        <v>338</v>
      </c>
      <c r="D185" t="s">
        <v>38</v>
      </c>
      <c r="E185" t="s">
        <v>105</v>
      </c>
      <c r="F185" t="s">
        <v>424</v>
      </c>
      <c r="G185" s="7">
        <v>23994</v>
      </c>
      <c r="H185" s="7">
        <v>21114.720000000001</v>
      </c>
      <c r="I185" s="7">
        <f t="shared" si="8"/>
        <v>2879.2799999999988</v>
      </c>
      <c r="J185" t="s">
        <v>40</v>
      </c>
      <c r="K185" s="11">
        <v>959.76</v>
      </c>
    </row>
    <row r="186" spans="1:11" x14ac:dyDescent="0.25">
      <c r="B186" t="s">
        <v>102</v>
      </c>
      <c r="C186" t="s">
        <v>37</v>
      </c>
      <c r="D186" t="s">
        <v>38</v>
      </c>
      <c r="E186" t="s">
        <v>105</v>
      </c>
      <c r="F186" t="s">
        <v>426</v>
      </c>
      <c r="G186" s="7">
        <v>19995</v>
      </c>
      <c r="H186" s="7">
        <v>17595.600000000002</v>
      </c>
      <c r="I186" s="7">
        <f t="shared" si="8"/>
        <v>2399.3999999999978</v>
      </c>
      <c r="J186" t="s">
        <v>40</v>
      </c>
      <c r="K186" s="11">
        <v>799.8</v>
      </c>
    </row>
    <row r="187" spans="1:11" x14ac:dyDescent="0.25">
      <c r="B187" t="s">
        <v>102</v>
      </c>
      <c r="C187" t="s">
        <v>338</v>
      </c>
      <c r="D187" t="s">
        <v>38</v>
      </c>
      <c r="E187" t="s">
        <v>106</v>
      </c>
      <c r="F187" t="s">
        <v>424</v>
      </c>
      <c r="G187" s="7">
        <v>47994</v>
      </c>
      <c r="H187" s="7">
        <v>42234.719999999994</v>
      </c>
      <c r="I187" s="7">
        <f t="shared" si="8"/>
        <v>5759.2800000000061</v>
      </c>
      <c r="J187" t="s">
        <v>40</v>
      </c>
      <c r="K187" s="11">
        <v>1919.76</v>
      </c>
    </row>
    <row r="188" spans="1:11" x14ac:dyDescent="0.25">
      <c r="B188" t="s">
        <v>102</v>
      </c>
      <c r="C188" t="s">
        <v>37</v>
      </c>
      <c r="D188" t="s">
        <v>38</v>
      </c>
      <c r="E188" t="s">
        <v>106</v>
      </c>
      <c r="F188" t="s">
        <v>426</v>
      </c>
      <c r="G188" s="7">
        <v>39995</v>
      </c>
      <c r="H188" s="7">
        <v>35195.599999999999</v>
      </c>
      <c r="I188" s="7">
        <f t="shared" si="8"/>
        <v>4799.4000000000015</v>
      </c>
      <c r="J188" t="s">
        <v>40</v>
      </c>
      <c r="K188" s="11">
        <v>1599.8</v>
      </c>
    </row>
    <row r="189" spans="1:11" x14ac:dyDescent="0.25">
      <c r="B189" t="s">
        <v>102</v>
      </c>
      <c r="C189" t="s">
        <v>338</v>
      </c>
      <c r="D189" t="s">
        <v>38</v>
      </c>
      <c r="E189" t="s">
        <v>107</v>
      </c>
      <c r="F189" t="s">
        <v>424</v>
      </c>
      <c r="G189" s="7">
        <v>95994</v>
      </c>
      <c r="H189" s="7">
        <v>84474.72</v>
      </c>
      <c r="I189" s="7">
        <f t="shared" si="8"/>
        <v>11519.279999999999</v>
      </c>
      <c r="J189" t="s">
        <v>40</v>
      </c>
      <c r="K189" s="11">
        <v>3839.76</v>
      </c>
    </row>
    <row r="190" spans="1:11" x14ac:dyDescent="0.25">
      <c r="B190" t="s">
        <v>102</v>
      </c>
      <c r="C190" t="s">
        <v>37</v>
      </c>
      <c r="D190" t="s">
        <v>38</v>
      </c>
      <c r="E190" t="s">
        <v>107</v>
      </c>
      <c r="F190" t="s">
        <v>426</v>
      </c>
      <c r="G190" s="7">
        <v>79995</v>
      </c>
      <c r="H190" s="7">
        <v>70395.599999999991</v>
      </c>
      <c r="I190" s="7">
        <f t="shared" si="8"/>
        <v>9599.4000000000087</v>
      </c>
      <c r="J190" t="s">
        <v>40</v>
      </c>
      <c r="K190" s="11">
        <v>3199.8</v>
      </c>
    </row>
    <row r="191" spans="1:11" x14ac:dyDescent="0.25">
      <c r="B191" t="s">
        <v>108</v>
      </c>
      <c r="C191" t="s">
        <v>338</v>
      </c>
      <c r="D191" t="s">
        <v>38</v>
      </c>
      <c r="E191" t="s">
        <v>109</v>
      </c>
      <c r="F191" t="s">
        <v>424</v>
      </c>
      <c r="G191" s="7">
        <v>24</v>
      </c>
      <c r="H191" s="7">
        <v>21.119999999999997</v>
      </c>
      <c r="I191" s="7">
        <f t="shared" si="8"/>
        <v>2.8800000000000026</v>
      </c>
      <c r="J191" t="s">
        <v>40</v>
      </c>
      <c r="K191" s="11">
        <v>0.96</v>
      </c>
    </row>
    <row r="192" spans="1:11" x14ac:dyDescent="0.25">
      <c r="B192" t="s">
        <v>108</v>
      </c>
      <c r="C192" t="s">
        <v>37</v>
      </c>
      <c r="D192" t="s">
        <v>38</v>
      </c>
      <c r="E192" t="s">
        <v>109</v>
      </c>
      <c r="F192" t="s">
        <v>426</v>
      </c>
      <c r="G192" s="7">
        <v>20</v>
      </c>
      <c r="H192" s="7">
        <v>17.599999999999998</v>
      </c>
      <c r="I192" s="7">
        <f t="shared" si="8"/>
        <v>2.4000000000000021</v>
      </c>
      <c r="J192" t="s">
        <v>40</v>
      </c>
      <c r="K192" s="11">
        <v>0.8</v>
      </c>
    </row>
    <row r="193" spans="1:11" x14ac:dyDescent="0.25">
      <c r="B193" t="s">
        <v>110</v>
      </c>
      <c r="C193" t="s">
        <v>338</v>
      </c>
      <c r="D193" t="s">
        <v>38</v>
      </c>
      <c r="E193" t="s">
        <v>111</v>
      </c>
      <c r="F193" t="s">
        <v>424</v>
      </c>
      <c r="G193" s="7">
        <v>12</v>
      </c>
      <c r="H193" s="7">
        <v>10.559999999999999</v>
      </c>
      <c r="I193" s="7">
        <f t="shared" si="8"/>
        <v>1.4400000000000013</v>
      </c>
      <c r="J193" t="s">
        <v>40</v>
      </c>
      <c r="K193" s="11">
        <v>0.48</v>
      </c>
    </row>
    <row r="194" spans="1:11" x14ac:dyDescent="0.25">
      <c r="B194" t="s">
        <v>110</v>
      </c>
      <c r="C194" t="s">
        <v>37</v>
      </c>
      <c r="D194" t="s">
        <v>38</v>
      </c>
      <c r="E194" t="s">
        <v>111</v>
      </c>
      <c r="F194" t="s">
        <v>426</v>
      </c>
      <c r="G194" s="7">
        <v>10</v>
      </c>
      <c r="H194" s="7">
        <v>8.7999999999999989</v>
      </c>
      <c r="I194" s="7">
        <f t="shared" si="8"/>
        <v>1.2000000000000011</v>
      </c>
      <c r="J194" t="s">
        <v>40</v>
      </c>
      <c r="K194" s="11">
        <v>0.4</v>
      </c>
    </row>
    <row r="195" spans="1:11" x14ac:dyDescent="0.25">
      <c r="K195" s="11"/>
    </row>
    <row r="196" spans="1:11" x14ac:dyDescent="0.25">
      <c r="E196" s="8" t="s">
        <v>352</v>
      </c>
      <c r="F196" s="8"/>
      <c r="K196" s="11"/>
    </row>
    <row r="197" spans="1:11" x14ac:dyDescent="0.25">
      <c r="B197" t="s">
        <v>112</v>
      </c>
      <c r="C197" t="s">
        <v>338</v>
      </c>
      <c r="D197" t="s">
        <v>38</v>
      </c>
      <c r="E197" t="s">
        <v>113</v>
      </c>
      <c r="F197" t="s">
        <v>426</v>
      </c>
      <c r="G197" s="7">
        <v>8.4</v>
      </c>
      <c r="H197" s="7">
        <v>7.39</v>
      </c>
      <c r="I197" s="7">
        <f>G197-H197</f>
        <v>1.0100000000000007</v>
      </c>
      <c r="J197" t="s">
        <v>40</v>
      </c>
      <c r="K197" s="11">
        <v>0.34</v>
      </c>
    </row>
    <row r="198" spans="1:11" x14ac:dyDescent="0.25">
      <c r="B198" t="s">
        <v>112</v>
      </c>
      <c r="C198" t="s">
        <v>37</v>
      </c>
      <c r="D198" t="s">
        <v>38</v>
      </c>
      <c r="E198" t="s">
        <v>113</v>
      </c>
      <c r="F198" t="s">
        <v>426</v>
      </c>
      <c r="G198" s="7">
        <v>7</v>
      </c>
      <c r="H198" s="7">
        <v>6.16</v>
      </c>
      <c r="I198" s="7">
        <f t="shared" si="8"/>
        <v>0.83999999999999986</v>
      </c>
      <c r="J198" t="s">
        <v>40</v>
      </c>
      <c r="K198" s="11">
        <v>0.28000000000000003</v>
      </c>
    </row>
    <row r="199" spans="1:11" x14ac:dyDescent="0.25">
      <c r="B199" t="s">
        <v>114</v>
      </c>
      <c r="C199" t="s">
        <v>338</v>
      </c>
      <c r="D199" t="s">
        <v>38</v>
      </c>
      <c r="E199" t="s">
        <v>115</v>
      </c>
      <c r="F199" t="s">
        <v>424</v>
      </c>
      <c r="G199" s="7">
        <v>66</v>
      </c>
      <c r="H199" s="7">
        <v>58.08</v>
      </c>
      <c r="I199" s="7">
        <f>G199-H199</f>
        <v>7.9200000000000017</v>
      </c>
      <c r="J199" t="s">
        <v>40</v>
      </c>
      <c r="K199" s="11">
        <v>2.64</v>
      </c>
    </row>
    <row r="200" spans="1:11" x14ac:dyDescent="0.25">
      <c r="B200" t="s">
        <v>114</v>
      </c>
      <c r="C200" t="s">
        <v>37</v>
      </c>
      <c r="D200" t="s">
        <v>38</v>
      </c>
      <c r="E200" t="s">
        <v>115</v>
      </c>
      <c r="F200" t="s">
        <v>426</v>
      </c>
      <c r="G200" s="7">
        <v>55</v>
      </c>
      <c r="H200" s="7">
        <v>48.4</v>
      </c>
      <c r="I200" s="7">
        <f t="shared" si="8"/>
        <v>6.6000000000000014</v>
      </c>
      <c r="J200" t="s">
        <v>40</v>
      </c>
      <c r="K200" s="11">
        <v>2.2000000000000002</v>
      </c>
    </row>
    <row r="201" spans="1:11" x14ac:dyDescent="0.25">
      <c r="A201" t="s">
        <v>353</v>
      </c>
      <c r="B201" t="s">
        <v>116</v>
      </c>
      <c r="C201" t="s">
        <v>338</v>
      </c>
      <c r="D201" t="s">
        <v>342</v>
      </c>
      <c r="E201" t="s">
        <v>117</v>
      </c>
      <c r="F201" t="s">
        <v>425</v>
      </c>
      <c r="G201" s="7">
        <v>0</v>
      </c>
      <c r="H201" s="7">
        <v>0</v>
      </c>
      <c r="I201" s="7">
        <f t="shared" si="8"/>
        <v>0</v>
      </c>
      <c r="J201" t="s">
        <v>40</v>
      </c>
      <c r="K201" s="11"/>
    </row>
    <row r="202" spans="1:11" x14ac:dyDescent="0.25">
      <c r="C202" t="s">
        <v>338</v>
      </c>
      <c r="D202" t="s">
        <v>38</v>
      </c>
      <c r="E202" t="s">
        <v>117</v>
      </c>
      <c r="F202" t="s">
        <v>424</v>
      </c>
      <c r="G202" s="7">
        <v>36</v>
      </c>
      <c r="H202" s="7">
        <v>31.68</v>
      </c>
      <c r="I202" s="7">
        <f t="shared" si="8"/>
        <v>4.32</v>
      </c>
      <c r="J202" t="s">
        <v>40</v>
      </c>
      <c r="K202" s="11">
        <v>1.44</v>
      </c>
    </row>
    <row r="203" spans="1:11" x14ac:dyDescent="0.25">
      <c r="B203" t="s">
        <v>116</v>
      </c>
      <c r="C203" t="s">
        <v>37</v>
      </c>
      <c r="D203" t="s">
        <v>38</v>
      </c>
      <c r="E203" t="s">
        <v>117</v>
      </c>
      <c r="F203" t="s">
        <v>426</v>
      </c>
      <c r="G203" s="7">
        <v>30</v>
      </c>
      <c r="H203" s="7">
        <v>26.400000000000002</v>
      </c>
      <c r="I203" s="7">
        <f t="shared" si="8"/>
        <v>3.5999999999999979</v>
      </c>
      <c r="J203" t="s">
        <v>40</v>
      </c>
      <c r="K203" s="11">
        <v>1.2</v>
      </c>
    </row>
    <row r="204" spans="1:11" x14ac:dyDescent="0.25">
      <c r="A204" t="s">
        <v>354</v>
      </c>
      <c r="B204" t="s">
        <v>118</v>
      </c>
      <c r="C204" t="s">
        <v>338</v>
      </c>
      <c r="D204" t="s">
        <v>342</v>
      </c>
      <c r="E204" t="s">
        <v>119</v>
      </c>
      <c r="F204" t="s">
        <v>425</v>
      </c>
      <c r="G204" s="7">
        <v>0</v>
      </c>
      <c r="H204" s="7">
        <v>0</v>
      </c>
      <c r="I204" s="7">
        <f t="shared" si="8"/>
        <v>0</v>
      </c>
      <c r="J204" t="s">
        <v>40</v>
      </c>
      <c r="K204" s="11"/>
    </row>
    <row r="205" spans="1:11" x14ac:dyDescent="0.25">
      <c r="B205" t="s">
        <v>118</v>
      </c>
      <c r="C205" t="s">
        <v>338</v>
      </c>
      <c r="D205" t="s">
        <v>38</v>
      </c>
      <c r="E205" t="s">
        <v>1348</v>
      </c>
      <c r="F205" t="s">
        <v>424</v>
      </c>
      <c r="G205" s="7">
        <v>12</v>
      </c>
      <c r="H205" s="7">
        <v>10.56</v>
      </c>
      <c r="I205" s="7">
        <f t="shared" si="8"/>
        <v>1.4399999999999995</v>
      </c>
      <c r="J205" t="s">
        <v>40</v>
      </c>
      <c r="K205" s="11">
        <v>0.48</v>
      </c>
    </row>
    <row r="206" spans="1:11" x14ac:dyDescent="0.25">
      <c r="B206" t="s">
        <v>118</v>
      </c>
      <c r="C206" t="s">
        <v>37</v>
      </c>
      <c r="D206" t="s">
        <v>38</v>
      </c>
      <c r="E206" t="s">
        <v>1348</v>
      </c>
      <c r="F206" t="s">
        <v>426</v>
      </c>
      <c r="G206" s="7">
        <v>10</v>
      </c>
      <c r="H206" s="7">
        <v>8.7999999999999989</v>
      </c>
      <c r="I206" s="7">
        <f t="shared" si="8"/>
        <v>1.2000000000000011</v>
      </c>
      <c r="J206" t="s">
        <v>40</v>
      </c>
      <c r="K206" s="11">
        <v>0.4</v>
      </c>
    </row>
    <row r="207" spans="1:11" x14ac:dyDescent="0.25">
      <c r="K207" s="11"/>
    </row>
    <row r="208" spans="1:11" x14ac:dyDescent="0.25">
      <c r="E208" s="8" t="s">
        <v>355</v>
      </c>
      <c r="F208" s="8"/>
      <c r="K208" s="11"/>
    </row>
    <row r="209" spans="1:11" x14ac:dyDescent="0.25">
      <c r="B209" t="s">
        <v>121</v>
      </c>
      <c r="C209" t="s">
        <v>338</v>
      </c>
      <c r="D209" t="s">
        <v>38</v>
      </c>
      <c r="E209" t="s">
        <v>122</v>
      </c>
      <c r="F209" t="s">
        <v>424</v>
      </c>
      <c r="G209" s="7">
        <v>6</v>
      </c>
      <c r="H209" s="7">
        <v>5.28</v>
      </c>
      <c r="I209" s="7">
        <f>G209-H209</f>
        <v>0.71999999999999975</v>
      </c>
      <c r="J209" t="s">
        <v>40</v>
      </c>
      <c r="K209" s="11">
        <v>0.24</v>
      </c>
    </row>
    <row r="210" spans="1:11" x14ac:dyDescent="0.25">
      <c r="A210" t="s">
        <v>120</v>
      </c>
      <c r="B210" t="s">
        <v>121</v>
      </c>
      <c r="C210" t="s">
        <v>37</v>
      </c>
      <c r="D210" t="s">
        <v>38</v>
      </c>
      <c r="E210" t="s">
        <v>122</v>
      </c>
      <c r="F210" t="s">
        <v>426</v>
      </c>
      <c r="G210" s="7">
        <v>5</v>
      </c>
      <c r="H210" s="7">
        <v>4.3999999999999995</v>
      </c>
      <c r="I210" s="7">
        <f t="shared" si="8"/>
        <v>0.60000000000000053</v>
      </c>
      <c r="J210" t="s">
        <v>40</v>
      </c>
      <c r="K210" s="11">
        <v>0.2</v>
      </c>
    </row>
    <row r="211" spans="1:11" x14ac:dyDescent="0.25">
      <c r="B211" t="s">
        <v>121</v>
      </c>
      <c r="C211" t="s">
        <v>338</v>
      </c>
      <c r="D211" t="s">
        <v>38</v>
      </c>
      <c r="E211" t="s">
        <v>123</v>
      </c>
      <c r="F211" t="s">
        <v>424</v>
      </c>
      <c r="G211" s="7">
        <v>12</v>
      </c>
      <c r="H211" s="7">
        <v>10.56</v>
      </c>
      <c r="I211" s="7">
        <f>G211-H211</f>
        <v>1.4399999999999995</v>
      </c>
      <c r="J211" t="s">
        <v>40</v>
      </c>
      <c r="K211" s="11">
        <v>0.48</v>
      </c>
    </row>
    <row r="212" spans="1:11" x14ac:dyDescent="0.25">
      <c r="A212" t="s">
        <v>120</v>
      </c>
      <c r="B212" t="s">
        <v>121</v>
      </c>
      <c r="C212" t="s">
        <v>37</v>
      </c>
      <c r="D212" t="s">
        <v>38</v>
      </c>
      <c r="E212" t="s">
        <v>123</v>
      </c>
      <c r="F212" t="s">
        <v>426</v>
      </c>
      <c r="G212" s="7">
        <v>10</v>
      </c>
      <c r="H212" s="7">
        <v>8.7999999999999989</v>
      </c>
      <c r="I212" s="7">
        <f t="shared" si="8"/>
        <v>1.2000000000000011</v>
      </c>
      <c r="J212" t="s">
        <v>40</v>
      </c>
      <c r="K212" s="11">
        <v>0.4</v>
      </c>
    </row>
    <row r="213" spans="1:11" x14ac:dyDescent="0.25">
      <c r="B213" t="s">
        <v>840</v>
      </c>
      <c r="C213" t="s">
        <v>338</v>
      </c>
      <c r="D213" t="s">
        <v>342</v>
      </c>
      <c r="E213" t="s">
        <v>839</v>
      </c>
      <c r="F213" t="s">
        <v>425</v>
      </c>
      <c r="G213" s="7">
        <v>0</v>
      </c>
      <c r="H213" s="7">
        <v>0</v>
      </c>
      <c r="I213" s="7">
        <f t="shared" si="8"/>
        <v>0</v>
      </c>
      <c r="J213" t="s">
        <v>40</v>
      </c>
      <c r="K213" s="11"/>
    </row>
    <row r="214" spans="1:11" x14ac:dyDescent="0.25">
      <c r="B214" t="s">
        <v>840</v>
      </c>
      <c r="C214" t="s">
        <v>338</v>
      </c>
      <c r="D214" t="s">
        <v>38</v>
      </c>
      <c r="E214" t="s">
        <v>839</v>
      </c>
      <c r="F214" t="s">
        <v>424</v>
      </c>
      <c r="G214" s="7">
        <v>3.6</v>
      </c>
      <c r="H214" s="7">
        <v>3.17</v>
      </c>
      <c r="I214" s="7">
        <f t="shared" si="8"/>
        <v>0.43000000000000016</v>
      </c>
      <c r="J214" t="s">
        <v>40</v>
      </c>
      <c r="K214" s="11"/>
    </row>
    <row r="215" spans="1:11" x14ac:dyDescent="0.25">
      <c r="B215" t="s">
        <v>840</v>
      </c>
      <c r="C215" t="s">
        <v>37</v>
      </c>
      <c r="D215" t="s">
        <v>38</v>
      </c>
      <c r="E215" t="s">
        <v>839</v>
      </c>
      <c r="F215" t="s">
        <v>426</v>
      </c>
      <c r="G215" s="7">
        <v>3</v>
      </c>
      <c r="H215" s="7">
        <v>2.64</v>
      </c>
      <c r="I215" s="7">
        <f t="shared" si="8"/>
        <v>0.35999999999999988</v>
      </c>
      <c r="J215" t="s">
        <v>40</v>
      </c>
      <c r="K215" s="11"/>
    </row>
    <row r="216" spans="1:11" x14ac:dyDescent="0.25">
      <c r="B216" t="s">
        <v>840</v>
      </c>
      <c r="C216" t="s">
        <v>373</v>
      </c>
      <c r="D216" t="s">
        <v>38</v>
      </c>
      <c r="E216" t="s">
        <v>839</v>
      </c>
      <c r="F216" t="s">
        <v>703</v>
      </c>
      <c r="G216" s="7">
        <v>3</v>
      </c>
      <c r="H216" s="7">
        <v>2.64</v>
      </c>
      <c r="I216" s="7">
        <f t="shared" si="8"/>
        <v>0.35999999999999988</v>
      </c>
      <c r="J216" t="s">
        <v>40</v>
      </c>
      <c r="K216" s="11"/>
    </row>
    <row r="217" spans="1:11" x14ac:dyDescent="0.25">
      <c r="B217" t="s">
        <v>124</v>
      </c>
      <c r="C217" t="s">
        <v>338</v>
      </c>
      <c r="D217" t="s">
        <v>38</v>
      </c>
      <c r="E217" t="s">
        <v>125</v>
      </c>
      <c r="F217" t="s">
        <v>424</v>
      </c>
      <c r="G217" s="7">
        <v>6</v>
      </c>
      <c r="H217" s="7">
        <v>5.28</v>
      </c>
      <c r="I217" s="7">
        <f t="shared" si="8"/>
        <v>0.71999999999999975</v>
      </c>
      <c r="J217" t="s">
        <v>40</v>
      </c>
      <c r="K217" s="11">
        <v>0.24</v>
      </c>
    </row>
    <row r="218" spans="1:11" x14ac:dyDescent="0.25">
      <c r="B218" t="s">
        <v>124</v>
      </c>
      <c r="C218" t="s">
        <v>37</v>
      </c>
      <c r="D218" t="s">
        <v>38</v>
      </c>
      <c r="E218" t="s">
        <v>125</v>
      </c>
      <c r="F218" t="s">
        <v>426</v>
      </c>
      <c r="G218" s="7">
        <v>5</v>
      </c>
      <c r="H218" s="7">
        <v>4.3999999999999995</v>
      </c>
      <c r="I218" s="7">
        <f t="shared" si="8"/>
        <v>0.60000000000000053</v>
      </c>
      <c r="J218" t="s">
        <v>40</v>
      </c>
      <c r="K218" s="11">
        <v>0.2</v>
      </c>
    </row>
    <row r="219" spans="1:11" x14ac:dyDescent="0.25">
      <c r="K219" s="11"/>
    </row>
    <row r="220" spans="1:11" x14ac:dyDescent="0.25">
      <c r="E220" s="8" t="s">
        <v>356</v>
      </c>
      <c r="F220" s="8"/>
      <c r="K220" s="11"/>
    </row>
    <row r="221" spans="1:11" x14ac:dyDescent="0.25">
      <c r="B221" t="s">
        <v>126</v>
      </c>
      <c r="C221" t="s">
        <v>338</v>
      </c>
      <c r="D221" t="s">
        <v>38</v>
      </c>
      <c r="E221" t="s">
        <v>127</v>
      </c>
      <c r="F221" t="s">
        <v>424</v>
      </c>
      <c r="G221" s="7">
        <v>2.4</v>
      </c>
      <c r="H221" s="7">
        <v>2.11</v>
      </c>
      <c r="I221" s="7">
        <f>G221-H221</f>
        <v>0.29000000000000004</v>
      </c>
      <c r="J221" t="s">
        <v>40</v>
      </c>
      <c r="K221" s="11">
        <v>0.1</v>
      </c>
    </row>
    <row r="222" spans="1:11" x14ac:dyDescent="0.25">
      <c r="B222" t="s">
        <v>126</v>
      </c>
      <c r="C222" t="s">
        <v>37</v>
      </c>
      <c r="D222" t="s">
        <v>38</v>
      </c>
      <c r="E222" t="s">
        <v>127</v>
      </c>
      <c r="F222" t="s">
        <v>426</v>
      </c>
      <c r="G222" s="7">
        <v>2</v>
      </c>
      <c r="H222" s="7">
        <v>1.76</v>
      </c>
      <c r="I222" s="7">
        <f t="shared" si="8"/>
        <v>0.24</v>
      </c>
      <c r="J222" t="s">
        <v>40</v>
      </c>
      <c r="K222" s="11">
        <v>0.08</v>
      </c>
    </row>
    <row r="223" spans="1:11" x14ac:dyDescent="0.25">
      <c r="B223" t="s">
        <v>129</v>
      </c>
      <c r="C223" t="s">
        <v>338</v>
      </c>
      <c r="D223" t="s">
        <v>38</v>
      </c>
      <c r="E223" t="s">
        <v>827</v>
      </c>
      <c r="F223" t="s">
        <v>424</v>
      </c>
      <c r="G223" s="7">
        <v>28.8</v>
      </c>
      <c r="H223" s="7">
        <v>28.8</v>
      </c>
      <c r="I223" s="7">
        <f t="shared" si="8"/>
        <v>0</v>
      </c>
      <c r="J223" t="s">
        <v>40</v>
      </c>
      <c r="K223" s="11">
        <v>1.44</v>
      </c>
    </row>
    <row r="224" spans="1:11" x14ac:dyDescent="0.25">
      <c r="B224" t="s">
        <v>129</v>
      </c>
      <c r="C224" t="s">
        <v>37</v>
      </c>
      <c r="D224" t="s">
        <v>38</v>
      </c>
      <c r="E224" t="s">
        <v>827</v>
      </c>
      <c r="F224" t="s">
        <v>426</v>
      </c>
      <c r="G224" s="7">
        <v>24</v>
      </c>
      <c r="H224" s="7">
        <v>24</v>
      </c>
      <c r="I224" s="7">
        <f t="shared" si="8"/>
        <v>0</v>
      </c>
      <c r="J224" t="s">
        <v>40</v>
      </c>
      <c r="K224" s="11">
        <v>1.2</v>
      </c>
    </row>
    <row r="225" spans="2:11" x14ac:dyDescent="0.25">
      <c r="B225" t="s">
        <v>799</v>
      </c>
      <c r="C225" t="s">
        <v>338</v>
      </c>
      <c r="D225" t="s">
        <v>38</v>
      </c>
      <c r="E225" t="s">
        <v>798</v>
      </c>
      <c r="F225" t="s">
        <v>424</v>
      </c>
      <c r="G225" s="7">
        <v>14.4</v>
      </c>
      <c r="H225" s="7">
        <v>14.4</v>
      </c>
      <c r="I225" s="7">
        <f t="shared" si="8"/>
        <v>0</v>
      </c>
      <c r="J225" t="s">
        <v>40</v>
      </c>
      <c r="K225" s="11"/>
    </row>
    <row r="226" spans="2:11" x14ac:dyDescent="0.25">
      <c r="B226" t="s">
        <v>799</v>
      </c>
      <c r="C226" t="s">
        <v>37</v>
      </c>
      <c r="D226" t="s">
        <v>38</v>
      </c>
      <c r="E226" t="s">
        <v>798</v>
      </c>
      <c r="F226" t="s">
        <v>426</v>
      </c>
      <c r="G226" s="7">
        <v>12</v>
      </c>
      <c r="H226" s="7">
        <v>12</v>
      </c>
      <c r="I226" s="7">
        <f t="shared" si="8"/>
        <v>0</v>
      </c>
      <c r="J226" t="s">
        <v>40</v>
      </c>
      <c r="K226" s="11"/>
    </row>
    <row r="227" spans="2:11" x14ac:dyDescent="0.25">
      <c r="B227" t="s">
        <v>129</v>
      </c>
      <c r="C227" t="s">
        <v>338</v>
      </c>
      <c r="D227" t="s">
        <v>38</v>
      </c>
      <c r="E227" t="s">
        <v>130</v>
      </c>
      <c r="F227" t="s">
        <v>424</v>
      </c>
      <c r="G227" s="7">
        <v>14.4</v>
      </c>
      <c r="H227" s="7">
        <v>14.4</v>
      </c>
      <c r="I227" s="7">
        <f t="shared" si="8"/>
        <v>0</v>
      </c>
      <c r="J227" t="s">
        <v>40</v>
      </c>
      <c r="K227" s="11">
        <v>0.72</v>
      </c>
    </row>
    <row r="228" spans="2:11" x14ac:dyDescent="0.25">
      <c r="B228" t="s">
        <v>129</v>
      </c>
      <c r="C228" t="s">
        <v>37</v>
      </c>
      <c r="D228" t="s">
        <v>38</v>
      </c>
      <c r="E228" t="s">
        <v>130</v>
      </c>
      <c r="F228" t="s">
        <v>426</v>
      </c>
      <c r="G228" s="7">
        <v>12</v>
      </c>
      <c r="H228" s="7">
        <v>12</v>
      </c>
      <c r="I228" s="7">
        <f t="shared" si="8"/>
        <v>0</v>
      </c>
      <c r="J228" t="s">
        <v>40</v>
      </c>
      <c r="K228" s="11">
        <v>0.6</v>
      </c>
    </row>
    <row r="229" spans="2:11" x14ac:dyDescent="0.25">
      <c r="B229" t="s">
        <v>129</v>
      </c>
      <c r="C229" t="s">
        <v>338</v>
      </c>
      <c r="D229" t="s">
        <v>38</v>
      </c>
      <c r="E229" t="s">
        <v>131</v>
      </c>
      <c r="F229" t="s">
        <v>424</v>
      </c>
      <c r="G229" s="7">
        <v>7.2</v>
      </c>
      <c r="H229" s="7">
        <v>7.2</v>
      </c>
      <c r="I229" s="7">
        <f t="shared" si="8"/>
        <v>0</v>
      </c>
      <c r="J229" t="s">
        <v>40</v>
      </c>
      <c r="K229" s="11">
        <v>0.36</v>
      </c>
    </row>
    <row r="230" spans="2:11" x14ac:dyDescent="0.25">
      <c r="B230" t="s">
        <v>129</v>
      </c>
      <c r="C230" t="s">
        <v>37</v>
      </c>
      <c r="D230" t="s">
        <v>38</v>
      </c>
      <c r="E230" t="s">
        <v>131</v>
      </c>
      <c r="F230" t="s">
        <v>426</v>
      </c>
      <c r="G230" s="7">
        <v>6</v>
      </c>
      <c r="H230" s="7">
        <v>6</v>
      </c>
      <c r="I230" s="7">
        <f t="shared" si="8"/>
        <v>0</v>
      </c>
      <c r="J230" t="s">
        <v>40</v>
      </c>
      <c r="K230" s="11">
        <v>0.3</v>
      </c>
    </row>
    <row r="231" spans="2:11" x14ac:dyDescent="0.25">
      <c r="B231" t="s">
        <v>132</v>
      </c>
      <c r="C231" t="s">
        <v>338</v>
      </c>
      <c r="D231" t="s">
        <v>38</v>
      </c>
      <c r="E231" t="s">
        <v>133</v>
      </c>
      <c r="F231" t="s">
        <v>424</v>
      </c>
      <c r="G231" s="7">
        <v>3</v>
      </c>
      <c r="H231" s="7">
        <v>3</v>
      </c>
      <c r="I231" s="7">
        <f t="shared" si="8"/>
        <v>0</v>
      </c>
      <c r="J231" t="s">
        <v>40</v>
      </c>
      <c r="K231" s="11">
        <v>0.15</v>
      </c>
    </row>
    <row r="232" spans="2:11" x14ac:dyDescent="0.25">
      <c r="B232" t="s">
        <v>132</v>
      </c>
      <c r="C232" t="s">
        <v>37</v>
      </c>
      <c r="D232" t="s">
        <v>38</v>
      </c>
      <c r="E232" t="s">
        <v>133</v>
      </c>
      <c r="F232" t="s">
        <v>426</v>
      </c>
      <c r="G232" s="7">
        <v>2.5</v>
      </c>
      <c r="H232" s="7">
        <v>2.5</v>
      </c>
      <c r="I232" s="7">
        <f t="shared" si="8"/>
        <v>0</v>
      </c>
      <c r="J232" t="s">
        <v>40</v>
      </c>
      <c r="K232" s="11">
        <v>0.13</v>
      </c>
    </row>
    <row r="233" spans="2:11" x14ac:dyDescent="0.25">
      <c r="K233" s="11"/>
    </row>
    <row r="234" spans="2:11" x14ac:dyDescent="0.25">
      <c r="B234" t="s">
        <v>132</v>
      </c>
      <c r="C234" t="s">
        <v>338</v>
      </c>
      <c r="D234" t="s">
        <v>38</v>
      </c>
      <c r="E234" t="s">
        <v>441</v>
      </c>
      <c r="F234" t="s">
        <v>424</v>
      </c>
      <c r="G234" s="7">
        <v>0</v>
      </c>
      <c r="H234" s="7">
        <v>0</v>
      </c>
      <c r="I234" s="7">
        <v>0</v>
      </c>
      <c r="J234" t="s">
        <v>40</v>
      </c>
      <c r="K234" s="11"/>
    </row>
    <row r="235" spans="2:11" x14ac:dyDescent="0.25">
      <c r="B235" t="s">
        <v>132</v>
      </c>
      <c r="C235" t="s">
        <v>37</v>
      </c>
      <c r="D235" t="s">
        <v>38</v>
      </c>
      <c r="E235" t="s">
        <v>441</v>
      </c>
      <c r="F235" t="s">
        <v>426</v>
      </c>
      <c r="G235" s="7">
        <v>0</v>
      </c>
      <c r="H235" s="7">
        <v>0</v>
      </c>
      <c r="I235" s="7">
        <v>0</v>
      </c>
      <c r="J235" t="s">
        <v>40</v>
      </c>
      <c r="K235" s="11"/>
    </row>
    <row r="236" spans="2:11" x14ac:dyDescent="0.25">
      <c r="K236" s="11"/>
    </row>
    <row r="237" spans="2:11" x14ac:dyDescent="0.25">
      <c r="B237" t="s">
        <v>843</v>
      </c>
      <c r="C237" t="s">
        <v>338</v>
      </c>
      <c r="D237" t="s">
        <v>38</v>
      </c>
      <c r="E237" t="s">
        <v>1349</v>
      </c>
      <c r="F237" t="s">
        <v>424</v>
      </c>
      <c r="G237" s="7">
        <v>8.4</v>
      </c>
      <c r="H237" s="7">
        <v>7.3919999999999995</v>
      </c>
      <c r="I237" s="7">
        <f>G237-H237</f>
        <v>1.0080000000000009</v>
      </c>
      <c r="J237" t="s">
        <v>40</v>
      </c>
      <c r="K237" s="11">
        <v>2.4</v>
      </c>
    </row>
    <row r="238" spans="2:11" x14ac:dyDescent="0.25">
      <c r="B238" t="s">
        <v>843</v>
      </c>
      <c r="C238" t="s">
        <v>37</v>
      </c>
      <c r="D238" t="s">
        <v>38</v>
      </c>
      <c r="E238" t="s">
        <v>1349</v>
      </c>
      <c r="F238" t="s">
        <v>426</v>
      </c>
      <c r="G238" s="7">
        <v>7</v>
      </c>
      <c r="H238" s="7">
        <v>6.16</v>
      </c>
      <c r="I238" s="7">
        <f t="shared" si="8"/>
        <v>0.83999999999999986</v>
      </c>
      <c r="J238" t="s">
        <v>40</v>
      </c>
      <c r="K238" s="11">
        <v>2</v>
      </c>
    </row>
    <row r="239" spans="2:11" x14ac:dyDescent="0.25">
      <c r="B239" t="s">
        <v>447</v>
      </c>
      <c r="C239" t="s">
        <v>338</v>
      </c>
      <c r="D239" t="s">
        <v>38</v>
      </c>
      <c r="E239" t="s">
        <v>1350</v>
      </c>
      <c r="F239" t="s">
        <v>425</v>
      </c>
      <c r="G239" s="7">
        <v>0</v>
      </c>
      <c r="H239" s="7">
        <v>0</v>
      </c>
      <c r="I239" s="7">
        <v>0</v>
      </c>
      <c r="J239" t="s">
        <v>40</v>
      </c>
      <c r="K239" s="11"/>
    </row>
    <row r="240" spans="2:11" x14ac:dyDescent="0.25">
      <c r="B240" t="s">
        <v>447</v>
      </c>
      <c r="C240" t="s">
        <v>338</v>
      </c>
      <c r="D240" t="s">
        <v>38</v>
      </c>
      <c r="E240" t="s">
        <v>1350</v>
      </c>
      <c r="F240" t="s">
        <v>424</v>
      </c>
      <c r="G240" s="7">
        <v>4.8</v>
      </c>
      <c r="H240" s="7">
        <v>4.22</v>
      </c>
      <c r="I240" s="7">
        <f t="shared" ref="I240:I257" si="10">G240-H240</f>
        <v>0.58000000000000007</v>
      </c>
      <c r="J240" t="s">
        <v>40</v>
      </c>
      <c r="K240" s="11">
        <v>0.19</v>
      </c>
    </row>
    <row r="241" spans="2:11" x14ac:dyDescent="0.25">
      <c r="B241" t="s">
        <v>447</v>
      </c>
      <c r="C241" t="s">
        <v>37</v>
      </c>
      <c r="D241" t="s">
        <v>38</v>
      </c>
      <c r="E241" t="s">
        <v>1350</v>
      </c>
      <c r="F241" t="s">
        <v>426</v>
      </c>
      <c r="G241" s="7">
        <v>4</v>
      </c>
      <c r="H241" s="7">
        <v>3.52</v>
      </c>
      <c r="I241" s="7">
        <f t="shared" si="10"/>
        <v>0.48</v>
      </c>
      <c r="J241" t="s">
        <v>40</v>
      </c>
      <c r="K241" s="11">
        <v>0.16</v>
      </c>
    </row>
    <row r="242" spans="2:11" x14ac:dyDescent="0.25">
      <c r="B242" t="s">
        <v>828</v>
      </c>
      <c r="C242" t="s">
        <v>338</v>
      </c>
      <c r="D242" t="s">
        <v>38</v>
      </c>
      <c r="E242" t="s">
        <v>1351</v>
      </c>
      <c r="F242" t="s">
        <v>424</v>
      </c>
      <c r="G242" s="7">
        <v>24</v>
      </c>
      <c r="H242" s="7">
        <v>21.12</v>
      </c>
      <c r="I242" s="7">
        <f t="shared" si="10"/>
        <v>2.879999999999999</v>
      </c>
      <c r="J242" t="s">
        <v>40</v>
      </c>
      <c r="K242" s="11"/>
    </row>
    <row r="243" spans="2:11" x14ac:dyDescent="0.25">
      <c r="B243" t="s">
        <v>828</v>
      </c>
      <c r="C243" t="s">
        <v>37</v>
      </c>
      <c r="D243" t="s">
        <v>38</v>
      </c>
      <c r="E243" t="s">
        <v>1351</v>
      </c>
      <c r="F243" t="s">
        <v>426</v>
      </c>
      <c r="G243" s="7">
        <v>20</v>
      </c>
      <c r="H243" s="7">
        <v>17.600000000000001</v>
      </c>
      <c r="I243" s="7">
        <f t="shared" si="10"/>
        <v>2.3999999999999986</v>
      </c>
      <c r="J243" t="s">
        <v>40</v>
      </c>
      <c r="K243" s="11"/>
    </row>
    <row r="244" spans="2:11" x14ac:dyDescent="0.25">
      <c r="B244" t="s">
        <v>1410</v>
      </c>
      <c r="C244" t="s">
        <v>338</v>
      </c>
      <c r="D244" t="s">
        <v>38</v>
      </c>
      <c r="E244" t="s">
        <v>1409</v>
      </c>
      <c r="F244" t="s">
        <v>424</v>
      </c>
      <c r="G244" s="7">
        <v>43.2</v>
      </c>
      <c r="H244" s="7">
        <v>38.020000000000003</v>
      </c>
      <c r="I244" s="7">
        <f t="shared" si="10"/>
        <v>5.18</v>
      </c>
      <c r="J244" t="s">
        <v>40</v>
      </c>
      <c r="K244" s="11"/>
    </row>
    <row r="245" spans="2:11" x14ac:dyDescent="0.25">
      <c r="B245" t="s">
        <v>1410</v>
      </c>
      <c r="C245" t="s">
        <v>37</v>
      </c>
      <c r="D245" t="s">
        <v>38</v>
      </c>
      <c r="E245" t="s">
        <v>1409</v>
      </c>
      <c r="F245" t="s">
        <v>426</v>
      </c>
      <c r="G245" s="7">
        <v>36</v>
      </c>
      <c r="H245" s="7">
        <v>31.68</v>
      </c>
      <c r="I245" s="7">
        <f t="shared" si="10"/>
        <v>4.32</v>
      </c>
      <c r="J245" t="s">
        <v>40</v>
      </c>
      <c r="K245" s="11"/>
    </row>
    <row r="246" spans="2:11" x14ac:dyDescent="0.25">
      <c r="B246" t="s">
        <v>830</v>
      </c>
      <c r="C246" t="s">
        <v>338</v>
      </c>
      <c r="D246" t="s">
        <v>38</v>
      </c>
      <c r="E246" t="s">
        <v>829</v>
      </c>
      <c r="F246" t="s">
        <v>424</v>
      </c>
      <c r="G246" s="7">
        <v>14.4</v>
      </c>
      <c r="H246" s="7">
        <v>12.67</v>
      </c>
      <c r="I246" s="7">
        <f t="shared" si="10"/>
        <v>1.7300000000000004</v>
      </c>
      <c r="J246" t="s">
        <v>40</v>
      </c>
      <c r="K246" s="11"/>
    </row>
    <row r="247" spans="2:11" x14ac:dyDescent="0.25">
      <c r="B247" t="s">
        <v>830</v>
      </c>
      <c r="C247" t="s">
        <v>37</v>
      </c>
      <c r="D247" t="s">
        <v>38</v>
      </c>
      <c r="E247" t="s">
        <v>829</v>
      </c>
      <c r="F247" t="s">
        <v>426</v>
      </c>
      <c r="G247" s="7">
        <v>12</v>
      </c>
      <c r="H247" s="7">
        <v>10.56</v>
      </c>
      <c r="I247" s="7">
        <f t="shared" si="10"/>
        <v>1.4399999999999995</v>
      </c>
      <c r="J247" t="s">
        <v>40</v>
      </c>
      <c r="K247" s="11"/>
    </row>
    <row r="248" spans="2:11" x14ac:dyDescent="0.25">
      <c r="B248" t="s">
        <v>831</v>
      </c>
      <c r="C248" t="s">
        <v>338</v>
      </c>
      <c r="D248" t="s">
        <v>38</v>
      </c>
      <c r="E248" t="s">
        <v>832</v>
      </c>
      <c r="F248" t="s">
        <v>424</v>
      </c>
      <c r="G248" s="7">
        <v>9.6</v>
      </c>
      <c r="H248" s="7">
        <v>8.4499999999999993</v>
      </c>
      <c r="I248" s="7">
        <f t="shared" si="10"/>
        <v>1.1500000000000004</v>
      </c>
      <c r="J248" t="s">
        <v>40</v>
      </c>
      <c r="K248" s="11"/>
    </row>
    <row r="249" spans="2:11" x14ac:dyDescent="0.25">
      <c r="B249" t="s">
        <v>831</v>
      </c>
      <c r="C249" t="s">
        <v>37</v>
      </c>
      <c r="D249" t="s">
        <v>38</v>
      </c>
      <c r="E249" t="s">
        <v>832</v>
      </c>
      <c r="F249" t="s">
        <v>426</v>
      </c>
      <c r="G249" s="7">
        <v>8</v>
      </c>
      <c r="H249" s="7">
        <v>7.04</v>
      </c>
      <c r="I249" s="7">
        <f t="shared" si="10"/>
        <v>0.96</v>
      </c>
      <c r="J249" t="s">
        <v>40</v>
      </c>
      <c r="K249" s="11"/>
    </row>
    <row r="250" spans="2:11" x14ac:dyDescent="0.25">
      <c r="B250" t="s">
        <v>128</v>
      </c>
      <c r="C250" t="s">
        <v>338</v>
      </c>
      <c r="D250" t="s">
        <v>38</v>
      </c>
      <c r="E250" t="s">
        <v>448</v>
      </c>
      <c r="F250" t="s">
        <v>424</v>
      </c>
      <c r="G250" s="7">
        <v>9.6</v>
      </c>
      <c r="H250" s="7">
        <v>8.4499999999999993</v>
      </c>
      <c r="I250" s="7">
        <f t="shared" si="10"/>
        <v>1.1500000000000004</v>
      </c>
      <c r="J250" t="s">
        <v>40</v>
      </c>
      <c r="K250" s="11">
        <v>0.38</v>
      </c>
    </row>
    <row r="251" spans="2:11" x14ac:dyDescent="0.25">
      <c r="B251" t="s">
        <v>128</v>
      </c>
      <c r="C251" t="s">
        <v>37</v>
      </c>
      <c r="D251" t="s">
        <v>38</v>
      </c>
      <c r="E251" t="s">
        <v>448</v>
      </c>
      <c r="F251" t="s">
        <v>426</v>
      </c>
      <c r="G251" s="7">
        <v>8</v>
      </c>
      <c r="H251" s="7">
        <v>7.04</v>
      </c>
      <c r="I251" s="7">
        <f t="shared" si="10"/>
        <v>0.96</v>
      </c>
      <c r="J251" t="s">
        <v>40</v>
      </c>
      <c r="K251" s="11">
        <v>0.32</v>
      </c>
    </row>
    <row r="252" spans="2:11" x14ac:dyDescent="0.25">
      <c r="B252" t="s">
        <v>929</v>
      </c>
      <c r="C252" t="s">
        <v>338</v>
      </c>
      <c r="D252" t="s">
        <v>38</v>
      </c>
      <c r="E252" t="s">
        <v>494</v>
      </c>
      <c r="F252" t="s">
        <v>424</v>
      </c>
      <c r="G252" s="7">
        <v>48</v>
      </c>
      <c r="H252" s="7">
        <v>42.24</v>
      </c>
      <c r="I252" s="7">
        <f t="shared" si="10"/>
        <v>5.759999999999998</v>
      </c>
      <c r="J252" t="s">
        <v>40</v>
      </c>
      <c r="K252" s="11"/>
    </row>
    <row r="253" spans="2:11" x14ac:dyDescent="0.25">
      <c r="B253" t="s">
        <v>929</v>
      </c>
      <c r="C253" t="s">
        <v>37</v>
      </c>
      <c r="D253" t="s">
        <v>38</v>
      </c>
      <c r="E253" t="s">
        <v>494</v>
      </c>
      <c r="F253" t="s">
        <v>426</v>
      </c>
      <c r="G253" s="7">
        <v>40</v>
      </c>
      <c r="H253" s="7">
        <v>35.200000000000003</v>
      </c>
      <c r="I253" s="7">
        <f t="shared" si="10"/>
        <v>4.7999999999999972</v>
      </c>
      <c r="J253" t="s">
        <v>40</v>
      </c>
      <c r="K253" s="11"/>
    </row>
    <row r="254" spans="2:11" x14ac:dyDescent="0.25">
      <c r="B254" t="s">
        <v>926</v>
      </c>
      <c r="C254" t="s">
        <v>338</v>
      </c>
      <c r="D254" t="s">
        <v>38</v>
      </c>
      <c r="E254" t="s">
        <v>1371</v>
      </c>
      <c r="F254" t="s">
        <v>424</v>
      </c>
      <c r="G254" s="7">
        <v>0</v>
      </c>
      <c r="H254" s="7">
        <v>0</v>
      </c>
      <c r="I254" s="7">
        <f t="shared" si="10"/>
        <v>0</v>
      </c>
      <c r="J254" t="s">
        <v>40</v>
      </c>
      <c r="K254" s="11"/>
    </row>
    <row r="255" spans="2:11" x14ac:dyDescent="0.25">
      <c r="B255" t="s">
        <v>926</v>
      </c>
      <c r="C255" t="s">
        <v>37</v>
      </c>
      <c r="D255" t="s">
        <v>38</v>
      </c>
      <c r="E255" t="s">
        <v>1371</v>
      </c>
      <c r="F255" t="s">
        <v>426</v>
      </c>
      <c r="G255" s="7">
        <v>0</v>
      </c>
      <c r="H255" s="7">
        <v>0</v>
      </c>
      <c r="I255" s="7">
        <f t="shared" si="10"/>
        <v>0</v>
      </c>
      <c r="J255" t="s">
        <v>40</v>
      </c>
      <c r="K255" s="11"/>
    </row>
    <row r="256" spans="2:11" x14ac:dyDescent="0.25">
      <c r="B256" t="s">
        <v>1372</v>
      </c>
      <c r="C256" t="s">
        <v>338</v>
      </c>
      <c r="D256" t="s">
        <v>38</v>
      </c>
      <c r="E256" t="s">
        <v>1373</v>
      </c>
      <c r="F256" t="s">
        <v>424</v>
      </c>
      <c r="G256" s="7">
        <v>38.4</v>
      </c>
      <c r="H256" s="7">
        <v>33.79</v>
      </c>
      <c r="I256" s="7">
        <f t="shared" si="10"/>
        <v>4.6099999999999994</v>
      </c>
      <c r="J256" t="s">
        <v>40</v>
      </c>
      <c r="K256" s="11"/>
    </row>
    <row r="257" spans="1:11" x14ac:dyDescent="0.25">
      <c r="B257" t="s">
        <v>1372</v>
      </c>
      <c r="C257" t="s">
        <v>37</v>
      </c>
      <c r="D257" t="s">
        <v>38</v>
      </c>
      <c r="E257" t="s">
        <v>1373</v>
      </c>
      <c r="F257" t="s">
        <v>426</v>
      </c>
      <c r="G257" s="7">
        <v>32</v>
      </c>
      <c r="H257" s="7">
        <v>28.16</v>
      </c>
      <c r="I257" s="7">
        <f t="shared" si="10"/>
        <v>3.84</v>
      </c>
      <c r="J257" t="s">
        <v>40</v>
      </c>
      <c r="K257" s="11"/>
    </row>
    <row r="258" spans="1:11" x14ac:dyDescent="0.25">
      <c r="B258" t="s">
        <v>826</v>
      </c>
      <c r="C258" t="s">
        <v>338</v>
      </c>
      <c r="D258" t="s">
        <v>38</v>
      </c>
      <c r="E258" t="s">
        <v>825</v>
      </c>
      <c r="F258" t="s">
        <v>424</v>
      </c>
      <c r="G258" s="7">
        <v>28.8</v>
      </c>
      <c r="H258" s="7">
        <v>28.8</v>
      </c>
      <c r="I258" s="7">
        <v>0</v>
      </c>
      <c r="J258" t="s">
        <v>40</v>
      </c>
      <c r="K258" s="11"/>
    </row>
    <row r="259" spans="1:11" x14ac:dyDescent="0.25">
      <c r="B259" t="s">
        <v>826</v>
      </c>
      <c r="C259" t="s">
        <v>37</v>
      </c>
      <c r="D259" t="s">
        <v>38</v>
      </c>
      <c r="E259" t="s">
        <v>825</v>
      </c>
      <c r="F259" t="s">
        <v>426</v>
      </c>
      <c r="G259" s="7">
        <v>24</v>
      </c>
      <c r="H259" s="7">
        <v>24</v>
      </c>
      <c r="I259" s="7">
        <v>0</v>
      </c>
      <c r="J259" t="s">
        <v>40</v>
      </c>
      <c r="K259" s="11"/>
    </row>
    <row r="260" spans="1:11" x14ac:dyDescent="0.25">
      <c r="B260" t="s">
        <v>842</v>
      </c>
      <c r="C260" t="s">
        <v>338</v>
      </c>
      <c r="D260" t="s">
        <v>38</v>
      </c>
      <c r="E260" t="s">
        <v>841</v>
      </c>
      <c r="F260" t="s">
        <v>424</v>
      </c>
      <c r="G260" s="7">
        <v>0</v>
      </c>
      <c r="H260" s="7">
        <v>0</v>
      </c>
      <c r="I260" s="7">
        <v>0</v>
      </c>
      <c r="J260" t="s">
        <v>40</v>
      </c>
      <c r="K260" s="11"/>
    </row>
    <row r="261" spans="1:11" x14ac:dyDescent="0.25">
      <c r="B261" t="s">
        <v>842</v>
      </c>
      <c r="C261" t="s">
        <v>37</v>
      </c>
      <c r="D261" t="s">
        <v>38</v>
      </c>
      <c r="E261" t="s">
        <v>841</v>
      </c>
      <c r="F261" t="s">
        <v>426</v>
      </c>
      <c r="G261" s="7">
        <v>0</v>
      </c>
      <c r="H261" s="7">
        <v>0</v>
      </c>
      <c r="I261" s="7">
        <v>0</v>
      </c>
      <c r="J261" t="s">
        <v>40</v>
      </c>
      <c r="K261" s="11"/>
    </row>
    <row r="262" spans="1:11" x14ac:dyDescent="0.25">
      <c r="B262" t="s">
        <v>795</v>
      </c>
      <c r="C262" t="s">
        <v>338</v>
      </c>
      <c r="D262" t="s">
        <v>38</v>
      </c>
      <c r="E262" t="s">
        <v>796</v>
      </c>
      <c r="F262" t="s">
        <v>424</v>
      </c>
      <c r="G262" s="7">
        <v>0.6</v>
      </c>
      <c r="H262" s="7">
        <v>0.53</v>
      </c>
      <c r="I262" s="7">
        <f>G262-H262</f>
        <v>6.9999999999999951E-2</v>
      </c>
      <c r="J262" t="s">
        <v>40</v>
      </c>
      <c r="K262" s="11"/>
    </row>
    <row r="263" spans="1:11" x14ac:dyDescent="0.25">
      <c r="B263" t="s">
        <v>795</v>
      </c>
      <c r="C263" t="s">
        <v>37</v>
      </c>
      <c r="D263" t="s">
        <v>38</v>
      </c>
      <c r="E263" t="s">
        <v>796</v>
      </c>
      <c r="F263" t="s">
        <v>426</v>
      </c>
      <c r="G263" s="7">
        <v>0.5</v>
      </c>
      <c r="H263" s="7">
        <v>0.44</v>
      </c>
      <c r="I263" s="7">
        <f t="shared" ref="I263:I264" si="11">G263-H263</f>
        <v>0.06</v>
      </c>
      <c r="J263" t="s">
        <v>40</v>
      </c>
      <c r="K263" s="11"/>
    </row>
    <row r="264" spans="1:11" x14ac:dyDescent="0.25">
      <c r="B264" t="s">
        <v>795</v>
      </c>
      <c r="C264" t="s">
        <v>373</v>
      </c>
      <c r="D264" t="s">
        <v>38</v>
      </c>
      <c r="E264" t="s">
        <v>796</v>
      </c>
      <c r="F264" t="s">
        <v>703</v>
      </c>
      <c r="G264" s="7">
        <v>0.5</v>
      </c>
      <c r="H264" s="7">
        <v>0.44</v>
      </c>
      <c r="I264" s="7">
        <f t="shared" si="11"/>
        <v>0.06</v>
      </c>
      <c r="J264" t="s">
        <v>40</v>
      </c>
      <c r="K264" s="11"/>
    </row>
    <row r="265" spans="1:11" x14ac:dyDescent="0.25">
      <c r="K265" s="11"/>
    </row>
    <row r="266" spans="1:11" x14ac:dyDescent="0.25">
      <c r="B266" t="s">
        <v>134</v>
      </c>
      <c r="C266" t="s">
        <v>338</v>
      </c>
      <c r="D266" t="s">
        <v>38</v>
      </c>
      <c r="E266" t="s">
        <v>135</v>
      </c>
      <c r="F266" t="s">
        <v>424</v>
      </c>
      <c r="G266" s="7">
        <v>14.4</v>
      </c>
      <c r="H266" s="7">
        <v>12.67</v>
      </c>
      <c r="I266" s="7">
        <f>G266-H266</f>
        <v>1.7300000000000004</v>
      </c>
      <c r="J266" t="s">
        <v>40</v>
      </c>
      <c r="K266" s="11">
        <v>0.57599999999999996</v>
      </c>
    </row>
    <row r="267" spans="1:11" x14ac:dyDescent="0.25">
      <c r="B267" t="s">
        <v>134</v>
      </c>
      <c r="C267" t="s">
        <v>37</v>
      </c>
      <c r="D267" t="s">
        <v>38</v>
      </c>
      <c r="E267" t="s">
        <v>135</v>
      </c>
      <c r="F267" t="s">
        <v>426</v>
      </c>
      <c r="G267" s="7">
        <v>12</v>
      </c>
      <c r="H267" s="7">
        <v>10.56</v>
      </c>
      <c r="I267" s="7">
        <f t="shared" si="8"/>
        <v>1.4399999999999995</v>
      </c>
      <c r="J267" t="s">
        <v>40</v>
      </c>
      <c r="K267" s="11">
        <v>5.7600000000000007</v>
      </c>
    </row>
    <row r="268" spans="1:11" x14ac:dyDescent="0.25">
      <c r="K268" s="11"/>
    </row>
    <row r="269" spans="1:11" x14ac:dyDescent="0.25">
      <c r="E269" s="8" t="s">
        <v>357</v>
      </c>
      <c r="F269" s="8"/>
      <c r="K269" s="11"/>
    </row>
    <row r="270" spans="1:11" x14ac:dyDescent="0.25">
      <c r="A270" t="s">
        <v>358</v>
      </c>
      <c r="B270" t="s">
        <v>136</v>
      </c>
      <c r="C270" t="s">
        <v>338</v>
      </c>
      <c r="D270" t="s">
        <v>342</v>
      </c>
      <c r="E270" t="s">
        <v>137</v>
      </c>
      <c r="F270" t="s">
        <v>425</v>
      </c>
      <c r="G270" s="7">
        <v>0</v>
      </c>
      <c r="H270" s="7">
        <v>0</v>
      </c>
      <c r="I270" s="7">
        <f t="shared" si="8"/>
        <v>0</v>
      </c>
      <c r="J270" t="s">
        <v>40</v>
      </c>
      <c r="K270" s="11"/>
    </row>
    <row r="271" spans="1:11" x14ac:dyDescent="0.25">
      <c r="B271" t="s">
        <v>136</v>
      </c>
      <c r="C271" t="s">
        <v>338</v>
      </c>
      <c r="D271" t="s">
        <v>38</v>
      </c>
      <c r="E271" t="s">
        <v>137</v>
      </c>
      <c r="F271" t="s">
        <v>424</v>
      </c>
      <c r="G271" s="7">
        <v>6</v>
      </c>
      <c r="H271" s="7">
        <v>5.2799999999999994</v>
      </c>
      <c r="I271" s="7">
        <f t="shared" si="8"/>
        <v>0.72000000000000064</v>
      </c>
      <c r="J271" t="s">
        <v>40</v>
      </c>
      <c r="K271" s="11">
        <v>0.24</v>
      </c>
    </row>
    <row r="272" spans="1:11" x14ac:dyDescent="0.25">
      <c r="B272" t="s">
        <v>136</v>
      </c>
      <c r="C272" t="s">
        <v>37</v>
      </c>
      <c r="D272" t="s">
        <v>38</v>
      </c>
      <c r="E272" t="s">
        <v>137</v>
      </c>
      <c r="F272" t="s">
        <v>426</v>
      </c>
      <c r="G272" s="7">
        <v>5</v>
      </c>
      <c r="H272" s="7">
        <v>4.3999999999999995</v>
      </c>
      <c r="I272" s="7">
        <f t="shared" si="8"/>
        <v>0.60000000000000053</v>
      </c>
      <c r="J272" t="s">
        <v>40</v>
      </c>
      <c r="K272" s="11">
        <v>0.2</v>
      </c>
    </row>
    <row r="273" spans="1:11" x14ac:dyDescent="0.25">
      <c r="B273" t="s">
        <v>138</v>
      </c>
      <c r="C273" t="s">
        <v>338</v>
      </c>
      <c r="D273" t="s">
        <v>342</v>
      </c>
      <c r="E273" t="s">
        <v>139</v>
      </c>
      <c r="F273" t="s">
        <v>425</v>
      </c>
      <c r="G273" s="7">
        <v>0</v>
      </c>
      <c r="H273" s="7">
        <v>0</v>
      </c>
      <c r="I273" s="7">
        <f t="shared" ref="I273:I436" si="12">G273-H273</f>
        <v>0</v>
      </c>
      <c r="J273" t="s">
        <v>40</v>
      </c>
      <c r="K273" s="11"/>
    </row>
    <row r="274" spans="1:11" x14ac:dyDescent="0.25">
      <c r="B274" t="s">
        <v>138</v>
      </c>
      <c r="C274" t="s">
        <v>338</v>
      </c>
      <c r="D274" t="s">
        <v>38</v>
      </c>
      <c r="E274" t="s">
        <v>139</v>
      </c>
      <c r="F274" t="s">
        <v>424</v>
      </c>
      <c r="G274" s="7">
        <v>18</v>
      </c>
      <c r="H274" s="7">
        <v>15.84</v>
      </c>
      <c r="I274" s="7">
        <f t="shared" si="12"/>
        <v>2.16</v>
      </c>
      <c r="J274" t="s">
        <v>40</v>
      </c>
      <c r="K274" s="11">
        <v>0.72</v>
      </c>
    </row>
    <row r="275" spans="1:11" x14ac:dyDescent="0.25">
      <c r="B275" t="s">
        <v>138</v>
      </c>
      <c r="C275" t="s">
        <v>37</v>
      </c>
      <c r="D275" t="s">
        <v>38</v>
      </c>
      <c r="E275" t="s">
        <v>139</v>
      </c>
      <c r="F275" t="s">
        <v>426</v>
      </c>
      <c r="G275" s="7">
        <v>15</v>
      </c>
      <c r="H275" s="7">
        <v>13.200000000000001</v>
      </c>
      <c r="I275" s="7">
        <f t="shared" si="12"/>
        <v>1.7999999999999989</v>
      </c>
      <c r="J275" t="s">
        <v>40</v>
      </c>
      <c r="K275" s="11">
        <v>0.6</v>
      </c>
    </row>
    <row r="276" spans="1:11" x14ac:dyDescent="0.25">
      <c r="K276" s="11"/>
    </row>
    <row r="277" spans="1:11" x14ac:dyDescent="0.25">
      <c r="E277" s="8" t="s">
        <v>359</v>
      </c>
      <c r="F277" s="8"/>
      <c r="K277" s="11"/>
    </row>
    <row r="278" spans="1:11" x14ac:dyDescent="0.25">
      <c r="A278" t="s">
        <v>360</v>
      </c>
      <c r="B278" t="s">
        <v>140</v>
      </c>
      <c r="C278" t="s">
        <v>338</v>
      </c>
      <c r="D278" t="s">
        <v>342</v>
      </c>
      <c r="E278" t="s">
        <v>141</v>
      </c>
      <c r="F278" t="s">
        <v>425</v>
      </c>
      <c r="G278" s="7">
        <v>0</v>
      </c>
      <c r="H278" s="7">
        <v>0</v>
      </c>
      <c r="I278" s="7">
        <f t="shared" si="12"/>
        <v>0</v>
      </c>
      <c r="J278" t="s">
        <v>40</v>
      </c>
      <c r="K278" s="11"/>
    </row>
    <row r="279" spans="1:11" x14ac:dyDescent="0.25">
      <c r="B279" t="s">
        <v>140</v>
      </c>
      <c r="C279" t="s">
        <v>338</v>
      </c>
      <c r="D279" t="s">
        <v>38</v>
      </c>
      <c r="E279" t="s">
        <v>141</v>
      </c>
      <c r="F279" t="s">
        <v>424</v>
      </c>
      <c r="G279" s="7">
        <v>8.4</v>
      </c>
      <c r="H279" s="7">
        <v>7.3919999999999995</v>
      </c>
      <c r="I279" s="7">
        <f t="shared" si="12"/>
        <v>1.0080000000000009</v>
      </c>
      <c r="J279" t="s">
        <v>40</v>
      </c>
      <c r="K279" s="11"/>
    </row>
    <row r="280" spans="1:11" x14ac:dyDescent="0.25">
      <c r="B280" t="s">
        <v>140</v>
      </c>
      <c r="C280" t="s">
        <v>37</v>
      </c>
      <c r="D280" t="s">
        <v>38</v>
      </c>
      <c r="E280" t="s">
        <v>141</v>
      </c>
      <c r="F280" t="s">
        <v>426</v>
      </c>
      <c r="G280" s="7">
        <v>7</v>
      </c>
      <c r="H280" s="7">
        <v>6.16</v>
      </c>
      <c r="I280" s="7">
        <f t="shared" si="12"/>
        <v>0.83999999999999986</v>
      </c>
      <c r="J280" t="s">
        <v>40</v>
      </c>
      <c r="K280" s="11"/>
    </row>
    <row r="281" spans="1:11" x14ac:dyDescent="0.25">
      <c r="B281" t="s">
        <v>140</v>
      </c>
      <c r="C281" t="s">
        <v>338</v>
      </c>
      <c r="D281" t="s">
        <v>38</v>
      </c>
      <c r="E281" t="s">
        <v>455</v>
      </c>
      <c r="F281" t="s">
        <v>425</v>
      </c>
      <c r="G281" s="7">
        <v>0</v>
      </c>
      <c r="H281" s="7">
        <v>0</v>
      </c>
      <c r="I281" s="7">
        <f>G281-H281</f>
        <v>0</v>
      </c>
      <c r="J281" t="s">
        <v>40</v>
      </c>
      <c r="K281" s="11"/>
    </row>
    <row r="282" spans="1:11" x14ac:dyDescent="0.25">
      <c r="B282" t="s">
        <v>140</v>
      </c>
      <c r="C282" t="s">
        <v>338</v>
      </c>
      <c r="D282" t="s">
        <v>38</v>
      </c>
      <c r="E282" t="s">
        <v>455</v>
      </c>
      <c r="F282" t="s">
        <v>424</v>
      </c>
      <c r="G282" s="7">
        <v>8.4</v>
      </c>
      <c r="H282" s="7">
        <v>7.39</v>
      </c>
      <c r="I282" s="7">
        <f>G282-H282</f>
        <v>1.0100000000000007</v>
      </c>
      <c r="J282" t="s">
        <v>40</v>
      </c>
      <c r="K282" s="11">
        <v>0.34</v>
      </c>
    </row>
    <row r="283" spans="1:11" x14ac:dyDescent="0.25">
      <c r="B283" t="s">
        <v>140</v>
      </c>
      <c r="C283" t="s">
        <v>37</v>
      </c>
      <c r="D283" t="s">
        <v>38</v>
      </c>
      <c r="E283" t="s">
        <v>455</v>
      </c>
      <c r="F283" t="s">
        <v>426</v>
      </c>
      <c r="G283" s="7">
        <v>7</v>
      </c>
      <c r="H283" s="7">
        <v>6.16</v>
      </c>
      <c r="I283" s="7">
        <f>G283-H283</f>
        <v>0.83999999999999986</v>
      </c>
      <c r="J283" t="s">
        <v>40</v>
      </c>
      <c r="K283" s="11">
        <v>0.28000000000000003</v>
      </c>
    </row>
    <row r="284" spans="1:11" x14ac:dyDescent="0.25">
      <c r="B284" t="s">
        <v>140</v>
      </c>
      <c r="C284" t="s">
        <v>338</v>
      </c>
      <c r="D284" t="s">
        <v>38</v>
      </c>
      <c r="E284" t="s">
        <v>142</v>
      </c>
      <c r="F284" t="s">
        <v>424</v>
      </c>
      <c r="G284" s="7">
        <v>15.84</v>
      </c>
      <c r="H284" s="7">
        <v>13.936999999999999</v>
      </c>
      <c r="I284" s="7">
        <f t="shared" si="12"/>
        <v>1.9030000000000005</v>
      </c>
      <c r="J284" t="s">
        <v>40</v>
      </c>
      <c r="K284" s="11">
        <v>0.63</v>
      </c>
    </row>
    <row r="285" spans="1:11" x14ac:dyDescent="0.25">
      <c r="B285" t="s">
        <v>140</v>
      </c>
      <c r="C285" t="s">
        <v>37</v>
      </c>
      <c r="D285" t="s">
        <v>38</v>
      </c>
      <c r="E285" t="s">
        <v>142</v>
      </c>
      <c r="F285" t="s">
        <v>426</v>
      </c>
      <c r="G285" s="7">
        <v>13.200000000000001</v>
      </c>
      <c r="H285" s="7">
        <v>11.616</v>
      </c>
      <c r="I285" s="7">
        <f t="shared" si="12"/>
        <v>1.5840000000000014</v>
      </c>
      <c r="J285" t="s">
        <v>40</v>
      </c>
      <c r="K285" s="11">
        <v>0.53</v>
      </c>
    </row>
    <row r="286" spans="1:11" x14ac:dyDescent="0.25">
      <c r="B286" t="s">
        <v>143</v>
      </c>
      <c r="C286" t="s">
        <v>338</v>
      </c>
      <c r="D286" t="s">
        <v>38</v>
      </c>
      <c r="E286" t="s">
        <v>456</v>
      </c>
      <c r="F286" t="s">
        <v>424</v>
      </c>
      <c r="G286" s="7">
        <v>13.2</v>
      </c>
      <c r="H286" s="7">
        <v>11.62</v>
      </c>
      <c r="I286" s="7">
        <f t="shared" si="12"/>
        <v>1.58</v>
      </c>
      <c r="J286" t="s">
        <v>40</v>
      </c>
      <c r="K286" s="11">
        <v>0.45</v>
      </c>
    </row>
    <row r="287" spans="1:11" x14ac:dyDescent="0.25">
      <c r="B287" t="s">
        <v>143</v>
      </c>
      <c r="C287" t="s">
        <v>37</v>
      </c>
      <c r="D287" t="s">
        <v>38</v>
      </c>
      <c r="E287" t="s">
        <v>456</v>
      </c>
      <c r="F287" t="s">
        <v>426</v>
      </c>
      <c r="G287" s="7">
        <v>11</v>
      </c>
      <c r="H287" s="7">
        <v>9.92</v>
      </c>
      <c r="I287" s="7">
        <f t="shared" si="12"/>
        <v>1.08</v>
      </c>
      <c r="J287" t="s">
        <v>40</v>
      </c>
      <c r="K287" s="11">
        <v>0.45</v>
      </c>
    </row>
    <row r="288" spans="1:11" x14ac:dyDescent="0.25">
      <c r="B288" t="s">
        <v>457</v>
      </c>
      <c r="C288" t="s">
        <v>338</v>
      </c>
      <c r="D288" t="s">
        <v>38</v>
      </c>
      <c r="E288" t="s">
        <v>466</v>
      </c>
      <c r="F288" t="s">
        <v>424</v>
      </c>
      <c r="G288" s="7">
        <v>105</v>
      </c>
      <c r="H288" s="7">
        <v>92.4</v>
      </c>
      <c r="I288" s="7">
        <f t="shared" si="12"/>
        <v>12.599999999999994</v>
      </c>
      <c r="K288" s="11"/>
    </row>
    <row r="289" spans="2:11" x14ac:dyDescent="0.25">
      <c r="B289" t="s">
        <v>457</v>
      </c>
      <c r="C289" t="s">
        <v>37</v>
      </c>
      <c r="D289" t="s">
        <v>38</v>
      </c>
      <c r="E289" t="s">
        <v>466</v>
      </c>
      <c r="F289" t="s">
        <v>426</v>
      </c>
      <c r="G289" s="7">
        <v>94.5</v>
      </c>
      <c r="H289" s="7">
        <v>83.16</v>
      </c>
      <c r="I289" s="7">
        <f t="shared" si="12"/>
        <v>11.340000000000003</v>
      </c>
      <c r="J289" t="s">
        <v>40</v>
      </c>
      <c r="K289" s="11"/>
    </row>
    <row r="290" spans="2:11" x14ac:dyDescent="0.25">
      <c r="B290" t="s">
        <v>457</v>
      </c>
      <c r="C290" t="s">
        <v>338</v>
      </c>
      <c r="D290" t="s">
        <v>342</v>
      </c>
      <c r="E290" t="s">
        <v>459</v>
      </c>
      <c r="F290" t="s">
        <v>425</v>
      </c>
      <c r="G290" s="7">
        <v>0</v>
      </c>
      <c r="H290" s="7">
        <v>0</v>
      </c>
      <c r="I290" s="7">
        <f t="shared" si="12"/>
        <v>0</v>
      </c>
      <c r="J290" t="s">
        <v>40</v>
      </c>
      <c r="K290" s="11"/>
    </row>
    <row r="291" spans="2:11" x14ac:dyDescent="0.25">
      <c r="B291" t="s">
        <v>457</v>
      </c>
      <c r="C291" t="s">
        <v>338</v>
      </c>
      <c r="D291" t="s">
        <v>38</v>
      </c>
      <c r="E291" t="s">
        <v>458</v>
      </c>
      <c r="F291" t="s">
        <v>424</v>
      </c>
      <c r="G291" s="7">
        <v>54</v>
      </c>
      <c r="H291" s="7">
        <v>50.49</v>
      </c>
      <c r="I291" s="7">
        <f t="shared" si="12"/>
        <v>3.509999999999998</v>
      </c>
      <c r="J291" t="s">
        <v>40</v>
      </c>
      <c r="K291" s="11">
        <v>2.2949999999999999</v>
      </c>
    </row>
    <row r="292" spans="2:11" x14ac:dyDescent="0.25">
      <c r="B292" t="s">
        <v>457</v>
      </c>
      <c r="C292" t="s">
        <v>338</v>
      </c>
      <c r="D292" t="s">
        <v>38</v>
      </c>
      <c r="E292" t="s">
        <v>459</v>
      </c>
      <c r="F292" t="s">
        <v>424</v>
      </c>
      <c r="G292" s="7">
        <v>45</v>
      </c>
      <c r="H292" s="7">
        <v>42.08</v>
      </c>
      <c r="I292" s="7">
        <f t="shared" si="12"/>
        <v>2.9200000000000017</v>
      </c>
      <c r="J292" t="s">
        <v>40</v>
      </c>
      <c r="K292" s="11">
        <v>1.9125000000000001</v>
      </c>
    </row>
    <row r="293" spans="2:11" x14ac:dyDescent="0.25">
      <c r="B293" t="s">
        <v>457</v>
      </c>
      <c r="C293" t="s">
        <v>338</v>
      </c>
      <c r="D293" t="s">
        <v>38</v>
      </c>
      <c r="E293" t="s">
        <v>460</v>
      </c>
      <c r="F293" t="s">
        <v>424</v>
      </c>
      <c r="G293" s="7">
        <v>44</v>
      </c>
      <c r="H293" s="7">
        <v>41.14</v>
      </c>
      <c r="I293" s="7">
        <f t="shared" si="12"/>
        <v>2.8599999999999994</v>
      </c>
      <c r="J293" t="s">
        <v>40</v>
      </c>
      <c r="K293" s="11">
        <v>1.87</v>
      </c>
    </row>
    <row r="294" spans="2:11" x14ac:dyDescent="0.25">
      <c r="B294" t="s">
        <v>457</v>
      </c>
      <c r="C294" t="s">
        <v>338</v>
      </c>
      <c r="D294" t="s">
        <v>38</v>
      </c>
      <c r="E294" t="s">
        <v>461</v>
      </c>
      <c r="F294" t="s">
        <v>424</v>
      </c>
      <c r="G294" s="7">
        <v>35</v>
      </c>
      <c r="H294" s="7">
        <v>32.729999999999997</v>
      </c>
      <c r="I294" s="7">
        <f t="shared" si="12"/>
        <v>2.2700000000000031</v>
      </c>
      <c r="J294" t="s">
        <v>40</v>
      </c>
      <c r="K294" s="11">
        <v>1.4875</v>
      </c>
    </row>
    <row r="295" spans="2:11" x14ac:dyDescent="0.25">
      <c r="B295" t="s">
        <v>457</v>
      </c>
      <c r="C295" t="s">
        <v>338</v>
      </c>
      <c r="D295" t="s">
        <v>38</v>
      </c>
      <c r="E295" t="s">
        <v>462</v>
      </c>
      <c r="F295" t="s">
        <v>424</v>
      </c>
      <c r="G295" s="7">
        <v>32</v>
      </c>
      <c r="H295" s="7">
        <v>29.92</v>
      </c>
      <c r="I295" s="7">
        <f t="shared" si="12"/>
        <v>2.0799999999999983</v>
      </c>
      <c r="J295" t="s">
        <v>40</v>
      </c>
      <c r="K295" s="11">
        <v>1.36</v>
      </c>
    </row>
    <row r="296" spans="2:11" x14ac:dyDescent="0.25">
      <c r="B296" t="s">
        <v>457</v>
      </c>
      <c r="C296" t="s">
        <v>338</v>
      </c>
      <c r="D296" t="s">
        <v>38</v>
      </c>
      <c r="E296" t="s">
        <v>463</v>
      </c>
      <c r="F296" t="s">
        <v>424</v>
      </c>
      <c r="G296" s="7">
        <v>127</v>
      </c>
      <c r="H296" s="7">
        <v>118.75</v>
      </c>
      <c r="I296" s="7">
        <f t="shared" si="12"/>
        <v>8.25</v>
      </c>
      <c r="J296" t="s">
        <v>40</v>
      </c>
      <c r="K296" s="11">
        <v>5.3975000000000009</v>
      </c>
    </row>
    <row r="297" spans="2:11" x14ac:dyDescent="0.25">
      <c r="B297" t="s">
        <v>457</v>
      </c>
      <c r="C297" t="s">
        <v>338</v>
      </c>
      <c r="D297" t="s">
        <v>38</v>
      </c>
      <c r="E297" t="s">
        <v>464</v>
      </c>
      <c r="F297" t="s">
        <v>424</v>
      </c>
      <c r="G297" s="7">
        <v>136</v>
      </c>
      <c r="H297" s="7">
        <v>127.16</v>
      </c>
      <c r="I297" s="7">
        <f t="shared" si="12"/>
        <v>8.8400000000000034</v>
      </c>
      <c r="J297" t="s">
        <v>40</v>
      </c>
      <c r="K297" s="11">
        <v>5.78</v>
      </c>
    </row>
    <row r="298" spans="2:11" x14ac:dyDescent="0.25">
      <c r="B298" t="s">
        <v>457</v>
      </c>
      <c r="C298" t="s">
        <v>338</v>
      </c>
      <c r="D298" t="s">
        <v>38</v>
      </c>
      <c r="E298" t="s">
        <v>465</v>
      </c>
      <c r="F298" t="s">
        <v>424</v>
      </c>
      <c r="G298" s="7">
        <v>162</v>
      </c>
      <c r="H298" s="7">
        <v>151.47</v>
      </c>
      <c r="I298" s="7">
        <f t="shared" si="12"/>
        <v>10.530000000000001</v>
      </c>
      <c r="J298" t="s">
        <v>40</v>
      </c>
      <c r="K298" s="11">
        <v>6.8849999999999998</v>
      </c>
    </row>
    <row r="299" spans="2:11" x14ac:dyDescent="0.25">
      <c r="B299" t="s">
        <v>457</v>
      </c>
      <c r="C299" t="s">
        <v>37</v>
      </c>
      <c r="D299" t="s">
        <v>38</v>
      </c>
      <c r="E299" t="s">
        <v>465</v>
      </c>
      <c r="F299" t="s">
        <v>424</v>
      </c>
      <c r="G299" s="7">
        <v>145.80000000000001</v>
      </c>
      <c r="H299" s="7">
        <v>128.30000000000001</v>
      </c>
      <c r="I299" s="7">
        <f t="shared" si="12"/>
        <v>17.5</v>
      </c>
      <c r="J299" t="s">
        <v>40</v>
      </c>
      <c r="K299" s="11"/>
    </row>
    <row r="300" spans="2:11" x14ac:dyDescent="0.25">
      <c r="B300" t="s">
        <v>457</v>
      </c>
      <c r="C300" t="s">
        <v>338</v>
      </c>
      <c r="D300" t="s">
        <v>38</v>
      </c>
      <c r="E300" t="s">
        <v>466</v>
      </c>
      <c r="F300" t="s">
        <v>424</v>
      </c>
      <c r="G300" s="7">
        <v>105</v>
      </c>
      <c r="H300" s="7">
        <v>98.18</v>
      </c>
      <c r="I300" s="7">
        <f t="shared" si="12"/>
        <v>6.8199999999999932</v>
      </c>
      <c r="J300" t="s">
        <v>40</v>
      </c>
      <c r="K300" s="11">
        <v>4.4625000000000004</v>
      </c>
    </row>
    <row r="301" spans="2:11" x14ac:dyDescent="0.25">
      <c r="B301" t="s">
        <v>478</v>
      </c>
      <c r="C301" t="s">
        <v>338</v>
      </c>
      <c r="D301" t="s">
        <v>38</v>
      </c>
      <c r="E301" t="s">
        <v>467</v>
      </c>
      <c r="F301" t="s">
        <v>424</v>
      </c>
      <c r="G301" s="7">
        <v>31</v>
      </c>
      <c r="H301" s="7">
        <v>28.985000000000003</v>
      </c>
      <c r="I301" s="7">
        <f t="shared" si="12"/>
        <v>2.014999999999997</v>
      </c>
      <c r="J301" t="s">
        <v>40</v>
      </c>
      <c r="K301" s="11">
        <v>1.3175000000000001</v>
      </c>
    </row>
    <row r="302" spans="2:11" x14ac:dyDescent="0.25">
      <c r="B302" t="s">
        <v>478</v>
      </c>
      <c r="C302" t="s">
        <v>338</v>
      </c>
      <c r="D302" t="s">
        <v>38</v>
      </c>
      <c r="E302" t="s">
        <v>468</v>
      </c>
      <c r="F302" t="s">
        <v>424</v>
      </c>
      <c r="G302" s="7">
        <v>41</v>
      </c>
      <c r="H302" s="7">
        <v>38.335000000000001</v>
      </c>
      <c r="I302" s="7">
        <f t="shared" si="12"/>
        <v>2.6649999999999991</v>
      </c>
      <c r="J302" t="s">
        <v>40</v>
      </c>
      <c r="K302" s="11">
        <v>1.7425000000000002</v>
      </c>
    </row>
    <row r="303" spans="2:11" x14ac:dyDescent="0.25">
      <c r="B303" t="s">
        <v>478</v>
      </c>
      <c r="C303" t="s">
        <v>338</v>
      </c>
      <c r="D303" t="s">
        <v>38</v>
      </c>
      <c r="E303" t="s">
        <v>469</v>
      </c>
      <c r="F303" t="s">
        <v>424</v>
      </c>
      <c r="G303" s="7">
        <v>50</v>
      </c>
      <c r="H303" s="7">
        <v>46.75</v>
      </c>
      <c r="I303" s="7">
        <f t="shared" si="12"/>
        <v>3.25</v>
      </c>
      <c r="J303" t="s">
        <v>40</v>
      </c>
      <c r="K303" s="11">
        <v>2.125</v>
      </c>
    </row>
    <row r="304" spans="2:11" x14ac:dyDescent="0.25">
      <c r="B304" t="s">
        <v>478</v>
      </c>
      <c r="C304" t="s">
        <v>338</v>
      </c>
      <c r="D304" t="s">
        <v>38</v>
      </c>
      <c r="E304" t="s">
        <v>470</v>
      </c>
      <c r="F304" t="s">
        <v>424</v>
      </c>
      <c r="G304" s="7">
        <v>158</v>
      </c>
      <c r="H304" s="7">
        <v>147.73000000000002</v>
      </c>
      <c r="I304" s="7">
        <f t="shared" si="12"/>
        <v>10.269999999999982</v>
      </c>
      <c r="J304" t="s">
        <v>40</v>
      </c>
      <c r="K304" s="11">
        <v>6.7150000000000007</v>
      </c>
    </row>
    <row r="305" spans="2:11" x14ac:dyDescent="0.25">
      <c r="B305" t="s">
        <v>478</v>
      </c>
      <c r="C305" t="s">
        <v>338</v>
      </c>
      <c r="D305" t="s">
        <v>38</v>
      </c>
      <c r="E305" t="s">
        <v>471</v>
      </c>
      <c r="F305" t="s">
        <v>424</v>
      </c>
      <c r="G305" s="7">
        <v>132</v>
      </c>
      <c r="H305" s="7">
        <v>123.42</v>
      </c>
      <c r="I305" s="7">
        <f t="shared" si="12"/>
        <v>8.5799999999999983</v>
      </c>
      <c r="J305" t="s">
        <v>40</v>
      </c>
      <c r="K305" s="11">
        <v>5.61</v>
      </c>
    </row>
    <row r="306" spans="2:11" x14ac:dyDescent="0.25">
      <c r="B306" t="s">
        <v>478</v>
      </c>
      <c r="C306" t="s">
        <v>338</v>
      </c>
      <c r="D306" t="s">
        <v>38</v>
      </c>
      <c r="E306" t="s">
        <v>472</v>
      </c>
      <c r="F306" t="s">
        <v>424</v>
      </c>
      <c r="G306" s="7">
        <v>123</v>
      </c>
      <c r="H306" s="7">
        <v>115.005</v>
      </c>
      <c r="I306" s="7">
        <f t="shared" si="12"/>
        <v>7.9950000000000045</v>
      </c>
      <c r="J306" t="s">
        <v>40</v>
      </c>
      <c r="K306" s="11">
        <v>5.2275</v>
      </c>
    </row>
    <row r="307" spans="2:11" x14ac:dyDescent="0.25">
      <c r="B307" t="s">
        <v>478</v>
      </c>
      <c r="C307" t="s">
        <v>338</v>
      </c>
      <c r="D307" t="s">
        <v>38</v>
      </c>
      <c r="E307" t="s">
        <v>473</v>
      </c>
      <c r="F307" t="s">
        <v>424</v>
      </c>
      <c r="G307" s="7">
        <v>40</v>
      </c>
      <c r="H307" s="7">
        <v>37.4</v>
      </c>
      <c r="I307" s="7">
        <f t="shared" si="12"/>
        <v>2.6000000000000014</v>
      </c>
      <c r="J307" t="s">
        <v>40</v>
      </c>
      <c r="K307" s="11">
        <v>1.7000000000000002</v>
      </c>
    </row>
    <row r="308" spans="2:11" x14ac:dyDescent="0.25">
      <c r="B308" t="s">
        <v>478</v>
      </c>
      <c r="C308" t="s">
        <v>338</v>
      </c>
      <c r="D308" t="s">
        <v>38</v>
      </c>
      <c r="E308" t="s">
        <v>474</v>
      </c>
      <c r="F308" t="s">
        <v>424</v>
      </c>
      <c r="G308" s="7">
        <v>28</v>
      </c>
      <c r="H308" s="7">
        <v>26.18</v>
      </c>
      <c r="I308" s="7">
        <f t="shared" si="12"/>
        <v>1.8200000000000003</v>
      </c>
      <c r="J308" t="s">
        <v>40</v>
      </c>
      <c r="K308" s="11">
        <v>1.1900000000000002</v>
      </c>
    </row>
    <row r="309" spans="2:11" x14ac:dyDescent="0.25">
      <c r="B309" t="s">
        <v>478</v>
      </c>
      <c r="C309" t="s">
        <v>338</v>
      </c>
      <c r="D309" t="s">
        <v>38</v>
      </c>
      <c r="E309" t="s">
        <v>475</v>
      </c>
      <c r="F309" t="s">
        <v>424</v>
      </c>
      <c r="G309" s="7">
        <v>66</v>
      </c>
      <c r="H309" s="7">
        <v>61.71</v>
      </c>
      <c r="I309" s="7">
        <f t="shared" si="12"/>
        <v>4.2899999999999991</v>
      </c>
      <c r="J309" t="s">
        <v>40</v>
      </c>
      <c r="K309" s="11">
        <v>2.8050000000000002</v>
      </c>
    </row>
    <row r="310" spans="2:11" x14ac:dyDescent="0.25">
      <c r="B310" t="s">
        <v>478</v>
      </c>
      <c r="C310" t="s">
        <v>338</v>
      </c>
      <c r="D310" t="s">
        <v>38</v>
      </c>
      <c r="E310" t="s">
        <v>476</v>
      </c>
      <c r="F310" t="s">
        <v>424</v>
      </c>
      <c r="G310" s="7">
        <v>75</v>
      </c>
      <c r="H310" s="7">
        <v>70.125</v>
      </c>
      <c r="I310" s="7">
        <f t="shared" si="12"/>
        <v>4.875</v>
      </c>
      <c r="J310" t="s">
        <v>40</v>
      </c>
      <c r="K310" s="11">
        <v>3.1875</v>
      </c>
    </row>
    <row r="311" spans="2:11" x14ac:dyDescent="0.25">
      <c r="B311" t="s">
        <v>478</v>
      </c>
      <c r="C311" t="s">
        <v>338</v>
      </c>
      <c r="D311" t="s">
        <v>38</v>
      </c>
      <c r="E311" t="s">
        <v>477</v>
      </c>
      <c r="F311" t="s">
        <v>424</v>
      </c>
      <c r="G311" s="7">
        <v>101</v>
      </c>
      <c r="H311" s="7">
        <v>94.434999999999988</v>
      </c>
      <c r="I311" s="7">
        <f t="shared" si="12"/>
        <v>6.5650000000000119</v>
      </c>
      <c r="J311" t="s">
        <v>40</v>
      </c>
      <c r="K311" s="11">
        <v>4.2924999999999995</v>
      </c>
    </row>
    <row r="312" spans="2:11" x14ac:dyDescent="0.25">
      <c r="B312" t="s">
        <v>491</v>
      </c>
      <c r="C312" t="s">
        <v>338</v>
      </c>
      <c r="D312" t="s">
        <v>38</v>
      </c>
      <c r="E312" t="s">
        <v>479</v>
      </c>
      <c r="F312" t="s">
        <v>424</v>
      </c>
      <c r="G312" s="7">
        <v>20</v>
      </c>
      <c r="H312" s="7">
        <v>18.7</v>
      </c>
      <c r="I312" s="7">
        <f>G312-H312</f>
        <v>1.3000000000000007</v>
      </c>
      <c r="J312" t="s">
        <v>40</v>
      </c>
      <c r="K312" s="11">
        <v>2.125</v>
      </c>
    </row>
    <row r="313" spans="2:11" x14ac:dyDescent="0.25">
      <c r="B313" t="s">
        <v>491</v>
      </c>
      <c r="C313" t="s">
        <v>37</v>
      </c>
      <c r="D313" t="s">
        <v>38</v>
      </c>
      <c r="E313" t="s">
        <v>479</v>
      </c>
      <c r="F313" t="s">
        <v>426</v>
      </c>
      <c r="G313" s="7">
        <v>20</v>
      </c>
      <c r="H313" s="7">
        <v>18.7</v>
      </c>
      <c r="I313" s="7">
        <f>G313-H313</f>
        <v>1.3000000000000007</v>
      </c>
      <c r="J313" t="s">
        <v>40</v>
      </c>
      <c r="K313" s="11">
        <v>1.7425000000000002</v>
      </c>
    </row>
    <row r="314" spans="2:11" x14ac:dyDescent="0.25">
      <c r="B314" t="s">
        <v>491</v>
      </c>
      <c r="C314" t="s">
        <v>338</v>
      </c>
      <c r="D314" t="s">
        <v>38</v>
      </c>
      <c r="E314" t="s">
        <v>480</v>
      </c>
      <c r="F314" t="s">
        <v>424</v>
      </c>
      <c r="G314" s="7">
        <v>50</v>
      </c>
      <c r="H314" s="7">
        <v>46.75</v>
      </c>
      <c r="I314" s="7">
        <f t="shared" ref="I314:I351" si="13">G314-H314</f>
        <v>3.25</v>
      </c>
      <c r="J314" t="s">
        <v>40</v>
      </c>
      <c r="K314" s="11">
        <v>1.7000000000000002</v>
      </c>
    </row>
    <row r="315" spans="2:11" x14ac:dyDescent="0.25">
      <c r="B315" t="s">
        <v>491</v>
      </c>
      <c r="C315" t="s">
        <v>338</v>
      </c>
      <c r="D315" t="s">
        <v>38</v>
      </c>
      <c r="E315" t="s">
        <v>481</v>
      </c>
      <c r="F315" t="s">
        <v>424</v>
      </c>
      <c r="G315" s="7">
        <v>41</v>
      </c>
      <c r="H315" s="7">
        <v>38.335000000000001</v>
      </c>
      <c r="I315" s="7">
        <f t="shared" si="13"/>
        <v>2.6649999999999991</v>
      </c>
      <c r="J315" t="s">
        <v>40</v>
      </c>
      <c r="K315" s="11">
        <v>1.3175000000000001</v>
      </c>
    </row>
    <row r="316" spans="2:11" x14ac:dyDescent="0.25">
      <c r="B316" t="s">
        <v>491</v>
      </c>
      <c r="C316" t="s">
        <v>338</v>
      </c>
      <c r="D316" t="s">
        <v>38</v>
      </c>
      <c r="E316" t="s">
        <v>482</v>
      </c>
      <c r="F316" t="s">
        <v>424</v>
      </c>
      <c r="G316" s="7">
        <v>40</v>
      </c>
      <c r="H316" s="7">
        <v>37.4</v>
      </c>
      <c r="I316" s="7">
        <f t="shared" si="13"/>
        <v>2.6000000000000014</v>
      </c>
      <c r="J316" t="s">
        <v>40</v>
      </c>
      <c r="K316" s="11">
        <v>1.1900000000000002</v>
      </c>
    </row>
    <row r="317" spans="2:11" x14ac:dyDescent="0.25">
      <c r="B317" t="s">
        <v>491</v>
      </c>
      <c r="C317" t="s">
        <v>338</v>
      </c>
      <c r="D317" t="s">
        <v>38</v>
      </c>
      <c r="E317" t="s">
        <v>483</v>
      </c>
      <c r="F317" t="s">
        <v>424</v>
      </c>
      <c r="G317" s="7">
        <v>31</v>
      </c>
      <c r="H317" s="7">
        <v>28.985000000000003</v>
      </c>
      <c r="I317" s="7">
        <f t="shared" si="13"/>
        <v>2.014999999999997</v>
      </c>
      <c r="J317" t="s">
        <v>40</v>
      </c>
      <c r="K317" s="11">
        <v>5.2275</v>
      </c>
    </row>
    <row r="318" spans="2:11" x14ac:dyDescent="0.25">
      <c r="B318" t="s">
        <v>491</v>
      </c>
      <c r="C318" t="s">
        <v>338</v>
      </c>
      <c r="D318" t="s">
        <v>38</v>
      </c>
      <c r="E318" t="s">
        <v>484</v>
      </c>
      <c r="F318" t="s">
        <v>424</v>
      </c>
      <c r="G318" s="7">
        <v>28</v>
      </c>
      <c r="H318" s="7">
        <v>26.18</v>
      </c>
      <c r="I318" s="7">
        <f t="shared" si="13"/>
        <v>1.8200000000000003</v>
      </c>
      <c r="J318" t="s">
        <v>40</v>
      </c>
      <c r="K318" s="11">
        <v>2.8050000000000002</v>
      </c>
    </row>
    <row r="319" spans="2:11" x14ac:dyDescent="0.25">
      <c r="B319" t="s">
        <v>491</v>
      </c>
      <c r="C319" t="s">
        <v>338</v>
      </c>
      <c r="D319" t="s">
        <v>38</v>
      </c>
      <c r="E319" t="s">
        <v>485</v>
      </c>
      <c r="F319" t="s">
        <v>424</v>
      </c>
      <c r="G319" s="7">
        <v>123</v>
      </c>
      <c r="H319" s="7">
        <v>115.005</v>
      </c>
      <c r="I319" s="7">
        <f t="shared" si="13"/>
        <v>7.9950000000000045</v>
      </c>
      <c r="J319" t="s">
        <v>40</v>
      </c>
      <c r="K319" s="11">
        <v>6.7150000000000007</v>
      </c>
    </row>
    <row r="320" spans="2:11" x14ac:dyDescent="0.25">
      <c r="B320" t="s">
        <v>491</v>
      </c>
      <c r="C320" t="s">
        <v>338</v>
      </c>
      <c r="D320" t="s">
        <v>38</v>
      </c>
      <c r="E320" t="s">
        <v>486</v>
      </c>
      <c r="F320" t="s">
        <v>424</v>
      </c>
      <c r="G320" s="7">
        <v>66</v>
      </c>
      <c r="H320" s="7">
        <v>61.71</v>
      </c>
      <c r="I320" s="7">
        <f t="shared" si="13"/>
        <v>4.2899999999999991</v>
      </c>
      <c r="J320" t="s">
        <v>40</v>
      </c>
      <c r="K320" s="11">
        <v>4.2924999999999995</v>
      </c>
    </row>
    <row r="321" spans="2:11" x14ac:dyDescent="0.25">
      <c r="B321" t="s">
        <v>491</v>
      </c>
      <c r="C321" t="s">
        <v>338</v>
      </c>
      <c r="D321" t="s">
        <v>38</v>
      </c>
      <c r="E321" t="s">
        <v>487</v>
      </c>
      <c r="F321" t="s">
        <v>424</v>
      </c>
      <c r="G321" s="7">
        <v>158</v>
      </c>
      <c r="H321" s="7">
        <v>147.73000000000002</v>
      </c>
      <c r="I321" s="7">
        <f t="shared" si="13"/>
        <v>10.269999999999982</v>
      </c>
      <c r="J321" t="s">
        <v>40</v>
      </c>
      <c r="K321" s="11">
        <v>5.61</v>
      </c>
    </row>
    <row r="322" spans="2:11" x14ac:dyDescent="0.25">
      <c r="B322" t="s">
        <v>491</v>
      </c>
      <c r="C322" t="s">
        <v>338</v>
      </c>
      <c r="D322" t="s">
        <v>38</v>
      </c>
      <c r="E322" t="s">
        <v>488</v>
      </c>
      <c r="F322" t="s">
        <v>424</v>
      </c>
      <c r="G322" s="7">
        <v>101</v>
      </c>
      <c r="H322" s="7">
        <v>94.434999999999988</v>
      </c>
      <c r="I322" s="7">
        <f t="shared" si="13"/>
        <v>6.5650000000000119</v>
      </c>
      <c r="J322" t="s">
        <v>40</v>
      </c>
      <c r="K322" s="11">
        <v>3.1875</v>
      </c>
    </row>
    <row r="323" spans="2:11" x14ac:dyDescent="0.25">
      <c r="B323" t="s">
        <v>491</v>
      </c>
      <c r="C323" t="s">
        <v>338</v>
      </c>
      <c r="D323" t="s">
        <v>38</v>
      </c>
      <c r="E323" t="s">
        <v>489</v>
      </c>
      <c r="F323" t="s">
        <v>424</v>
      </c>
      <c r="G323" s="7">
        <v>132</v>
      </c>
      <c r="H323" s="7">
        <v>123.42</v>
      </c>
      <c r="I323" s="7">
        <f t="shared" si="13"/>
        <v>8.5799999999999983</v>
      </c>
      <c r="J323" t="s">
        <v>40</v>
      </c>
      <c r="K323" s="11">
        <v>10.200000000000001</v>
      </c>
    </row>
    <row r="324" spans="2:11" x14ac:dyDescent="0.25">
      <c r="B324" t="s">
        <v>491</v>
      </c>
      <c r="C324" t="s">
        <v>338</v>
      </c>
      <c r="D324" t="s">
        <v>38</v>
      </c>
      <c r="E324" t="s">
        <v>490</v>
      </c>
      <c r="F324" t="s">
        <v>424</v>
      </c>
      <c r="G324" s="7">
        <v>75</v>
      </c>
      <c r="H324" s="7">
        <v>70.125</v>
      </c>
      <c r="I324" s="7">
        <f t="shared" si="13"/>
        <v>4.875</v>
      </c>
      <c r="J324" t="s">
        <v>40</v>
      </c>
      <c r="K324" s="11">
        <v>0.85000000000000009</v>
      </c>
    </row>
    <row r="325" spans="2:11" x14ac:dyDescent="0.25">
      <c r="B325" t="s">
        <v>491</v>
      </c>
      <c r="C325" t="s">
        <v>338</v>
      </c>
      <c r="D325" t="s">
        <v>38</v>
      </c>
      <c r="E325" t="s">
        <v>479</v>
      </c>
      <c r="F325" t="s">
        <v>424</v>
      </c>
      <c r="G325" s="7">
        <v>20</v>
      </c>
      <c r="H325" s="7">
        <v>18.7</v>
      </c>
      <c r="I325" s="7">
        <f t="shared" si="13"/>
        <v>1.3000000000000007</v>
      </c>
      <c r="J325" t="s">
        <v>40</v>
      </c>
      <c r="K325" s="11">
        <v>10.200000000000001</v>
      </c>
    </row>
    <row r="326" spans="2:11" x14ac:dyDescent="0.25">
      <c r="B326" t="s">
        <v>865</v>
      </c>
      <c r="C326" t="s">
        <v>338</v>
      </c>
      <c r="D326" t="s">
        <v>38</v>
      </c>
      <c r="E326" t="s">
        <v>852</v>
      </c>
      <c r="F326" t="s">
        <v>424</v>
      </c>
      <c r="G326" s="7">
        <v>3.5</v>
      </c>
      <c r="H326" s="7">
        <v>3.08</v>
      </c>
      <c r="I326" s="7">
        <f t="shared" si="13"/>
        <v>0.41999999999999993</v>
      </c>
      <c r="J326" t="s">
        <v>40</v>
      </c>
      <c r="K326" s="11"/>
    </row>
    <row r="327" spans="2:11" x14ac:dyDescent="0.25">
      <c r="B327" t="s">
        <v>865</v>
      </c>
      <c r="C327" t="s">
        <v>37</v>
      </c>
      <c r="D327" t="s">
        <v>38</v>
      </c>
      <c r="E327" t="s">
        <v>852</v>
      </c>
      <c r="F327" t="s">
        <v>424</v>
      </c>
      <c r="G327" s="7">
        <v>37.800000000000004</v>
      </c>
      <c r="H327" s="7">
        <v>33.263999999999996</v>
      </c>
      <c r="I327" s="7">
        <f t="shared" si="13"/>
        <v>4.5360000000000085</v>
      </c>
      <c r="J327" t="s">
        <v>40</v>
      </c>
      <c r="K327" s="11"/>
    </row>
    <row r="328" spans="2:11" x14ac:dyDescent="0.25">
      <c r="B328" t="s">
        <v>865</v>
      </c>
      <c r="C328" t="s">
        <v>338</v>
      </c>
      <c r="D328" t="s">
        <v>38</v>
      </c>
      <c r="E328" t="s">
        <v>853</v>
      </c>
      <c r="F328" t="s">
        <v>424</v>
      </c>
      <c r="G328" s="7">
        <v>5</v>
      </c>
      <c r="H328" s="7">
        <v>4.4000000000000004</v>
      </c>
      <c r="I328" s="7">
        <f t="shared" si="13"/>
        <v>0.59999999999999964</v>
      </c>
      <c r="J328" t="s">
        <v>40</v>
      </c>
      <c r="K328" s="11"/>
    </row>
    <row r="329" spans="2:11" x14ac:dyDescent="0.25">
      <c r="B329" t="s">
        <v>865</v>
      </c>
      <c r="C329" t="s">
        <v>37</v>
      </c>
      <c r="D329" t="s">
        <v>38</v>
      </c>
      <c r="E329" t="s">
        <v>853</v>
      </c>
      <c r="F329" t="s">
        <v>424</v>
      </c>
      <c r="G329" s="7">
        <v>54</v>
      </c>
      <c r="H329" s="7">
        <v>47.519999999999996</v>
      </c>
      <c r="I329" s="7">
        <f t="shared" si="13"/>
        <v>6.480000000000004</v>
      </c>
      <c r="J329" t="s">
        <v>40</v>
      </c>
      <c r="K329" s="11"/>
    </row>
    <row r="330" spans="2:11" x14ac:dyDescent="0.25">
      <c r="B330" t="s">
        <v>865</v>
      </c>
      <c r="C330" t="s">
        <v>338</v>
      </c>
      <c r="D330" t="s">
        <v>38</v>
      </c>
      <c r="E330" t="s">
        <v>854</v>
      </c>
      <c r="F330" t="s">
        <v>424</v>
      </c>
      <c r="G330" s="7">
        <v>5.166666666666667</v>
      </c>
      <c r="H330" s="7">
        <v>4.5466666666666669</v>
      </c>
      <c r="I330" s="7">
        <f t="shared" si="13"/>
        <v>0.62000000000000011</v>
      </c>
      <c r="J330" t="s">
        <v>40</v>
      </c>
      <c r="K330" s="11"/>
    </row>
    <row r="331" spans="2:11" x14ac:dyDescent="0.25">
      <c r="B331" t="s">
        <v>865</v>
      </c>
      <c r="C331" t="s">
        <v>37</v>
      </c>
      <c r="D331" t="s">
        <v>38</v>
      </c>
      <c r="E331" t="s">
        <v>854</v>
      </c>
      <c r="F331" t="s">
        <v>424</v>
      </c>
      <c r="G331" s="7">
        <v>55.800000000000004</v>
      </c>
      <c r="H331" s="7">
        <v>49.103999999999992</v>
      </c>
      <c r="I331" s="7">
        <f t="shared" si="13"/>
        <v>6.6960000000000122</v>
      </c>
      <c r="J331" t="s">
        <v>40</v>
      </c>
      <c r="K331" s="11"/>
    </row>
    <row r="332" spans="2:11" x14ac:dyDescent="0.25">
      <c r="B332" t="s">
        <v>865</v>
      </c>
      <c r="C332" t="s">
        <v>338</v>
      </c>
      <c r="D332" t="s">
        <v>38</v>
      </c>
      <c r="E332" t="s">
        <v>855</v>
      </c>
      <c r="F332" t="s">
        <v>424</v>
      </c>
      <c r="G332" s="7">
        <v>3.9166666666666665</v>
      </c>
      <c r="H332" s="7">
        <v>3.4466666666666668</v>
      </c>
      <c r="I332" s="7">
        <f t="shared" si="13"/>
        <v>0.46999999999999975</v>
      </c>
      <c r="J332" t="s">
        <v>40</v>
      </c>
      <c r="K332" s="11"/>
    </row>
    <row r="333" spans="2:11" x14ac:dyDescent="0.25">
      <c r="B333" t="s">
        <v>865</v>
      </c>
      <c r="C333" t="s">
        <v>37</v>
      </c>
      <c r="D333" t="s">
        <v>38</v>
      </c>
      <c r="E333" t="s">
        <v>855</v>
      </c>
      <c r="F333" t="s">
        <v>424</v>
      </c>
      <c r="G333" s="7">
        <v>42.300000000000004</v>
      </c>
      <c r="H333" s="7">
        <v>37.223999999999997</v>
      </c>
      <c r="I333" s="7">
        <f t="shared" si="13"/>
        <v>5.0760000000000076</v>
      </c>
      <c r="J333" t="s">
        <v>40</v>
      </c>
      <c r="K333" s="11"/>
    </row>
    <row r="334" spans="2:11" x14ac:dyDescent="0.25">
      <c r="B334" t="s">
        <v>865</v>
      </c>
      <c r="C334" t="s">
        <v>338</v>
      </c>
      <c r="D334" t="s">
        <v>38</v>
      </c>
      <c r="E334" t="s">
        <v>856</v>
      </c>
      <c r="F334" t="s">
        <v>424</v>
      </c>
      <c r="G334" s="7">
        <v>6.25</v>
      </c>
      <c r="H334" s="7">
        <v>5.5</v>
      </c>
      <c r="I334" s="7">
        <f t="shared" si="13"/>
        <v>0.75</v>
      </c>
      <c r="J334" t="s">
        <v>40</v>
      </c>
      <c r="K334" s="11"/>
    </row>
    <row r="335" spans="2:11" x14ac:dyDescent="0.25">
      <c r="B335" t="s">
        <v>865</v>
      </c>
      <c r="C335" t="s">
        <v>37</v>
      </c>
      <c r="D335" t="s">
        <v>38</v>
      </c>
      <c r="E335" t="s">
        <v>856</v>
      </c>
      <c r="F335" t="s">
        <v>424</v>
      </c>
      <c r="G335" s="7">
        <v>67.5</v>
      </c>
      <c r="H335" s="7">
        <v>59.4</v>
      </c>
      <c r="I335" s="7">
        <f t="shared" si="13"/>
        <v>8.1000000000000014</v>
      </c>
      <c r="J335" t="s">
        <v>40</v>
      </c>
      <c r="K335" s="11"/>
    </row>
    <row r="336" spans="2:11" x14ac:dyDescent="0.25">
      <c r="B336" t="s">
        <v>865</v>
      </c>
      <c r="C336" t="s">
        <v>338</v>
      </c>
      <c r="D336" t="s">
        <v>38</v>
      </c>
      <c r="E336" t="s">
        <v>857</v>
      </c>
      <c r="F336" t="s">
        <v>424</v>
      </c>
      <c r="G336" s="7">
        <v>19.75</v>
      </c>
      <c r="H336" s="7">
        <v>17.38</v>
      </c>
      <c r="I336" s="7">
        <f t="shared" si="13"/>
        <v>2.370000000000001</v>
      </c>
      <c r="J336" t="s">
        <v>40</v>
      </c>
      <c r="K336" s="11"/>
    </row>
    <row r="337" spans="2:11" x14ac:dyDescent="0.25">
      <c r="B337" t="s">
        <v>865</v>
      </c>
      <c r="C337" t="s">
        <v>37</v>
      </c>
      <c r="D337" t="s">
        <v>38</v>
      </c>
      <c r="E337" t="s">
        <v>857</v>
      </c>
      <c r="F337" t="s">
        <v>424</v>
      </c>
      <c r="G337" s="7">
        <v>213.29999999999998</v>
      </c>
      <c r="H337" s="7">
        <v>187.70400000000001</v>
      </c>
      <c r="I337" s="7">
        <f t="shared" si="13"/>
        <v>25.595999999999975</v>
      </c>
      <c r="J337" t="s">
        <v>40</v>
      </c>
      <c r="K337" s="11"/>
    </row>
    <row r="338" spans="2:11" x14ac:dyDescent="0.25">
      <c r="B338" t="s">
        <v>865</v>
      </c>
      <c r="C338" t="s">
        <v>338</v>
      </c>
      <c r="D338" t="s">
        <v>38</v>
      </c>
      <c r="E338" t="s">
        <v>858</v>
      </c>
      <c r="F338" t="s">
        <v>424</v>
      </c>
      <c r="G338" s="7">
        <v>16.5</v>
      </c>
      <c r="H338" s="7">
        <v>14.520000000000001</v>
      </c>
      <c r="I338" s="7">
        <f t="shared" si="13"/>
        <v>1.9799999999999986</v>
      </c>
      <c r="J338" t="s">
        <v>40</v>
      </c>
      <c r="K338" s="11"/>
    </row>
    <row r="339" spans="2:11" x14ac:dyDescent="0.25">
      <c r="B339" t="s">
        <v>865</v>
      </c>
      <c r="C339" t="s">
        <v>37</v>
      </c>
      <c r="D339" t="s">
        <v>38</v>
      </c>
      <c r="E339" t="s">
        <v>858</v>
      </c>
      <c r="F339" t="s">
        <v>424</v>
      </c>
      <c r="G339" s="7">
        <v>178.20000000000002</v>
      </c>
      <c r="H339" s="7">
        <v>156.816</v>
      </c>
      <c r="I339" s="7">
        <f t="shared" si="13"/>
        <v>21.384000000000015</v>
      </c>
      <c r="J339" t="s">
        <v>40</v>
      </c>
      <c r="K339" s="11"/>
    </row>
    <row r="340" spans="2:11" x14ac:dyDescent="0.25">
      <c r="B340" t="s">
        <v>865</v>
      </c>
      <c r="C340" t="s">
        <v>338</v>
      </c>
      <c r="D340" t="s">
        <v>38</v>
      </c>
      <c r="E340" t="s">
        <v>859</v>
      </c>
      <c r="F340" t="s">
        <v>424</v>
      </c>
      <c r="G340" s="7">
        <v>15.416666666666666</v>
      </c>
      <c r="H340" s="7">
        <v>13.566666666666666</v>
      </c>
      <c r="I340" s="7">
        <f t="shared" si="13"/>
        <v>1.8499999999999996</v>
      </c>
      <c r="J340" t="s">
        <v>40</v>
      </c>
      <c r="K340" s="11"/>
    </row>
    <row r="341" spans="2:11" x14ac:dyDescent="0.25">
      <c r="B341" t="s">
        <v>865</v>
      </c>
      <c r="C341" t="s">
        <v>37</v>
      </c>
      <c r="D341" t="s">
        <v>38</v>
      </c>
      <c r="E341" t="s">
        <v>859</v>
      </c>
      <c r="F341" t="s">
        <v>424</v>
      </c>
      <c r="G341" s="7">
        <v>166.5</v>
      </c>
      <c r="H341" s="7">
        <v>146.52000000000001</v>
      </c>
      <c r="I341" s="7">
        <f t="shared" si="13"/>
        <v>19.97999999999999</v>
      </c>
      <c r="J341" t="s">
        <v>40</v>
      </c>
      <c r="K341" s="11"/>
    </row>
    <row r="342" spans="2:11" x14ac:dyDescent="0.25">
      <c r="B342" t="s">
        <v>865</v>
      </c>
      <c r="C342" t="s">
        <v>338</v>
      </c>
      <c r="D342" t="s">
        <v>38</v>
      </c>
      <c r="E342" t="s">
        <v>860</v>
      </c>
      <c r="F342" t="s">
        <v>424</v>
      </c>
      <c r="G342" s="7">
        <v>12.666666666666666</v>
      </c>
      <c r="H342" s="7">
        <v>11.146666666666667</v>
      </c>
      <c r="I342" s="7">
        <f t="shared" si="13"/>
        <v>1.5199999999999996</v>
      </c>
      <c r="J342" t="s">
        <v>40</v>
      </c>
      <c r="K342" s="11"/>
    </row>
    <row r="343" spans="2:11" x14ac:dyDescent="0.25">
      <c r="B343" t="s">
        <v>865</v>
      </c>
      <c r="C343" t="s">
        <v>37</v>
      </c>
      <c r="D343" t="s">
        <v>38</v>
      </c>
      <c r="E343" t="s">
        <v>860</v>
      </c>
      <c r="F343" t="s">
        <v>424</v>
      </c>
      <c r="G343" s="7">
        <v>136.79999999999998</v>
      </c>
      <c r="H343" s="7">
        <v>120.384</v>
      </c>
      <c r="I343" s="7">
        <f t="shared" si="13"/>
        <v>16.415999999999983</v>
      </c>
      <c r="J343" t="s">
        <v>40</v>
      </c>
      <c r="K343" s="11"/>
    </row>
    <row r="344" spans="2:11" x14ac:dyDescent="0.25">
      <c r="B344" t="s">
        <v>865</v>
      </c>
      <c r="C344" t="s">
        <v>338</v>
      </c>
      <c r="D344" t="s">
        <v>38</v>
      </c>
      <c r="E344" t="s">
        <v>861</v>
      </c>
      <c r="F344" t="s">
        <v>424</v>
      </c>
      <c r="G344" s="7">
        <v>9.4166666666666661</v>
      </c>
      <c r="H344" s="7">
        <v>8.2866666666666671</v>
      </c>
      <c r="I344" s="7">
        <f t="shared" si="13"/>
        <v>1.129999999999999</v>
      </c>
      <c r="J344" t="s">
        <v>40</v>
      </c>
      <c r="K344" s="11"/>
    </row>
    <row r="345" spans="2:11" x14ac:dyDescent="0.25">
      <c r="B345" t="s">
        <v>865</v>
      </c>
      <c r="C345" t="s">
        <v>37</v>
      </c>
      <c r="D345" t="s">
        <v>38</v>
      </c>
      <c r="E345" t="s">
        <v>861</v>
      </c>
      <c r="F345" t="s">
        <v>424</v>
      </c>
      <c r="G345" s="7">
        <v>101.7</v>
      </c>
      <c r="H345" s="7">
        <v>89.495999999999995</v>
      </c>
      <c r="I345" s="7">
        <f t="shared" si="13"/>
        <v>12.204000000000008</v>
      </c>
      <c r="J345" t="s">
        <v>40</v>
      </c>
      <c r="K345" s="11"/>
    </row>
    <row r="346" spans="2:11" x14ac:dyDescent="0.25">
      <c r="B346" t="s">
        <v>865</v>
      </c>
      <c r="C346" t="s">
        <v>338</v>
      </c>
      <c r="D346" t="s">
        <v>38</v>
      </c>
      <c r="E346" t="s">
        <v>862</v>
      </c>
      <c r="F346" t="s">
        <v>424</v>
      </c>
      <c r="G346" s="7">
        <v>8.25</v>
      </c>
      <c r="H346" s="7">
        <v>7.2600000000000007</v>
      </c>
      <c r="I346" s="7">
        <f t="shared" si="13"/>
        <v>0.98999999999999932</v>
      </c>
      <c r="J346" t="s">
        <v>40</v>
      </c>
      <c r="K346" s="11"/>
    </row>
    <row r="347" spans="2:11" x14ac:dyDescent="0.25">
      <c r="B347" t="s">
        <v>865</v>
      </c>
      <c r="C347" t="s">
        <v>37</v>
      </c>
      <c r="D347" t="s">
        <v>38</v>
      </c>
      <c r="E347" t="s">
        <v>862</v>
      </c>
      <c r="F347" t="s">
        <v>424</v>
      </c>
      <c r="G347" s="7">
        <v>89.100000000000009</v>
      </c>
      <c r="H347" s="7">
        <v>78.408000000000001</v>
      </c>
      <c r="I347" s="7">
        <f t="shared" si="13"/>
        <v>10.692000000000007</v>
      </c>
      <c r="J347" t="s">
        <v>40</v>
      </c>
      <c r="K347" s="11"/>
    </row>
    <row r="348" spans="2:11" x14ac:dyDescent="0.25">
      <c r="B348" t="s">
        <v>865</v>
      </c>
      <c r="C348" t="s">
        <v>37</v>
      </c>
      <c r="D348" t="s">
        <v>38</v>
      </c>
      <c r="E348" t="s">
        <v>863</v>
      </c>
      <c r="F348" t="s">
        <v>424</v>
      </c>
      <c r="G348" s="7">
        <v>425.7</v>
      </c>
      <c r="H348" s="7">
        <v>374.61599999999999</v>
      </c>
      <c r="I348" s="7">
        <f t="shared" si="13"/>
        <v>51.084000000000003</v>
      </c>
      <c r="J348" t="s">
        <v>40</v>
      </c>
      <c r="K348" s="11"/>
    </row>
    <row r="349" spans="2:11" x14ac:dyDescent="0.25">
      <c r="B349" t="s">
        <v>865</v>
      </c>
      <c r="C349" t="s">
        <v>338</v>
      </c>
      <c r="D349" t="s">
        <v>38</v>
      </c>
      <c r="E349" t="s">
        <v>863</v>
      </c>
      <c r="F349" t="s">
        <v>424</v>
      </c>
      <c r="G349" s="7">
        <v>39.416666666666664</v>
      </c>
      <c r="H349" s="7">
        <v>34.686666666666667</v>
      </c>
      <c r="I349" s="7">
        <f t="shared" si="13"/>
        <v>4.7299999999999969</v>
      </c>
      <c r="J349" t="s">
        <v>40</v>
      </c>
      <c r="K349" s="11"/>
    </row>
    <row r="350" spans="2:11" x14ac:dyDescent="0.25">
      <c r="B350" t="s">
        <v>865</v>
      </c>
      <c r="C350" t="s">
        <v>37</v>
      </c>
      <c r="D350" t="s">
        <v>38</v>
      </c>
      <c r="E350" t="s">
        <v>864</v>
      </c>
      <c r="F350" t="s">
        <v>424</v>
      </c>
      <c r="G350" s="7">
        <v>374.40000000000003</v>
      </c>
      <c r="H350" s="7">
        <v>329.47199999999998</v>
      </c>
      <c r="I350" s="7">
        <f t="shared" si="13"/>
        <v>44.928000000000054</v>
      </c>
      <c r="J350" t="s">
        <v>40</v>
      </c>
      <c r="K350" s="11"/>
    </row>
    <row r="351" spans="2:11" x14ac:dyDescent="0.25">
      <c r="B351" t="s">
        <v>865</v>
      </c>
      <c r="C351" t="s">
        <v>338</v>
      </c>
      <c r="D351" t="s">
        <v>38</v>
      </c>
      <c r="E351" t="s">
        <v>864</v>
      </c>
      <c r="F351" t="s">
        <v>424</v>
      </c>
      <c r="G351" s="7">
        <v>34.666666666666664</v>
      </c>
      <c r="H351" s="7">
        <v>30.506666666666668</v>
      </c>
      <c r="I351" s="7">
        <f t="shared" si="13"/>
        <v>4.1599999999999966</v>
      </c>
      <c r="J351" t="s">
        <v>40</v>
      </c>
      <c r="K351" s="11"/>
    </row>
    <row r="352" spans="2:11" x14ac:dyDescent="0.25">
      <c r="K352" s="11"/>
    </row>
    <row r="353" spans="1:11" x14ac:dyDescent="0.25">
      <c r="E353" s="8" t="s">
        <v>361</v>
      </c>
      <c r="F353" s="8"/>
      <c r="K353" s="11"/>
    </row>
    <row r="354" spans="1:11" x14ac:dyDescent="0.25">
      <c r="A354" t="s">
        <v>362</v>
      </c>
      <c r="B354" t="s">
        <v>363</v>
      </c>
      <c r="C354" t="s">
        <v>338</v>
      </c>
      <c r="D354" t="s">
        <v>342</v>
      </c>
      <c r="E354" t="s">
        <v>364</v>
      </c>
      <c r="F354" t="s">
        <v>425</v>
      </c>
      <c r="G354" s="7">
        <v>0</v>
      </c>
      <c r="H354" s="7">
        <v>0</v>
      </c>
      <c r="I354" s="7">
        <f t="shared" si="12"/>
        <v>0</v>
      </c>
      <c r="J354" t="s">
        <v>40</v>
      </c>
      <c r="K354" s="11"/>
    </row>
    <row r="355" spans="1:11" x14ac:dyDescent="0.25">
      <c r="B355" t="s">
        <v>363</v>
      </c>
      <c r="C355" t="s">
        <v>338</v>
      </c>
      <c r="D355" t="s">
        <v>38</v>
      </c>
      <c r="E355" t="s">
        <v>364</v>
      </c>
      <c r="F355" t="s">
        <v>424</v>
      </c>
      <c r="G355" s="7">
        <v>26.4</v>
      </c>
      <c r="H355" s="7">
        <v>23.23</v>
      </c>
      <c r="I355" s="7">
        <f t="shared" si="12"/>
        <v>3.1699999999999982</v>
      </c>
      <c r="J355" t="s">
        <v>40</v>
      </c>
      <c r="K355" s="11">
        <v>1.06</v>
      </c>
    </row>
    <row r="356" spans="1:11" x14ac:dyDescent="0.25">
      <c r="B356" t="s">
        <v>363</v>
      </c>
      <c r="C356" t="s">
        <v>37</v>
      </c>
      <c r="D356" t="s">
        <v>38</v>
      </c>
      <c r="E356" t="s">
        <v>364</v>
      </c>
      <c r="F356" t="s">
        <v>426</v>
      </c>
      <c r="G356" s="7">
        <v>22</v>
      </c>
      <c r="H356" s="7">
        <v>19.36</v>
      </c>
      <c r="I356" s="7">
        <f>G356-H356</f>
        <v>2.6400000000000006</v>
      </c>
      <c r="J356" t="s">
        <v>40</v>
      </c>
      <c r="K356" s="11">
        <v>0.88</v>
      </c>
    </row>
    <row r="357" spans="1:11" x14ac:dyDescent="0.25">
      <c r="B357" t="s">
        <v>363</v>
      </c>
      <c r="C357" t="s">
        <v>338</v>
      </c>
      <c r="D357" t="s">
        <v>342</v>
      </c>
      <c r="E357" t="s">
        <v>1298</v>
      </c>
      <c r="F357" t="s">
        <v>425</v>
      </c>
      <c r="G357" s="7">
        <v>0</v>
      </c>
      <c r="H357" s="7">
        <v>0</v>
      </c>
      <c r="I357" s="7">
        <v>0</v>
      </c>
      <c r="J357" t="s">
        <v>40</v>
      </c>
      <c r="K357" s="11"/>
    </row>
    <row r="358" spans="1:11" x14ac:dyDescent="0.25">
      <c r="B358" t="s">
        <v>363</v>
      </c>
      <c r="C358" t="s">
        <v>338</v>
      </c>
      <c r="D358" t="s">
        <v>38</v>
      </c>
      <c r="E358" t="s">
        <v>1298</v>
      </c>
      <c r="F358" t="s">
        <v>424</v>
      </c>
      <c r="G358" s="7">
        <v>23.76</v>
      </c>
      <c r="H358" s="7">
        <v>20.91</v>
      </c>
      <c r="I358" s="7">
        <v>0</v>
      </c>
      <c r="J358" t="s">
        <v>40</v>
      </c>
      <c r="K358" s="11"/>
    </row>
    <row r="359" spans="1:11" x14ac:dyDescent="0.25">
      <c r="B359" t="s">
        <v>363</v>
      </c>
      <c r="C359" t="s">
        <v>37</v>
      </c>
      <c r="D359" t="s">
        <v>38</v>
      </c>
      <c r="E359" t="s">
        <v>1298</v>
      </c>
      <c r="F359" t="s">
        <v>426</v>
      </c>
      <c r="G359" s="7">
        <v>19.8</v>
      </c>
      <c r="H359" s="7">
        <v>17.420000000000002</v>
      </c>
      <c r="I359" s="7">
        <v>0</v>
      </c>
      <c r="J359" t="s">
        <v>40</v>
      </c>
      <c r="K359" s="11"/>
    </row>
    <row r="360" spans="1:11" x14ac:dyDescent="0.25">
      <c r="A360" t="s">
        <v>365</v>
      </c>
      <c r="B360" t="s">
        <v>71</v>
      </c>
      <c r="C360" t="s">
        <v>338</v>
      </c>
      <c r="D360" t="s">
        <v>38</v>
      </c>
      <c r="E360" t="s">
        <v>144</v>
      </c>
      <c r="F360" t="s">
        <v>424</v>
      </c>
      <c r="G360" s="7">
        <v>43.2</v>
      </c>
      <c r="H360" s="7">
        <v>38.020000000000003</v>
      </c>
      <c r="I360" s="7">
        <f t="shared" si="12"/>
        <v>5.18</v>
      </c>
      <c r="J360" t="s">
        <v>40</v>
      </c>
      <c r="K360" s="11">
        <v>2.16</v>
      </c>
    </row>
    <row r="361" spans="1:11" x14ac:dyDescent="0.25">
      <c r="B361" t="s">
        <v>71</v>
      </c>
      <c r="C361" t="s">
        <v>37</v>
      </c>
      <c r="D361" t="s">
        <v>38</v>
      </c>
      <c r="E361" t="s">
        <v>144</v>
      </c>
      <c r="F361" t="s">
        <v>426</v>
      </c>
      <c r="G361" s="7">
        <v>36</v>
      </c>
      <c r="H361" s="7">
        <v>31.68</v>
      </c>
      <c r="I361" s="7">
        <f t="shared" si="12"/>
        <v>4.32</v>
      </c>
      <c r="J361" t="s">
        <v>40</v>
      </c>
      <c r="K361" s="11">
        <v>1.8</v>
      </c>
    </row>
    <row r="362" spans="1:11" x14ac:dyDescent="0.25">
      <c r="B362" t="s">
        <v>71</v>
      </c>
      <c r="C362" t="s">
        <v>338</v>
      </c>
      <c r="D362" t="s">
        <v>38</v>
      </c>
      <c r="E362" t="s">
        <v>1301</v>
      </c>
      <c r="F362" t="s">
        <v>424</v>
      </c>
      <c r="G362" s="7">
        <v>40.56</v>
      </c>
      <c r="H362" s="7">
        <v>35.700000000000003</v>
      </c>
      <c r="I362" s="7">
        <f t="shared" si="12"/>
        <v>4.8599999999999994</v>
      </c>
      <c r="J362" t="s">
        <v>40</v>
      </c>
      <c r="K362" s="11"/>
    </row>
    <row r="363" spans="1:11" x14ac:dyDescent="0.25">
      <c r="B363" t="s">
        <v>71</v>
      </c>
      <c r="C363" t="s">
        <v>37</v>
      </c>
      <c r="D363" t="s">
        <v>38</v>
      </c>
      <c r="E363" t="s">
        <v>1301</v>
      </c>
      <c r="F363" t="s">
        <v>426</v>
      </c>
      <c r="G363" s="7">
        <v>33.799999999999997</v>
      </c>
      <c r="H363" s="7">
        <v>29.74</v>
      </c>
      <c r="I363" s="7">
        <f t="shared" si="12"/>
        <v>4.0599999999999987</v>
      </c>
      <c r="J363" t="s">
        <v>40</v>
      </c>
      <c r="K363" s="11"/>
    </row>
    <row r="364" spans="1:11" x14ac:dyDescent="0.25">
      <c r="B364" t="s">
        <v>71</v>
      </c>
      <c r="C364" t="s">
        <v>338</v>
      </c>
      <c r="D364" t="s">
        <v>38</v>
      </c>
      <c r="E364" t="s">
        <v>1300</v>
      </c>
      <c r="F364" t="s">
        <v>424</v>
      </c>
      <c r="G364" s="7">
        <v>40.56</v>
      </c>
      <c r="H364" s="7">
        <v>35.700000000000003</v>
      </c>
      <c r="I364" s="7">
        <f t="shared" si="12"/>
        <v>4.8599999999999994</v>
      </c>
      <c r="J364" t="s">
        <v>40</v>
      </c>
      <c r="K364" s="11"/>
    </row>
    <row r="365" spans="1:11" x14ac:dyDescent="0.25">
      <c r="B365" t="s">
        <v>71</v>
      </c>
      <c r="C365" t="s">
        <v>37</v>
      </c>
      <c r="D365" t="s">
        <v>38</v>
      </c>
      <c r="E365" t="s">
        <v>1300</v>
      </c>
      <c r="F365" t="s">
        <v>426</v>
      </c>
      <c r="G365" s="7">
        <v>33.799999999999997</v>
      </c>
      <c r="H365" s="7">
        <v>29.74</v>
      </c>
      <c r="I365" s="7">
        <f t="shared" si="12"/>
        <v>4.0599999999999987</v>
      </c>
      <c r="J365" t="s">
        <v>40</v>
      </c>
      <c r="K365" s="11"/>
    </row>
    <row r="366" spans="1:11" x14ac:dyDescent="0.25">
      <c r="A366" t="s">
        <v>366</v>
      </c>
      <c r="B366" t="s">
        <v>145</v>
      </c>
      <c r="C366" t="s">
        <v>338</v>
      </c>
      <c r="D366" t="s">
        <v>38</v>
      </c>
      <c r="E366" t="s">
        <v>146</v>
      </c>
      <c r="F366" t="s">
        <v>424</v>
      </c>
      <c r="G366" s="7">
        <v>68.400000000000006</v>
      </c>
      <c r="H366" s="7">
        <v>60.192</v>
      </c>
      <c r="I366" s="7">
        <f t="shared" si="12"/>
        <v>8.2080000000000055</v>
      </c>
      <c r="J366" t="s">
        <v>40</v>
      </c>
      <c r="K366" s="11">
        <v>2.74</v>
      </c>
    </row>
    <row r="367" spans="1:11" x14ac:dyDescent="0.25">
      <c r="B367" t="s">
        <v>145</v>
      </c>
      <c r="C367" t="s">
        <v>37</v>
      </c>
      <c r="D367" t="s">
        <v>38</v>
      </c>
      <c r="E367" t="s">
        <v>146</v>
      </c>
      <c r="F367" t="s">
        <v>426</v>
      </c>
      <c r="G367" s="7">
        <v>57</v>
      </c>
      <c r="H367" s="7">
        <v>50.16</v>
      </c>
      <c r="I367" s="7">
        <f t="shared" si="12"/>
        <v>6.8400000000000034</v>
      </c>
      <c r="J367" t="s">
        <v>40</v>
      </c>
      <c r="K367" s="11">
        <v>2.38</v>
      </c>
    </row>
    <row r="368" spans="1:11" x14ac:dyDescent="0.25">
      <c r="B368" t="s">
        <v>145</v>
      </c>
      <c r="C368" t="s">
        <v>338</v>
      </c>
      <c r="D368" t="s">
        <v>38</v>
      </c>
      <c r="E368" t="s">
        <v>1302</v>
      </c>
      <c r="F368" t="s">
        <v>424</v>
      </c>
      <c r="G368" s="7">
        <v>65.760000000000005</v>
      </c>
      <c r="H368" s="7">
        <v>57.87</v>
      </c>
      <c r="I368" s="7">
        <f t="shared" si="12"/>
        <v>7.8900000000000077</v>
      </c>
      <c r="J368" t="s">
        <v>40</v>
      </c>
      <c r="K368" s="11"/>
    </row>
    <row r="369" spans="1:11" x14ac:dyDescent="0.25">
      <c r="B369" t="s">
        <v>145</v>
      </c>
      <c r="C369" t="s">
        <v>37</v>
      </c>
      <c r="D369" t="s">
        <v>38</v>
      </c>
      <c r="E369" t="s">
        <v>1302</v>
      </c>
      <c r="F369" t="s">
        <v>426</v>
      </c>
      <c r="G369" s="7">
        <v>54.8</v>
      </c>
      <c r="H369" s="7">
        <v>48.22</v>
      </c>
      <c r="I369" s="7">
        <f t="shared" si="12"/>
        <v>6.5799999999999983</v>
      </c>
      <c r="J369" t="s">
        <v>40</v>
      </c>
      <c r="K369" s="11"/>
    </row>
    <row r="370" spans="1:11" x14ac:dyDescent="0.25">
      <c r="B370" t="s">
        <v>145</v>
      </c>
      <c r="C370" t="s">
        <v>338</v>
      </c>
      <c r="D370" t="s">
        <v>38</v>
      </c>
      <c r="E370" t="s">
        <v>147</v>
      </c>
      <c r="F370" t="s">
        <v>424</v>
      </c>
      <c r="G370" s="7">
        <v>68.400000000000006</v>
      </c>
      <c r="H370" s="7">
        <v>60.192</v>
      </c>
      <c r="I370" s="7">
        <f t="shared" si="12"/>
        <v>8.2080000000000055</v>
      </c>
      <c r="J370" t="s">
        <v>40</v>
      </c>
      <c r="K370" s="11">
        <v>2.74</v>
      </c>
    </row>
    <row r="371" spans="1:11" x14ac:dyDescent="0.25">
      <c r="B371" t="s">
        <v>145</v>
      </c>
      <c r="C371" t="s">
        <v>37</v>
      </c>
      <c r="D371" t="s">
        <v>38</v>
      </c>
      <c r="E371" t="s">
        <v>147</v>
      </c>
      <c r="F371" t="s">
        <v>426</v>
      </c>
      <c r="G371" s="7">
        <v>57</v>
      </c>
      <c r="H371" s="7">
        <v>50.16</v>
      </c>
      <c r="I371" s="7">
        <f t="shared" si="12"/>
        <v>6.8400000000000034</v>
      </c>
      <c r="J371" t="s">
        <v>40</v>
      </c>
      <c r="K371" s="11">
        <v>2.2799999999999998</v>
      </c>
    </row>
    <row r="372" spans="1:11" x14ac:dyDescent="0.25">
      <c r="B372" t="s">
        <v>148</v>
      </c>
      <c r="C372" t="s">
        <v>338</v>
      </c>
      <c r="D372" t="s">
        <v>342</v>
      </c>
      <c r="E372" t="s">
        <v>149</v>
      </c>
      <c r="F372" t="s">
        <v>425</v>
      </c>
      <c r="G372" s="7">
        <v>0</v>
      </c>
      <c r="H372" s="7">
        <v>0</v>
      </c>
      <c r="I372" s="7">
        <f t="shared" si="12"/>
        <v>0</v>
      </c>
      <c r="J372" t="s">
        <v>40</v>
      </c>
      <c r="K372" s="11"/>
    </row>
    <row r="373" spans="1:11" x14ac:dyDescent="0.25">
      <c r="B373" t="s">
        <v>148</v>
      </c>
      <c r="C373" t="s">
        <v>338</v>
      </c>
      <c r="D373" t="s">
        <v>38</v>
      </c>
      <c r="E373" t="s">
        <v>149</v>
      </c>
      <c r="F373" t="s">
        <v>424</v>
      </c>
      <c r="G373" s="7">
        <v>2.76</v>
      </c>
      <c r="H373" s="7">
        <v>2.431</v>
      </c>
      <c r="I373" s="7">
        <f t="shared" si="12"/>
        <v>0.32899999999999974</v>
      </c>
      <c r="J373" t="s">
        <v>40</v>
      </c>
      <c r="K373" s="11">
        <v>0.11</v>
      </c>
    </row>
    <row r="374" spans="1:11" x14ac:dyDescent="0.25">
      <c r="B374" t="s">
        <v>148</v>
      </c>
      <c r="C374" t="s">
        <v>37</v>
      </c>
      <c r="D374" t="s">
        <v>38</v>
      </c>
      <c r="E374" t="s">
        <v>149</v>
      </c>
      <c r="F374" t="s">
        <v>426</v>
      </c>
      <c r="G374" s="7">
        <v>2.3000000000000003</v>
      </c>
      <c r="H374" s="7">
        <v>2.024</v>
      </c>
      <c r="I374" s="7">
        <f t="shared" si="12"/>
        <v>0.27600000000000025</v>
      </c>
      <c r="J374" t="s">
        <v>40</v>
      </c>
      <c r="K374" s="11">
        <v>0.09</v>
      </c>
    </row>
    <row r="375" spans="1:11" x14ac:dyDescent="0.25">
      <c r="B375" t="s">
        <v>148</v>
      </c>
      <c r="C375" t="s">
        <v>338</v>
      </c>
      <c r="D375" t="s">
        <v>342</v>
      </c>
      <c r="E375" t="s">
        <v>1303</v>
      </c>
      <c r="F375" t="s">
        <v>425</v>
      </c>
      <c r="G375" s="7">
        <v>0</v>
      </c>
      <c r="H375" s="7">
        <v>0</v>
      </c>
      <c r="I375" s="7">
        <f t="shared" si="12"/>
        <v>0</v>
      </c>
      <c r="J375" t="s">
        <v>40</v>
      </c>
      <c r="K375" s="11"/>
    </row>
    <row r="376" spans="1:11" x14ac:dyDescent="0.25">
      <c r="B376" t="s">
        <v>148</v>
      </c>
      <c r="C376" t="s">
        <v>338</v>
      </c>
      <c r="D376" t="s">
        <v>38</v>
      </c>
      <c r="E376" t="s">
        <v>1303</v>
      </c>
      <c r="F376" t="s">
        <v>424</v>
      </c>
      <c r="G376" s="7">
        <v>2.1</v>
      </c>
      <c r="H376" s="7">
        <v>1.85</v>
      </c>
      <c r="I376" s="7">
        <f t="shared" si="12"/>
        <v>0.25</v>
      </c>
      <c r="J376" t="s">
        <v>40</v>
      </c>
      <c r="K376" s="11"/>
    </row>
    <row r="377" spans="1:11" x14ac:dyDescent="0.25">
      <c r="B377" t="s">
        <v>148</v>
      </c>
      <c r="C377" t="s">
        <v>37</v>
      </c>
      <c r="D377" t="s">
        <v>38</v>
      </c>
      <c r="E377" t="s">
        <v>1303</v>
      </c>
      <c r="F377" t="s">
        <v>426</v>
      </c>
      <c r="G377" s="7">
        <v>1.75</v>
      </c>
      <c r="H377" s="7">
        <v>1.54</v>
      </c>
      <c r="I377" s="7">
        <f t="shared" si="12"/>
        <v>0.20999999999999996</v>
      </c>
      <c r="J377" t="s">
        <v>40</v>
      </c>
      <c r="K377" s="11"/>
    </row>
    <row r="378" spans="1:11" x14ac:dyDescent="0.25">
      <c r="A378" t="s">
        <v>367</v>
      </c>
      <c r="B378" t="s">
        <v>150</v>
      </c>
      <c r="C378" t="s">
        <v>338</v>
      </c>
      <c r="D378" t="s">
        <v>38</v>
      </c>
      <c r="E378" t="s">
        <v>151</v>
      </c>
      <c r="F378" t="s">
        <v>424</v>
      </c>
      <c r="G378" s="7">
        <v>9.6</v>
      </c>
      <c r="H378" s="7">
        <v>8.4480000000000004</v>
      </c>
      <c r="I378" s="7">
        <f t="shared" si="12"/>
        <v>1.1519999999999992</v>
      </c>
      <c r="J378" t="s">
        <v>40</v>
      </c>
      <c r="K378" s="11">
        <v>0.38</v>
      </c>
    </row>
    <row r="379" spans="1:11" x14ac:dyDescent="0.25">
      <c r="B379" t="s">
        <v>150</v>
      </c>
      <c r="C379" t="s">
        <v>37</v>
      </c>
      <c r="D379" t="s">
        <v>38</v>
      </c>
      <c r="E379" t="s">
        <v>151</v>
      </c>
      <c r="F379" t="s">
        <v>426</v>
      </c>
      <c r="G379" s="7">
        <v>8</v>
      </c>
      <c r="H379" s="7">
        <v>7.04</v>
      </c>
      <c r="I379" s="7">
        <f t="shared" si="12"/>
        <v>0.96</v>
      </c>
      <c r="J379" t="s">
        <v>40</v>
      </c>
      <c r="K379" s="11">
        <v>0.32</v>
      </c>
    </row>
    <row r="380" spans="1:11" x14ac:dyDescent="0.25">
      <c r="B380" t="s">
        <v>150</v>
      </c>
      <c r="C380" t="s">
        <v>338</v>
      </c>
      <c r="D380" t="s">
        <v>38</v>
      </c>
      <c r="E380" t="s">
        <v>1304</v>
      </c>
      <c r="F380" t="s">
        <v>424</v>
      </c>
      <c r="G380" s="7">
        <v>9</v>
      </c>
      <c r="H380" s="7">
        <v>7.92</v>
      </c>
      <c r="I380" s="7">
        <f t="shared" si="12"/>
        <v>1.08</v>
      </c>
      <c r="J380" t="s">
        <v>40</v>
      </c>
      <c r="K380" s="11"/>
    </row>
    <row r="381" spans="1:11" x14ac:dyDescent="0.25">
      <c r="B381" t="s">
        <v>150</v>
      </c>
      <c r="C381" t="s">
        <v>37</v>
      </c>
      <c r="D381" t="s">
        <v>38</v>
      </c>
      <c r="E381" t="s">
        <v>1304</v>
      </c>
      <c r="F381" t="s">
        <v>426</v>
      </c>
      <c r="G381" s="7">
        <v>7.5</v>
      </c>
      <c r="H381" s="7">
        <v>6.6</v>
      </c>
      <c r="I381" s="7">
        <f t="shared" si="12"/>
        <v>0.90000000000000036</v>
      </c>
      <c r="J381" t="s">
        <v>40</v>
      </c>
      <c r="K381" s="11"/>
    </row>
    <row r="382" spans="1:11" x14ac:dyDescent="0.25">
      <c r="B382" t="s">
        <v>148</v>
      </c>
      <c r="C382" t="s">
        <v>338</v>
      </c>
      <c r="D382" t="s">
        <v>38</v>
      </c>
      <c r="E382" t="s">
        <v>152</v>
      </c>
      <c r="F382" t="s">
        <v>424</v>
      </c>
      <c r="G382" s="7">
        <v>9.6</v>
      </c>
      <c r="H382" s="7">
        <v>8.4499999999999993</v>
      </c>
      <c r="I382" s="7">
        <f t="shared" si="12"/>
        <v>1.1500000000000004</v>
      </c>
      <c r="J382" t="s">
        <v>40</v>
      </c>
      <c r="K382" s="11">
        <v>0.38</v>
      </c>
    </row>
    <row r="383" spans="1:11" x14ac:dyDescent="0.25">
      <c r="B383" t="s">
        <v>148</v>
      </c>
      <c r="C383" t="s">
        <v>37</v>
      </c>
      <c r="D383" t="s">
        <v>38</v>
      </c>
      <c r="E383" t="s">
        <v>152</v>
      </c>
      <c r="F383" t="s">
        <v>426</v>
      </c>
      <c r="G383" s="7">
        <v>8</v>
      </c>
      <c r="H383" s="7">
        <v>7.04</v>
      </c>
      <c r="I383" s="7">
        <f t="shared" si="12"/>
        <v>0.96</v>
      </c>
      <c r="J383" t="s">
        <v>40</v>
      </c>
      <c r="K383" s="11">
        <v>0.32</v>
      </c>
    </row>
    <row r="384" spans="1:11" x14ac:dyDescent="0.25">
      <c r="B384" t="s">
        <v>741</v>
      </c>
      <c r="C384" t="s">
        <v>338</v>
      </c>
      <c r="D384" t="s">
        <v>38</v>
      </c>
      <c r="E384" t="s">
        <v>742</v>
      </c>
      <c r="F384" t="s">
        <v>424</v>
      </c>
      <c r="G384" s="7">
        <v>4.8</v>
      </c>
      <c r="H384" s="7">
        <v>4.22</v>
      </c>
      <c r="I384" s="7">
        <f t="shared" si="12"/>
        <v>0.58000000000000007</v>
      </c>
      <c r="J384" t="s">
        <v>40</v>
      </c>
      <c r="K384" s="11"/>
    </row>
    <row r="385" spans="2:11" x14ac:dyDescent="0.25">
      <c r="B385" t="s">
        <v>741</v>
      </c>
      <c r="C385" t="s">
        <v>37</v>
      </c>
      <c r="D385" t="s">
        <v>38</v>
      </c>
      <c r="E385" t="s">
        <v>742</v>
      </c>
      <c r="F385" t="s">
        <v>426</v>
      </c>
      <c r="G385" s="7">
        <v>4</v>
      </c>
      <c r="H385" s="7">
        <v>3.52</v>
      </c>
      <c r="I385" s="7">
        <f t="shared" si="12"/>
        <v>0.48</v>
      </c>
      <c r="J385" t="s">
        <v>40</v>
      </c>
      <c r="K385" s="11"/>
    </row>
    <row r="386" spans="2:11" x14ac:dyDescent="0.25">
      <c r="B386" t="s">
        <v>744</v>
      </c>
      <c r="C386" t="s">
        <v>338</v>
      </c>
      <c r="D386" t="s">
        <v>38</v>
      </c>
      <c r="E386" t="s">
        <v>743</v>
      </c>
      <c r="F386" t="s">
        <v>424</v>
      </c>
      <c r="G386" s="7">
        <v>6</v>
      </c>
      <c r="H386" s="7">
        <v>5.2799999999999994</v>
      </c>
      <c r="I386" s="7">
        <f t="shared" si="12"/>
        <v>0.72000000000000064</v>
      </c>
      <c r="J386" t="s">
        <v>40</v>
      </c>
      <c r="K386" s="11"/>
    </row>
    <row r="387" spans="2:11" x14ac:dyDescent="0.25">
      <c r="B387" t="s">
        <v>744</v>
      </c>
      <c r="C387" t="s">
        <v>37</v>
      </c>
      <c r="D387" t="s">
        <v>38</v>
      </c>
      <c r="E387" t="s">
        <v>743</v>
      </c>
      <c r="F387" t="s">
        <v>426</v>
      </c>
      <c r="G387" s="7">
        <v>5</v>
      </c>
      <c r="H387" s="7">
        <v>4.4000000000000004</v>
      </c>
      <c r="I387" s="7">
        <f t="shared" si="12"/>
        <v>0.59999999999999964</v>
      </c>
      <c r="J387" t="s">
        <v>40</v>
      </c>
      <c r="K387" s="11"/>
    </row>
    <row r="388" spans="2:11" x14ac:dyDescent="0.25">
      <c r="B388" t="s">
        <v>746</v>
      </c>
      <c r="C388" t="s">
        <v>338</v>
      </c>
      <c r="D388" t="s">
        <v>38</v>
      </c>
      <c r="E388" t="s">
        <v>745</v>
      </c>
      <c r="F388" t="s">
        <v>424</v>
      </c>
      <c r="G388" s="7">
        <v>4.8</v>
      </c>
      <c r="H388" s="7">
        <v>4.22</v>
      </c>
      <c r="I388" s="7">
        <f t="shared" si="12"/>
        <v>0.58000000000000007</v>
      </c>
      <c r="J388" t="s">
        <v>40</v>
      </c>
      <c r="K388" s="11"/>
    </row>
    <row r="389" spans="2:11" x14ac:dyDescent="0.25">
      <c r="B389" t="s">
        <v>746</v>
      </c>
      <c r="C389" t="s">
        <v>37</v>
      </c>
      <c r="D389" t="s">
        <v>38</v>
      </c>
      <c r="E389" t="s">
        <v>745</v>
      </c>
      <c r="F389" t="s">
        <v>426</v>
      </c>
      <c r="G389" s="7">
        <v>4</v>
      </c>
      <c r="H389" s="7">
        <v>3.52</v>
      </c>
      <c r="I389" s="7">
        <f t="shared" si="12"/>
        <v>0.48</v>
      </c>
      <c r="J389" t="s">
        <v>40</v>
      </c>
      <c r="K389" s="11"/>
    </row>
    <row r="390" spans="2:11" x14ac:dyDescent="0.25">
      <c r="B390" t="s">
        <v>148</v>
      </c>
      <c r="C390" t="s">
        <v>338</v>
      </c>
      <c r="D390" t="s">
        <v>38</v>
      </c>
      <c r="E390" t="s">
        <v>153</v>
      </c>
      <c r="F390" t="s">
        <v>424</v>
      </c>
      <c r="G390" s="7">
        <v>15.6</v>
      </c>
      <c r="H390" s="7">
        <v>13.73</v>
      </c>
      <c r="I390" s="7">
        <f t="shared" si="12"/>
        <v>1.8699999999999992</v>
      </c>
      <c r="J390" t="s">
        <v>40</v>
      </c>
      <c r="K390" s="11">
        <v>0.38</v>
      </c>
    </row>
    <row r="391" spans="2:11" x14ac:dyDescent="0.25">
      <c r="B391" t="s">
        <v>148</v>
      </c>
      <c r="C391" t="s">
        <v>37</v>
      </c>
      <c r="D391" t="s">
        <v>38</v>
      </c>
      <c r="E391" t="s">
        <v>153</v>
      </c>
      <c r="F391" t="s">
        <v>426</v>
      </c>
      <c r="G391" s="7">
        <v>13</v>
      </c>
      <c r="H391" s="7">
        <v>11.44</v>
      </c>
      <c r="I391" s="7">
        <f t="shared" si="12"/>
        <v>1.5600000000000005</v>
      </c>
      <c r="J391" t="s">
        <v>40</v>
      </c>
      <c r="K391" s="11">
        <v>0.32</v>
      </c>
    </row>
    <row r="392" spans="2:11" x14ac:dyDescent="0.25">
      <c r="B392" t="s">
        <v>148</v>
      </c>
      <c r="C392" t="s">
        <v>338</v>
      </c>
      <c r="D392" t="s">
        <v>38</v>
      </c>
      <c r="E392" t="s">
        <v>154</v>
      </c>
      <c r="F392" t="s">
        <v>424</v>
      </c>
      <c r="G392" s="7">
        <v>9.6</v>
      </c>
      <c r="H392" s="7">
        <v>8.4499999999999993</v>
      </c>
      <c r="I392" s="7">
        <f t="shared" si="12"/>
        <v>1.1500000000000004</v>
      </c>
      <c r="J392" t="s">
        <v>40</v>
      </c>
      <c r="K392" s="11">
        <v>0.38</v>
      </c>
    </row>
    <row r="393" spans="2:11" x14ac:dyDescent="0.25">
      <c r="B393" t="s">
        <v>148</v>
      </c>
      <c r="C393" t="s">
        <v>37</v>
      </c>
      <c r="D393" t="s">
        <v>38</v>
      </c>
      <c r="E393" t="s">
        <v>154</v>
      </c>
      <c r="F393" t="s">
        <v>426</v>
      </c>
      <c r="G393" s="7">
        <v>8</v>
      </c>
      <c r="H393" s="7">
        <v>7.04</v>
      </c>
      <c r="I393" s="7">
        <f t="shared" si="12"/>
        <v>0.96</v>
      </c>
      <c r="J393" t="s">
        <v>40</v>
      </c>
      <c r="K393" s="11">
        <v>0.32</v>
      </c>
    </row>
    <row r="394" spans="2:11" x14ac:dyDescent="0.25">
      <c r="B394" t="s">
        <v>155</v>
      </c>
      <c r="C394" t="s">
        <v>37</v>
      </c>
      <c r="D394" t="s">
        <v>38</v>
      </c>
      <c r="E394" t="s">
        <v>156</v>
      </c>
      <c r="F394" t="s">
        <v>426</v>
      </c>
      <c r="G394" s="7">
        <v>10.6</v>
      </c>
      <c r="H394" s="7">
        <v>9.3279999999999994</v>
      </c>
      <c r="I394" s="7">
        <f t="shared" si="12"/>
        <v>1.2720000000000002</v>
      </c>
      <c r="J394" t="s">
        <v>40</v>
      </c>
      <c r="K394" s="11">
        <v>0.51</v>
      </c>
    </row>
    <row r="395" spans="2:11" x14ac:dyDescent="0.25">
      <c r="B395" t="s">
        <v>155</v>
      </c>
      <c r="C395" t="s">
        <v>338</v>
      </c>
      <c r="D395" t="s">
        <v>38</v>
      </c>
      <c r="E395" t="s">
        <v>156</v>
      </c>
      <c r="F395" t="s">
        <v>424</v>
      </c>
      <c r="G395" s="7">
        <v>12.72</v>
      </c>
      <c r="H395" s="7">
        <v>11.2</v>
      </c>
      <c r="I395" s="7">
        <f t="shared" si="12"/>
        <v>1.5200000000000014</v>
      </c>
      <c r="J395" t="s">
        <v>40</v>
      </c>
      <c r="K395" s="11">
        <v>0.42</v>
      </c>
    </row>
    <row r="396" spans="2:11" x14ac:dyDescent="0.25">
      <c r="B396" t="s">
        <v>157</v>
      </c>
      <c r="C396" t="s">
        <v>338</v>
      </c>
      <c r="D396" t="s">
        <v>342</v>
      </c>
      <c r="E396" t="s">
        <v>158</v>
      </c>
      <c r="F396" t="s">
        <v>425</v>
      </c>
      <c r="G396" s="7">
        <v>0</v>
      </c>
      <c r="H396" s="7">
        <v>0</v>
      </c>
      <c r="I396" s="7">
        <v>0</v>
      </c>
      <c r="J396" t="s">
        <v>40</v>
      </c>
      <c r="K396" s="11"/>
    </row>
    <row r="397" spans="2:11" x14ac:dyDescent="0.25">
      <c r="B397" t="s">
        <v>157</v>
      </c>
      <c r="C397" t="s">
        <v>338</v>
      </c>
      <c r="D397" t="s">
        <v>38</v>
      </c>
      <c r="E397" t="s">
        <v>158</v>
      </c>
      <c r="F397" t="s">
        <v>424</v>
      </c>
      <c r="G397" s="7">
        <v>19.68</v>
      </c>
      <c r="H397" s="7">
        <v>17.309999999999999</v>
      </c>
      <c r="I397" s="7">
        <f>G397-H397</f>
        <v>2.370000000000001</v>
      </c>
      <c r="J397" t="s">
        <v>40</v>
      </c>
      <c r="K397" s="11">
        <v>0.79</v>
      </c>
    </row>
    <row r="398" spans="2:11" x14ac:dyDescent="0.25">
      <c r="B398" t="s">
        <v>157</v>
      </c>
      <c r="C398" t="s">
        <v>37</v>
      </c>
      <c r="D398" t="s">
        <v>38</v>
      </c>
      <c r="E398" t="s">
        <v>158</v>
      </c>
      <c r="F398" t="s">
        <v>426</v>
      </c>
      <c r="G398" s="7">
        <v>16.400000000000002</v>
      </c>
      <c r="H398" s="7">
        <v>14.432</v>
      </c>
      <c r="I398" s="7">
        <f t="shared" si="12"/>
        <v>1.9680000000000017</v>
      </c>
      <c r="J398" t="s">
        <v>40</v>
      </c>
      <c r="K398" s="11">
        <v>0.66</v>
      </c>
    </row>
    <row r="399" spans="2:11" x14ac:dyDescent="0.25">
      <c r="K399" s="11"/>
    </row>
    <row r="400" spans="2:11" x14ac:dyDescent="0.25">
      <c r="E400" s="8" t="s">
        <v>368</v>
      </c>
      <c r="F400" s="8"/>
      <c r="K400" s="11"/>
    </row>
    <row r="401" spans="1:11" x14ac:dyDescent="0.25">
      <c r="K401" s="11"/>
    </row>
    <row r="402" spans="1:11" x14ac:dyDescent="0.25">
      <c r="A402" t="s">
        <v>369</v>
      </c>
      <c r="E402" s="8" t="s">
        <v>370</v>
      </c>
      <c r="F402" s="8"/>
      <c r="K402" s="11"/>
    </row>
    <row r="403" spans="1:11" x14ac:dyDescent="0.25">
      <c r="B403" t="s">
        <v>159</v>
      </c>
      <c r="C403" t="s">
        <v>373</v>
      </c>
      <c r="D403" t="s">
        <v>38</v>
      </c>
      <c r="E403" t="s">
        <v>160</v>
      </c>
      <c r="F403" t="s">
        <v>427</v>
      </c>
      <c r="G403" s="7">
        <v>40</v>
      </c>
      <c r="H403" s="7">
        <v>30.8</v>
      </c>
      <c r="I403" s="7">
        <f>G403-H403</f>
        <v>9.1999999999999993</v>
      </c>
      <c r="J403" t="s">
        <v>40</v>
      </c>
      <c r="K403" s="11">
        <v>1.4</v>
      </c>
    </row>
    <row r="404" spans="1:11" x14ac:dyDescent="0.25">
      <c r="A404" t="s">
        <v>371</v>
      </c>
      <c r="B404" t="s">
        <v>159</v>
      </c>
      <c r="C404" t="s">
        <v>338</v>
      </c>
      <c r="D404" t="s">
        <v>38</v>
      </c>
      <c r="E404" t="s">
        <v>160</v>
      </c>
      <c r="F404" t="s">
        <v>424</v>
      </c>
      <c r="G404" s="7">
        <v>48</v>
      </c>
      <c r="H404" s="7">
        <v>36.96</v>
      </c>
      <c r="I404" s="7">
        <f t="shared" si="12"/>
        <v>11.04</v>
      </c>
      <c r="J404" t="s">
        <v>40</v>
      </c>
      <c r="K404" s="11">
        <v>1.68</v>
      </c>
    </row>
    <row r="405" spans="1:11" x14ac:dyDescent="0.25">
      <c r="B405" t="s">
        <v>159</v>
      </c>
      <c r="C405" t="s">
        <v>37</v>
      </c>
      <c r="D405" t="s">
        <v>38</v>
      </c>
      <c r="E405" t="s">
        <v>160</v>
      </c>
      <c r="F405" t="s">
        <v>426</v>
      </c>
      <c r="G405" s="7">
        <v>40</v>
      </c>
      <c r="H405" s="7">
        <v>30.8</v>
      </c>
      <c r="I405" s="7">
        <f t="shared" si="12"/>
        <v>9.1999999999999993</v>
      </c>
      <c r="J405" t="s">
        <v>40</v>
      </c>
      <c r="K405" s="11">
        <v>1.4</v>
      </c>
    </row>
    <row r="406" spans="1:11" x14ac:dyDescent="0.25">
      <c r="A406" t="s">
        <v>372</v>
      </c>
      <c r="B406" t="s">
        <v>161</v>
      </c>
      <c r="C406" t="s">
        <v>373</v>
      </c>
      <c r="D406" t="s">
        <v>38</v>
      </c>
      <c r="E406" t="s">
        <v>162</v>
      </c>
      <c r="F406" t="s">
        <v>427</v>
      </c>
      <c r="G406" s="7">
        <v>70</v>
      </c>
      <c r="H406" s="7">
        <v>53.900000000000006</v>
      </c>
      <c r="I406" s="7">
        <f t="shared" si="12"/>
        <v>16.099999999999994</v>
      </c>
      <c r="J406" t="s">
        <v>40</v>
      </c>
      <c r="K406" s="11">
        <v>2.4500000000000002</v>
      </c>
    </row>
    <row r="407" spans="1:11" x14ac:dyDescent="0.25">
      <c r="B407" t="s">
        <v>161</v>
      </c>
      <c r="C407" t="s">
        <v>338</v>
      </c>
      <c r="D407" t="s">
        <v>38</v>
      </c>
      <c r="E407" t="s">
        <v>162</v>
      </c>
      <c r="F407" t="s">
        <v>424</v>
      </c>
      <c r="G407" s="7">
        <v>84</v>
      </c>
      <c r="H407" s="7">
        <v>64.679999999999993</v>
      </c>
      <c r="I407" s="7">
        <f t="shared" si="12"/>
        <v>19.320000000000007</v>
      </c>
      <c r="J407" t="s">
        <v>40</v>
      </c>
      <c r="K407" s="11">
        <v>2.94</v>
      </c>
    </row>
    <row r="408" spans="1:11" x14ac:dyDescent="0.25">
      <c r="B408" t="s">
        <v>161</v>
      </c>
      <c r="C408" t="s">
        <v>37</v>
      </c>
      <c r="D408" t="s">
        <v>38</v>
      </c>
      <c r="E408" t="s">
        <v>162</v>
      </c>
      <c r="F408" t="s">
        <v>426</v>
      </c>
      <c r="G408" s="7">
        <v>70</v>
      </c>
      <c r="H408" s="7">
        <v>53.9</v>
      </c>
      <c r="I408" s="7">
        <f t="shared" si="12"/>
        <v>16.100000000000001</v>
      </c>
      <c r="J408" t="s">
        <v>40</v>
      </c>
      <c r="K408" s="11">
        <v>2.4500000000000002</v>
      </c>
    </row>
    <row r="409" spans="1:11" x14ac:dyDescent="0.25">
      <c r="B409" t="s">
        <v>161</v>
      </c>
      <c r="C409" t="s">
        <v>338</v>
      </c>
      <c r="D409" t="s">
        <v>38</v>
      </c>
      <c r="E409" t="s">
        <v>705</v>
      </c>
      <c r="F409" t="s">
        <v>424</v>
      </c>
      <c r="G409" s="7">
        <v>24</v>
      </c>
      <c r="H409" s="7">
        <v>19.8</v>
      </c>
      <c r="I409" s="7">
        <f t="shared" si="12"/>
        <v>4.1999999999999993</v>
      </c>
      <c r="J409" t="s">
        <v>40</v>
      </c>
      <c r="K409" s="11"/>
    </row>
    <row r="410" spans="1:11" x14ac:dyDescent="0.25">
      <c r="B410" t="s">
        <v>706</v>
      </c>
      <c r="C410" t="s">
        <v>37</v>
      </c>
      <c r="D410" t="s">
        <v>38</v>
      </c>
      <c r="E410" t="s">
        <v>705</v>
      </c>
      <c r="F410" t="s">
        <v>426</v>
      </c>
      <c r="G410" s="7">
        <v>20</v>
      </c>
      <c r="H410" s="7">
        <v>16.5</v>
      </c>
      <c r="I410" s="7">
        <f t="shared" si="12"/>
        <v>3.5</v>
      </c>
      <c r="J410" t="s">
        <v>40</v>
      </c>
      <c r="K410" s="11"/>
    </row>
    <row r="411" spans="1:11" x14ac:dyDescent="0.25">
      <c r="B411" t="s">
        <v>706</v>
      </c>
      <c r="C411" t="s">
        <v>373</v>
      </c>
      <c r="D411" t="s">
        <v>38</v>
      </c>
      <c r="E411" t="s">
        <v>705</v>
      </c>
      <c r="F411" t="s">
        <v>703</v>
      </c>
      <c r="G411" s="7">
        <v>20</v>
      </c>
      <c r="H411" s="7">
        <v>16.5</v>
      </c>
      <c r="I411" s="7">
        <f t="shared" si="12"/>
        <v>3.5</v>
      </c>
      <c r="J411" t="s">
        <v>40</v>
      </c>
      <c r="K411" s="11"/>
    </row>
    <row r="412" spans="1:11" x14ac:dyDescent="0.25">
      <c r="A412" t="s">
        <v>372</v>
      </c>
      <c r="B412" t="s">
        <v>163</v>
      </c>
      <c r="C412" t="s">
        <v>338</v>
      </c>
      <c r="D412" t="s">
        <v>342</v>
      </c>
      <c r="E412" t="s">
        <v>164</v>
      </c>
      <c r="F412" t="s">
        <v>425</v>
      </c>
      <c r="G412" s="7">
        <v>0</v>
      </c>
      <c r="H412" s="7">
        <v>0</v>
      </c>
      <c r="I412" s="7">
        <f t="shared" si="12"/>
        <v>0</v>
      </c>
      <c r="J412" t="s">
        <v>40</v>
      </c>
      <c r="K412" s="11"/>
    </row>
    <row r="413" spans="1:11" x14ac:dyDescent="0.25">
      <c r="B413" t="s">
        <v>163</v>
      </c>
      <c r="C413" t="s">
        <v>373</v>
      </c>
      <c r="D413" t="s">
        <v>38</v>
      </c>
      <c r="E413" t="s">
        <v>164</v>
      </c>
      <c r="F413" t="s">
        <v>427</v>
      </c>
      <c r="G413" s="7">
        <v>100</v>
      </c>
      <c r="H413" s="7">
        <v>77</v>
      </c>
      <c r="I413" s="7">
        <f t="shared" si="12"/>
        <v>23</v>
      </c>
      <c r="J413" t="s">
        <v>40</v>
      </c>
      <c r="K413" s="11">
        <v>3.5</v>
      </c>
    </row>
    <row r="414" spans="1:11" x14ac:dyDescent="0.25">
      <c r="B414" t="s">
        <v>163</v>
      </c>
      <c r="C414" t="s">
        <v>338</v>
      </c>
      <c r="D414" t="s">
        <v>38</v>
      </c>
      <c r="E414" t="s">
        <v>164</v>
      </c>
      <c r="F414" t="s">
        <v>424</v>
      </c>
      <c r="G414" s="7">
        <v>120</v>
      </c>
      <c r="H414" s="7">
        <v>92.4</v>
      </c>
      <c r="I414" s="7">
        <f t="shared" si="12"/>
        <v>27.599999999999994</v>
      </c>
      <c r="J414" t="s">
        <v>40</v>
      </c>
      <c r="K414" s="11">
        <v>4.2</v>
      </c>
    </row>
    <row r="415" spans="1:11" x14ac:dyDescent="0.25">
      <c r="B415" t="s">
        <v>163</v>
      </c>
      <c r="C415" t="s">
        <v>37</v>
      </c>
      <c r="D415" t="s">
        <v>38</v>
      </c>
      <c r="E415" t="s">
        <v>164</v>
      </c>
      <c r="F415" t="s">
        <v>426</v>
      </c>
      <c r="G415" s="7">
        <v>100</v>
      </c>
      <c r="H415" s="7">
        <v>77</v>
      </c>
      <c r="I415" s="7">
        <f t="shared" si="12"/>
        <v>23</v>
      </c>
      <c r="J415" t="s">
        <v>40</v>
      </c>
      <c r="K415" s="11">
        <v>3.5</v>
      </c>
    </row>
    <row r="416" spans="1:11" x14ac:dyDescent="0.25">
      <c r="B416" t="s">
        <v>165</v>
      </c>
      <c r="C416" t="s">
        <v>373</v>
      </c>
      <c r="D416" t="s">
        <v>38</v>
      </c>
      <c r="E416" t="s">
        <v>492</v>
      </c>
      <c r="F416" t="s">
        <v>427</v>
      </c>
      <c r="G416" s="7">
        <v>8</v>
      </c>
      <c r="H416" s="7">
        <v>6.16</v>
      </c>
      <c r="I416" s="7">
        <f t="shared" si="12"/>
        <v>1.8399999999999999</v>
      </c>
      <c r="J416" t="s">
        <v>40</v>
      </c>
      <c r="K416" s="11">
        <v>0.28000000000000003</v>
      </c>
    </row>
    <row r="417" spans="1:11" x14ac:dyDescent="0.25">
      <c r="B417" t="s">
        <v>165</v>
      </c>
      <c r="C417" t="s">
        <v>338</v>
      </c>
      <c r="D417" t="s">
        <v>38</v>
      </c>
      <c r="E417" t="s">
        <v>166</v>
      </c>
      <c r="F417" t="s">
        <v>424</v>
      </c>
      <c r="G417" s="7">
        <v>9.6</v>
      </c>
      <c r="H417" s="7">
        <v>7.3919999999999995</v>
      </c>
      <c r="I417" s="7">
        <f t="shared" si="12"/>
        <v>2.2080000000000002</v>
      </c>
      <c r="J417" t="s">
        <v>40</v>
      </c>
      <c r="K417" s="11">
        <v>0.34</v>
      </c>
    </row>
    <row r="418" spans="1:11" x14ac:dyDescent="0.25">
      <c r="B418" t="s">
        <v>165</v>
      </c>
      <c r="C418" t="s">
        <v>37</v>
      </c>
      <c r="D418" t="s">
        <v>38</v>
      </c>
      <c r="E418" t="s">
        <v>166</v>
      </c>
      <c r="F418" t="s">
        <v>426</v>
      </c>
      <c r="G418" s="7">
        <v>8</v>
      </c>
      <c r="H418" s="7">
        <v>6.16</v>
      </c>
      <c r="I418" s="7">
        <f t="shared" si="12"/>
        <v>1.8399999999999999</v>
      </c>
      <c r="J418" t="s">
        <v>40</v>
      </c>
      <c r="K418" s="11">
        <v>0.28000000000000003</v>
      </c>
    </row>
    <row r="419" spans="1:11" x14ac:dyDescent="0.25">
      <c r="B419" t="s">
        <v>167</v>
      </c>
      <c r="C419" t="s">
        <v>373</v>
      </c>
      <c r="D419" t="s">
        <v>38</v>
      </c>
      <c r="E419" t="s">
        <v>428</v>
      </c>
      <c r="F419" t="s">
        <v>427</v>
      </c>
      <c r="G419" s="7">
        <v>0</v>
      </c>
      <c r="H419" s="7">
        <v>0</v>
      </c>
      <c r="I419" s="7">
        <v>0</v>
      </c>
      <c r="J419" t="s">
        <v>40</v>
      </c>
      <c r="K419" s="11"/>
    </row>
    <row r="420" spans="1:11" x14ac:dyDescent="0.25">
      <c r="B420" t="s">
        <v>167</v>
      </c>
      <c r="C420" t="s">
        <v>338</v>
      </c>
      <c r="D420" t="s">
        <v>38</v>
      </c>
      <c r="E420" t="s">
        <v>428</v>
      </c>
      <c r="F420" t="s">
        <v>424</v>
      </c>
      <c r="G420" s="7">
        <v>0</v>
      </c>
      <c r="H420" s="7">
        <v>0</v>
      </c>
      <c r="I420" s="7">
        <f t="shared" si="12"/>
        <v>0</v>
      </c>
      <c r="J420" t="s">
        <v>40</v>
      </c>
      <c r="K420" s="11"/>
    </row>
    <row r="421" spans="1:11" x14ac:dyDescent="0.25">
      <c r="B421" t="s">
        <v>167</v>
      </c>
      <c r="C421" t="s">
        <v>37</v>
      </c>
      <c r="D421" t="s">
        <v>38</v>
      </c>
      <c r="E421" t="s">
        <v>428</v>
      </c>
      <c r="F421" t="s">
        <v>426</v>
      </c>
      <c r="G421" s="7">
        <v>0</v>
      </c>
      <c r="H421" s="7">
        <v>0</v>
      </c>
      <c r="I421" s="7">
        <f t="shared" si="12"/>
        <v>0</v>
      </c>
      <c r="J421" t="s">
        <v>40</v>
      </c>
      <c r="K421" s="11"/>
    </row>
    <row r="422" spans="1:11" x14ac:dyDescent="0.25">
      <c r="K422" s="11"/>
    </row>
    <row r="423" spans="1:11" x14ac:dyDescent="0.25">
      <c r="A423" t="s">
        <v>374</v>
      </c>
      <c r="B423" t="s">
        <v>168</v>
      </c>
      <c r="C423" t="s">
        <v>338</v>
      </c>
      <c r="D423" t="s">
        <v>38</v>
      </c>
      <c r="E423" t="s">
        <v>169</v>
      </c>
      <c r="F423" t="s">
        <v>424</v>
      </c>
      <c r="G423" s="7">
        <v>12</v>
      </c>
      <c r="H423" s="7">
        <v>9.24</v>
      </c>
      <c r="I423" s="7">
        <f t="shared" si="12"/>
        <v>2.76</v>
      </c>
      <c r="J423" t="s">
        <v>40</v>
      </c>
      <c r="K423" s="11">
        <v>0.42</v>
      </c>
    </row>
    <row r="424" spans="1:11" x14ac:dyDescent="0.25">
      <c r="B424" t="s">
        <v>168</v>
      </c>
      <c r="C424" t="s">
        <v>37</v>
      </c>
      <c r="D424" t="s">
        <v>38</v>
      </c>
      <c r="E424" t="s">
        <v>169</v>
      </c>
      <c r="F424" t="s">
        <v>426</v>
      </c>
      <c r="G424" s="7">
        <v>10</v>
      </c>
      <c r="H424" s="7">
        <v>7.7</v>
      </c>
      <c r="I424" s="7">
        <f t="shared" si="12"/>
        <v>2.2999999999999998</v>
      </c>
      <c r="J424" t="s">
        <v>40</v>
      </c>
      <c r="K424" s="11">
        <v>0.32</v>
      </c>
    </row>
    <row r="425" spans="1:11" x14ac:dyDescent="0.25">
      <c r="B425" t="s">
        <v>168</v>
      </c>
      <c r="C425" t="s">
        <v>338</v>
      </c>
      <c r="D425" t="s">
        <v>38</v>
      </c>
      <c r="E425" t="s">
        <v>170</v>
      </c>
      <c r="F425" t="s">
        <v>424</v>
      </c>
      <c r="G425" s="7">
        <v>600</v>
      </c>
      <c r="H425" s="7">
        <v>462</v>
      </c>
      <c r="I425" s="7">
        <f t="shared" si="12"/>
        <v>138</v>
      </c>
      <c r="J425" t="s">
        <v>40</v>
      </c>
      <c r="K425" s="11">
        <v>21</v>
      </c>
    </row>
    <row r="426" spans="1:11" x14ac:dyDescent="0.25">
      <c r="B426" t="s">
        <v>168</v>
      </c>
      <c r="C426" t="s">
        <v>37</v>
      </c>
      <c r="D426" t="s">
        <v>38</v>
      </c>
      <c r="E426" t="s">
        <v>170</v>
      </c>
      <c r="F426" t="s">
        <v>426</v>
      </c>
      <c r="G426" s="7">
        <v>500</v>
      </c>
      <c r="H426" s="7">
        <v>385</v>
      </c>
      <c r="I426" s="7">
        <f t="shared" si="12"/>
        <v>115</v>
      </c>
      <c r="J426" t="s">
        <v>40</v>
      </c>
      <c r="K426" s="11">
        <v>17.5</v>
      </c>
    </row>
    <row r="427" spans="1:11" x14ac:dyDescent="0.25">
      <c r="B427" t="s">
        <v>168</v>
      </c>
      <c r="C427" t="s">
        <v>338</v>
      </c>
      <c r="D427" t="s">
        <v>38</v>
      </c>
      <c r="E427" t="s">
        <v>171</v>
      </c>
      <c r="F427" t="s">
        <v>424</v>
      </c>
      <c r="G427" s="7">
        <v>6</v>
      </c>
      <c r="H427" s="7">
        <v>4.62</v>
      </c>
      <c r="I427" s="7">
        <f t="shared" si="12"/>
        <v>1.38</v>
      </c>
      <c r="J427" t="s">
        <v>40</v>
      </c>
      <c r="K427" s="11">
        <v>0.21</v>
      </c>
    </row>
    <row r="428" spans="1:11" x14ac:dyDescent="0.25">
      <c r="B428" t="s">
        <v>168</v>
      </c>
      <c r="C428" t="s">
        <v>37</v>
      </c>
      <c r="D428" t="s">
        <v>38</v>
      </c>
      <c r="E428" t="s">
        <v>171</v>
      </c>
      <c r="F428" t="s">
        <v>426</v>
      </c>
      <c r="G428" s="7">
        <v>5</v>
      </c>
      <c r="H428" s="7">
        <v>3.85</v>
      </c>
      <c r="I428" s="7">
        <f t="shared" si="12"/>
        <v>1.1499999999999999</v>
      </c>
      <c r="J428" t="s">
        <v>40</v>
      </c>
      <c r="K428" s="11">
        <v>0.18</v>
      </c>
    </row>
    <row r="429" spans="1:11" x14ac:dyDescent="0.25">
      <c r="K429" s="11"/>
    </row>
    <row r="430" spans="1:11" x14ac:dyDescent="0.25">
      <c r="B430" t="s">
        <v>172</v>
      </c>
      <c r="C430" t="s">
        <v>37</v>
      </c>
      <c r="D430" t="s">
        <v>38</v>
      </c>
      <c r="E430" t="s">
        <v>173</v>
      </c>
      <c r="F430" t="s">
        <v>426</v>
      </c>
      <c r="G430" s="7">
        <v>360</v>
      </c>
      <c r="H430" s="7">
        <v>277.2</v>
      </c>
      <c r="I430" s="7">
        <f t="shared" si="12"/>
        <v>82.800000000000011</v>
      </c>
      <c r="J430" t="s">
        <v>40</v>
      </c>
      <c r="K430" s="11">
        <v>21</v>
      </c>
    </row>
    <row r="431" spans="1:11" x14ac:dyDescent="0.25">
      <c r="B431" t="s">
        <v>172</v>
      </c>
      <c r="C431" t="s">
        <v>338</v>
      </c>
      <c r="D431" t="s">
        <v>38</v>
      </c>
      <c r="E431" t="s">
        <v>173</v>
      </c>
      <c r="F431" t="s">
        <v>424</v>
      </c>
      <c r="G431" s="7">
        <v>300</v>
      </c>
      <c r="H431" s="7">
        <v>231</v>
      </c>
      <c r="I431" s="7">
        <f t="shared" si="12"/>
        <v>69</v>
      </c>
      <c r="J431" t="s">
        <v>40</v>
      </c>
      <c r="K431" s="11">
        <v>17.5</v>
      </c>
    </row>
    <row r="432" spans="1:11" x14ac:dyDescent="0.25">
      <c r="K432" s="11"/>
    </row>
    <row r="433" spans="1:11" x14ac:dyDescent="0.25">
      <c r="A433" t="s">
        <v>375</v>
      </c>
      <c r="E433" s="8" t="s">
        <v>376</v>
      </c>
      <c r="F433" s="8"/>
      <c r="K433" s="11"/>
    </row>
    <row r="434" spans="1:11" x14ac:dyDescent="0.25">
      <c r="A434" t="s">
        <v>377</v>
      </c>
      <c r="B434" t="s">
        <v>174</v>
      </c>
      <c r="C434" t="s">
        <v>373</v>
      </c>
      <c r="D434" t="s">
        <v>38</v>
      </c>
      <c r="E434" t="s">
        <v>175</v>
      </c>
      <c r="F434" t="s">
        <v>427</v>
      </c>
      <c r="G434" s="7">
        <v>180</v>
      </c>
      <c r="H434" s="7">
        <v>138.60000000000002</v>
      </c>
      <c r="I434" s="7">
        <f t="shared" si="12"/>
        <v>41.399999999999977</v>
      </c>
      <c r="J434" t="s">
        <v>40</v>
      </c>
      <c r="K434" s="11">
        <v>6.3</v>
      </c>
    </row>
    <row r="435" spans="1:11" x14ac:dyDescent="0.25">
      <c r="B435" t="s">
        <v>174</v>
      </c>
      <c r="C435" t="s">
        <v>37</v>
      </c>
      <c r="D435" t="s">
        <v>38</v>
      </c>
      <c r="E435" t="s">
        <v>175</v>
      </c>
      <c r="F435" t="s">
        <v>426</v>
      </c>
      <c r="G435" s="7">
        <v>180</v>
      </c>
      <c r="H435" s="7">
        <v>138.6</v>
      </c>
      <c r="I435" s="7">
        <f>G435-H435</f>
        <v>41.400000000000006</v>
      </c>
      <c r="J435" t="s">
        <v>40</v>
      </c>
      <c r="K435" s="11">
        <v>6.3</v>
      </c>
    </row>
    <row r="436" spans="1:11" x14ac:dyDescent="0.25">
      <c r="B436" t="s">
        <v>174</v>
      </c>
      <c r="C436" t="s">
        <v>338</v>
      </c>
      <c r="D436" t="s">
        <v>38</v>
      </c>
      <c r="E436" t="s">
        <v>175</v>
      </c>
      <c r="F436" t="s">
        <v>424</v>
      </c>
      <c r="G436" s="7">
        <v>216</v>
      </c>
      <c r="H436" s="7">
        <v>166.32</v>
      </c>
      <c r="I436" s="7">
        <f t="shared" si="12"/>
        <v>49.680000000000007</v>
      </c>
      <c r="J436" t="s">
        <v>40</v>
      </c>
      <c r="K436" s="11">
        <v>7.56</v>
      </c>
    </row>
    <row r="437" spans="1:11" x14ac:dyDescent="0.25">
      <c r="B437" t="s">
        <v>174</v>
      </c>
      <c r="C437" t="s">
        <v>373</v>
      </c>
      <c r="D437" t="s">
        <v>38</v>
      </c>
      <c r="E437" t="s">
        <v>176</v>
      </c>
      <c r="F437" t="s">
        <v>427</v>
      </c>
      <c r="G437" s="7">
        <v>30</v>
      </c>
      <c r="H437" s="7">
        <v>23.1</v>
      </c>
      <c r="I437" s="7">
        <f t="shared" ref="I437:I442" si="14">G437-H437</f>
        <v>6.8999999999999986</v>
      </c>
      <c r="J437" t="s">
        <v>40</v>
      </c>
      <c r="K437" s="11">
        <v>1.05</v>
      </c>
    </row>
    <row r="438" spans="1:11" x14ac:dyDescent="0.25">
      <c r="B438" t="s">
        <v>174</v>
      </c>
      <c r="C438" t="s">
        <v>37</v>
      </c>
      <c r="D438" t="s">
        <v>38</v>
      </c>
      <c r="E438" t="s">
        <v>176</v>
      </c>
      <c r="F438" t="s">
        <v>426</v>
      </c>
      <c r="G438" s="7">
        <v>30</v>
      </c>
      <c r="H438" s="7">
        <v>23.1</v>
      </c>
      <c r="I438" s="7">
        <f t="shared" si="14"/>
        <v>6.8999999999999986</v>
      </c>
      <c r="J438" t="s">
        <v>40</v>
      </c>
      <c r="K438" s="11">
        <v>1.05</v>
      </c>
    </row>
    <row r="439" spans="1:11" x14ac:dyDescent="0.25">
      <c r="B439" t="s">
        <v>174</v>
      </c>
      <c r="C439" t="s">
        <v>338</v>
      </c>
      <c r="D439" t="s">
        <v>38</v>
      </c>
      <c r="E439" t="s">
        <v>176</v>
      </c>
      <c r="F439" t="s">
        <v>424</v>
      </c>
      <c r="G439" s="7">
        <v>36</v>
      </c>
      <c r="H439" s="7">
        <v>27.72</v>
      </c>
      <c r="I439" s="7">
        <f t="shared" si="14"/>
        <v>8.2800000000000011</v>
      </c>
      <c r="J439" t="s">
        <v>40</v>
      </c>
      <c r="K439" s="11">
        <v>1.26</v>
      </c>
    </row>
    <row r="440" spans="1:11" x14ac:dyDescent="0.25">
      <c r="B440" t="s">
        <v>849</v>
      </c>
      <c r="C440" t="s">
        <v>338</v>
      </c>
      <c r="D440" t="s">
        <v>342</v>
      </c>
      <c r="E440" t="s">
        <v>848</v>
      </c>
      <c r="F440" t="s">
        <v>425</v>
      </c>
      <c r="G440" s="7">
        <v>0</v>
      </c>
      <c r="H440" s="7">
        <v>0</v>
      </c>
      <c r="I440" s="7">
        <f t="shared" si="14"/>
        <v>0</v>
      </c>
      <c r="J440" t="s">
        <v>40</v>
      </c>
      <c r="K440" s="11"/>
    </row>
    <row r="441" spans="1:11" x14ac:dyDescent="0.25">
      <c r="B441" t="s">
        <v>849</v>
      </c>
      <c r="C441" t="s">
        <v>37</v>
      </c>
      <c r="D441" t="s">
        <v>38</v>
      </c>
      <c r="E441" t="s">
        <v>848</v>
      </c>
      <c r="F441" t="s">
        <v>426</v>
      </c>
      <c r="G441" s="7">
        <v>300</v>
      </c>
      <c r="H441" s="7">
        <v>231</v>
      </c>
      <c r="I441" s="7">
        <f t="shared" si="14"/>
        <v>69</v>
      </c>
      <c r="J441" t="s">
        <v>40</v>
      </c>
      <c r="K441" s="11"/>
    </row>
    <row r="442" spans="1:11" x14ac:dyDescent="0.25">
      <c r="B442" t="s">
        <v>849</v>
      </c>
      <c r="C442" t="s">
        <v>338</v>
      </c>
      <c r="D442" t="s">
        <v>38</v>
      </c>
      <c r="E442" t="s">
        <v>848</v>
      </c>
      <c r="F442" t="s">
        <v>424</v>
      </c>
      <c r="G442" s="7">
        <v>360</v>
      </c>
      <c r="H442" s="7">
        <v>277.2</v>
      </c>
      <c r="I442" s="7">
        <f t="shared" si="14"/>
        <v>82.800000000000011</v>
      </c>
      <c r="J442" t="s">
        <v>40</v>
      </c>
      <c r="K442" s="11"/>
    </row>
    <row r="443" spans="1:11" x14ac:dyDescent="0.25">
      <c r="K443" s="11"/>
    </row>
    <row r="444" spans="1:11" x14ac:dyDescent="0.25">
      <c r="A444" t="s">
        <v>378</v>
      </c>
      <c r="B444" t="s">
        <v>177</v>
      </c>
      <c r="C444" t="s">
        <v>373</v>
      </c>
      <c r="D444" t="s">
        <v>38</v>
      </c>
      <c r="E444" t="s">
        <v>178</v>
      </c>
      <c r="F444" t="s">
        <v>427</v>
      </c>
      <c r="G444" s="7">
        <v>180</v>
      </c>
      <c r="H444" s="7">
        <v>138.60000000000002</v>
      </c>
      <c r="I444" s="7">
        <f t="shared" ref="I444:I461" si="15">G444-H444</f>
        <v>41.399999999999977</v>
      </c>
      <c r="J444" t="s">
        <v>40</v>
      </c>
      <c r="K444" s="11">
        <v>6.3</v>
      </c>
    </row>
    <row r="445" spans="1:11" x14ac:dyDescent="0.25">
      <c r="B445" t="s">
        <v>177</v>
      </c>
      <c r="C445" t="s">
        <v>338</v>
      </c>
      <c r="D445" t="s">
        <v>38</v>
      </c>
      <c r="E445" t="s">
        <v>178</v>
      </c>
      <c r="F445" t="s">
        <v>424</v>
      </c>
      <c r="G445" s="7">
        <v>216</v>
      </c>
      <c r="H445" s="7">
        <v>166.32</v>
      </c>
      <c r="I445" s="7">
        <f t="shared" si="15"/>
        <v>49.680000000000007</v>
      </c>
      <c r="J445" t="s">
        <v>40</v>
      </c>
      <c r="K445" s="11">
        <v>7.56</v>
      </c>
    </row>
    <row r="446" spans="1:11" x14ac:dyDescent="0.25">
      <c r="B446" t="s">
        <v>177</v>
      </c>
      <c r="C446" t="s">
        <v>37</v>
      </c>
      <c r="D446" t="s">
        <v>38</v>
      </c>
      <c r="E446" t="s">
        <v>178</v>
      </c>
      <c r="F446" t="s">
        <v>426</v>
      </c>
      <c r="G446" s="7">
        <v>180</v>
      </c>
      <c r="H446" s="7">
        <v>138.6</v>
      </c>
      <c r="I446" s="7">
        <f t="shared" si="15"/>
        <v>41.400000000000006</v>
      </c>
      <c r="J446" t="s">
        <v>40</v>
      </c>
      <c r="K446" s="11">
        <v>6.3</v>
      </c>
    </row>
    <row r="447" spans="1:11" x14ac:dyDescent="0.25">
      <c r="B447" t="s">
        <v>177</v>
      </c>
      <c r="C447" t="s">
        <v>373</v>
      </c>
      <c r="D447" t="s">
        <v>38</v>
      </c>
      <c r="E447" t="s">
        <v>179</v>
      </c>
      <c r="F447" t="s">
        <v>427</v>
      </c>
      <c r="G447" s="7">
        <v>30</v>
      </c>
      <c r="H447" s="7">
        <v>23.1</v>
      </c>
      <c r="I447" s="7">
        <f t="shared" si="15"/>
        <v>6.8999999999999986</v>
      </c>
      <c r="J447" t="s">
        <v>40</v>
      </c>
      <c r="K447" s="11">
        <v>1.05</v>
      </c>
    </row>
    <row r="448" spans="1:11" x14ac:dyDescent="0.25">
      <c r="B448" t="s">
        <v>177</v>
      </c>
      <c r="C448" t="s">
        <v>37</v>
      </c>
      <c r="D448" t="s">
        <v>38</v>
      </c>
      <c r="E448" t="s">
        <v>179</v>
      </c>
      <c r="F448" t="s">
        <v>426</v>
      </c>
      <c r="G448" s="7">
        <v>30</v>
      </c>
      <c r="H448" s="7">
        <v>23.1</v>
      </c>
      <c r="I448" s="7">
        <f t="shared" si="15"/>
        <v>6.8999999999999986</v>
      </c>
      <c r="J448" t="s">
        <v>40</v>
      </c>
      <c r="K448" s="11">
        <v>1.05</v>
      </c>
    </row>
    <row r="449" spans="1:11" x14ac:dyDescent="0.25">
      <c r="B449" t="s">
        <v>177</v>
      </c>
      <c r="C449" t="s">
        <v>338</v>
      </c>
      <c r="D449" t="s">
        <v>38</v>
      </c>
      <c r="E449" t="s">
        <v>179</v>
      </c>
      <c r="F449" t="s">
        <v>424</v>
      </c>
      <c r="G449" s="7">
        <v>36</v>
      </c>
      <c r="H449" s="7">
        <v>27.72</v>
      </c>
      <c r="I449" s="7">
        <f t="shared" si="15"/>
        <v>8.2800000000000011</v>
      </c>
      <c r="J449" t="s">
        <v>40</v>
      </c>
      <c r="K449" s="11">
        <v>1.26</v>
      </c>
    </row>
    <row r="450" spans="1:11" x14ac:dyDescent="0.25">
      <c r="B450" t="s">
        <v>1352</v>
      </c>
      <c r="C450" t="s">
        <v>338</v>
      </c>
      <c r="D450" t="s">
        <v>38</v>
      </c>
      <c r="E450" t="s">
        <v>1353</v>
      </c>
      <c r="F450" t="s">
        <v>424</v>
      </c>
      <c r="G450" s="7">
        <v>360</v>
      </c>
      <c r="H450" s="7">
        <v>277.2</v>
      </c>
      <c r="I450" s="7">
        <f t="shared" si="15"/>
        <v>82.800000000000011</v>
      </c>
      <c r="J450" t="s">
        <v>40</v>
      </c>
      <c r="K450" s="11"/>
    </row>
    <row r="451" spans="1:11" x14ac:dyDescent="0.25">
      <c r="B451" t="s">
        <v>1352</v>
      </c>
      <c r="C451" t="s">
        <v>37</v>
      </c>
      <c r="D451" t="s">
        <v>38</v>
      </c>
      <c r="E451" t="s">
        <v>1353</v>
      </c>
      <c r="F451" t="s">
        <v>426</v>
      </c>
      <c r="G451" s="7">
        <v>300</v>
      </c>
      <c r="H451" s="7">
        <v>231</v>
      </c>
      <c r="I451" s="7">
        <f t="shared" si="15"/>
        <v>69</v>
      </c>
      <c r="J451" t="s">
        <v>40</v>
      </c>
      <c r="K451" s="11"/>
    </row>
    <row r="452" spans="1:11" x14ac:dyDescent="0.25">
      <c r="A452" t="s">
        <v>180</v>
      </c>
      <c r="B452" t="s">
        <v>181</v>
      </c>
      <c r="C452" t="s">
        <v>37</v>
      </c>
      <c r="D452" t="s">
        <v>38</v>
      </c>
      <c r="E452" t="s">
        <v>182</v>
      </c>
      <c r="F452" t="s">
        <v>426</v>
      </c>
      <c r="G452" s="7">
        <v>100</v>
      </c>
      <c r="H452" s="7">
        <v>77</v>
      </c>
      <c r="I452" s="7">
        <f t="shared" si="15"/>
        <v>23</v>
      </c>
      <c r="J452" t="s">
        <v>40</v>
      </c>
      <c r="K452" s="11">
        <v>3.5</v>
      </c>
    </row>
    <row r="453" spans="1:11" x14ac:dyDescent="0.25">
      <c r="B453" t="s">
        <v>181</v>
      </c>
      <c r="C453" t="s">
        <v>338</v>
      </c>
      <c r="D453" t="s">
        <v>38</v>
      </c>
      <c r="E453" t="s">
        <v>182</v>
      </c>
      <c r="F453" t="s">
        <v>424</v>
      </c>
      <c r="G453" s="7">
        <v>120</v>
      </c>
      <c r="H453" s="7">
        <v>92.4</v>
      </c>
      <c r="I453" s="7">
        <f t="shared" si="15"/>
        <v>27.599999999999994</v>
      </c>
      <c r="J453" t="s">
        <v>40</v>
      </c>
      <c r="K453" s="11">
        <v>4.2</v>
      </c>
    </row>
    <row r="454" spans="1:11" x14ac:dyDescent="0.25">
      <c r="B454" t="s">
        <v>183</v>
      </c>
      <c r="C454" t="s">
        <v>373</v>
      </c>
      <c r="D454" t="s">
        <v>38</v>
      </c>
      <c r="E454" t="s">
        <v>184</v>
      </c>
      <c r="F454" t="s">
        <v>427</v>
      </c>
      <c r="G454" s="7">
        <v>50</v>
      </c>
      <c r="H454" s="7">
        <v>38.5</v>
      </c>
      <c r="I454" s="7">
        <f t="shared" si="15"/>
        <v>11.5</v>
      </c>
      <c r="J454" t="s">
        <v>40</v>
      </c>
      <c r="K454" s="11">
        <v>1.75</v>
      </c>
    </row>
    <row r="455" spans="1:11" x14ac:dyDescent="0.25">
      <c r="B455" t="s">
        <v>183</v>
      </c>
      <c r="C455" t="s">
        <v>338</v>
      </c>
      <c r="D455" t="s">
        <v>38</v>
      </c>
      <c r="E455" t="s">
        <v>184</v>
      </c>
      <c r="F455" t="s">
        <v>424</v>
      </c>
      <c r="G455" s="7">
        <v>60</v>
      </c>
      <c r="H455" s="7">
        <v>46.2</v>
      </c>
      <c r="I455" s="7">
        <f t="shared" si="15"/>
        <v>13.799999999999997</v>
      </c>
      <c r="J455" t="s">
        <v>40</v>
      </c>
      <c r="K455" s="11">
        <v>2.1</v>
      </c>
    </row>
    <row r="456" spans="1:11" x14ac:dyDescent="0.25">
      <c r="B456" t="s">
        <v>183</v>
      </c>
      <c r="C456" t="s">
        <v>37</v>
      </c>
      <c r="D456" t="s">
        <v>38</v>
      </c>
      <c r="E456" t="s">
        <v>184</v>
      </c>
      <c r="F456" t="s">
        <v>426</v>
      </c>
      <c r="G456" s="7">
        <v>50</v>
      </c>
      <c r="H456" s="7">
        <v>38.5</v>
      </c>
      <c r="I456" s="7">
        <f t="shared" si="15"/>
        <v>11.5</v>
      </c>
      <c r="J456" t="s">
        <v>40</v>
      </c>
      <c r="K456" s="11">
        <v>1.75</v>
      </c>
    </row>
    <row r="457" spans="1:11" x14ac:dyDescent="0.25">
      <c r="B457" t="s">
        <v>185</v>
      </c>
      <c r="C457" t="s">
        <v>373</v>
      </c>
      <c r="D457" t="s">
        <v>38</v>
      </c>
      <c r="E457" t="s">
        <v>186</v>
      </c>
      <c r="F457" t="s">
        <v>427</v>
      </c>
      <c r="G457" s="7">
        <v>75</v>
      </c>
      <c r="H457" s="7">
        <v>57.75</v>
      </c>
      <c r="I457" s="7">
        <f t="shared" si="15"/>
        <v>17.25</v>
      </c>
      <c r="J457" t="s">
        <v>40</v>
      </c>
      <c r="K457" s="11">
        <v>2.16</v>
      </c>
    </row>
    <row r="458" spans="1:11" x14ac:dyDescent="0.25">
      <c r="B458" t="s">
        <v>185</v>
      </c>
      <c r="C458" t="s">
        <v>338</v>
      </c>
      <c r="D458" t="s">
        <v>38</v>
      </c>
      <c r="E458" t="s">
        <v>186</v>
      </c>
      <c r="F458" t="s">
        <v>424</v>
      </c>
      <c r="G458" s="7">
        <v>90</v>
      </c>
      <c r="H458" s="7">
        <v>69.3</v>
      </c>
      <c r="I458" s="7">
        <f t="shared" si="15"/>
        <v>20.700000000000003</v>
      </c>
      <c r="J458" t="s">
        <v>40</v>
      </c>
      <c r="K458" s="11">
        <v>3.15</v>
      </c>
    </row>
    <row r="459" spans="1:11" x14ac:dyDescent="0.25">
      <c r="B459" t="s">
        <v>185</v>
      </c>
      <c r="C459" t="s">
        <v>37</v>
      </c>
      <c r="D459" t="s">
        <v>38</v>
      </c>
      <c r="E459" t="s">
        <v>186</v>
      </c>
      <c r="F459" t="s">
        <v>426</v>
      </c>
      <c r="G459" s="7">
        <v>75</v>
      </c>
      <c r="H459" s="7">
        <v>57.75</v>
      </c>
      <c r="I459" s="7">
        <f t="shared" si="15"/>
        <v>17.25</v>
      </c>
      <c r="J459" t="s">
        <v>40</v>
      </c>
      <c r="K459" s="11">
        <v>2.16</v>
      </c>
    </row>
    <row r="460" spans="1:11" x14ac:dyDescent="0.25">
      <c r="B460" t="s">
        <v>845</v>
      </c>
      <c r="C460" t="s">
        <v>338</v>
      </c>
      <c r="D460" t="s">
        <v>38</v>
      </c>
      <c r="E460" t="s">
        <v>844</v>
      </c>
      <c r="F460" t="s">
        <v>424</v>
      </c>
      <c r="G460" s="7">
        <v>600</v>
      </c>
      <c r="H460" s="7">
        <v>462</v>
      </c>
      <c r="I460" s="7">
        <f t="shared" si="15"/>
        <v>138</v>
      </c>
      <c r="J460" t="s">
        <v>40</v>
      </c>
      <c r="K460" s="11"/>
    </row>
    <row r="461" spans="1:11" x14ac:dyDescent="0.25">
      <c r="B461" t="s">
        <v>845</v>
      </c>
      <c r="C461" t="s">
        <v>37</v>
      </c>
      <c r="D461" t="s">
        <v>38</v>
      </c>
      <c r="E461" t="s">
        <v>844</v>
      </c>
      <c r="F461" t="s">
        <v>426</v>
      </c>
      <c r="G461" s="7">
        <v>500</v>
      </c>
      <c r="H461" s="7">
        <v>385</v>
      </c>
      <c r="I461" s="7">
        <f t="shared" si="15"/>
        <v>115</v>
      </c>
      <c r="J461" t="s">
        <v>40</v>
      </c>
      <c r="K461" s="11"/>
    </row>
    <row r="462" spans="1:11" x14ac:dyDescent="0.25">
      <c r="K462" s="11"/>
    </row>
    <row r="463" spans="1:11" x14ac:dyDescent="0.25">
      <c r="A463" t="s">
        <v>381</v>
      </c>
      <c r="E463" s="8" t="s">
        <v>190</v>
      </c>
      <c r="F463" s="8"/>
      <c r="K463" s="11"/>
    </row>
    <row r="464" spans="1:11" x14ac:dyDescent="0.25">
      <c r="B464" t="s">
        <v>189</v>
      </c>
      <c r="C464" t="s">
        <v>338</v>
      </c>
      <c r="D464" t="s">
        <v>342</v>
      </c>
      <c r="E464" t="s">
        <v>190</v>
      </c>
      <c r="F464" t="s">
        <v>425</v>
      </c>
      <c r="G464" s="7">
        <v>0</v>
      </c>
      <c r="H464" s="7">
        <v>0</v>
      </c>
      <c r="I464" s="7">
        <v>0</v>
      </c>
      <c r="J464" t="s">
        <v>40</v>
      </c>
      <c r="K464" s="11">
        <v>3.12</v>
      </c>
    </row>
    <row r="465" spans="1:11" x14ac:dyDescent="0.25">
      <c r="B465" t="s">
        <v>189</v>
      </c>
      <c r="C465" t="s">
        <v>338</v>
      </c>
      <c r="D465" t="s">
        <v>38</v>
      </c>
      <c r="E465" t="s">
        <v>190</v>
      </c>
      <c r="F465" t="s">
        <v>424</v>
      </c>
      <c r="G465" s="7">
        <v>78</v>
      </c>
      <c r="H465" s="7">
        <v>68.64</v>
      </c>
      <c r="I465" s="7">
        <f>G465-H465</f>
        <v>9.36</v>
      </c>
      <c r="J465" t="s">
        <v>40</v>
      </c>
      <c r="K465" s="11">
        <v>2.6</v>
      </c>
    </row>
    <row r="466" spans="1:11" x14ac:dyDescent="0.25">
      <c r="B466" t="s">
        <v>189</v>
      </c>
      <c r="C466" t="s">
        <v>37</v>
      </c>
      <c r="D466" t="s">
        <v>38</v>
      </c>
      <c r="E466" t="s">
        <v>190</v>
      </c>
      <c r="F466" t="s">
        <v>426</v>
      </c>
      <c r="G466" s="7">
        <v>65</v>
      </c>
      <c r="H466" s="7">
        <v>57.199999999999996</v>
      </c>
      <c r="I466" s="7">
        <f>G466-H466</f>
        <v>7.8000000000000043</v>
      </c>
      <c r="J466" t="s">
        <v>40</v>
      </c>
      <c r="K466" s="11"/>
    </row>
    <row r="467" spans="1:11" x14ac:dyDescent="0.25">
      <c r="B467" t="s">
        <v>735</v>
      </c>
      <c r="C467" t="s">
        <v>338</v>
      </c>
      <c r="D467" t="s">
        <v>342</v>
      </c>
      <c r="E467" t="s">
        <v>734</v>
      </c>
      <c r="F467" t="s">
        <v>427</v>
      </c>
      <c r="G467" s="7">
        <v>650</v>
      </c>
      <c r="H467" s="7">
        <v>572</v>
      </c>
      <c r="I467" s="7">
        <f>[1]Sheet1!A48-[1]Sheet1!D48</f>
        <v>0</v>
      </c>
      <c r="J467" t="s">
        <v>40</v>
      </c>
      <c r="K467" s="11"/>
    </row>
    <row r="468" spans="1:11" x14ac:dyDescent="0.25">
      <c r="B468" t="s">
        <v>735</v>
      </c>
      <c r="C468" t="s">
        <v>338</v>
      </c>
      <c r="D468" t="s">
        <v>38</v>
      </c>
      <c r="E468" t="s">
        <v>734</v>
      </c>
      <c r="F468" t="s">
        <v>424</v>
      </c>
      <c r="G468" s="7">
        <v>780</v>
      </c>
      <c r="H468" s="7">
        <v>686.4</v>
      </c>
      <c r="I468" s="7">
        <f>[1]Sheet1!A49-[1]Sheet1!D49</f>
        <v>0</v>
      </c>
      <c r="J468" t="s">
        <v>40</v>
      </c>
      <c r="K468" s="11"/>
    </row>
    <row r="469" spans="1:11" x14ac:dyDescent="0.25">
      <c r="B469" t="s">
        <v>735</v>
      </c>
      <c r="C469" t="s">
        <v>37</v>
      </c>
      <c r="D469" t="s">
        <v>38</v>
      </c>
      <c r="E469" t="s">
        <v>734</v>
      </c>
      <c r="F469" t="s">
        <v>426</v>
      </c>
      <c r="G469" s="7">
        <v>650</v>
      </c>
      <c r="H469" s="7">
        <v>572</v>
      </c>
      <c r="I469" s="7">
        <f>[1]Sheet1!A50-[1]Sheet1!D50</f>
        <v>0</v>
      </c>
      <c r="J469" t="s">
        <v>40</v>
      </c>
      <c r="K469" s="11"/>
    </row>
    <row r="470" spans="1:11" x14ac:dyDescent="0.25">
      <c r="K470" s="11"/>
    </row>
    <row r="471" spans="1:11" x14ac:dyDescent="0.25">
      <c r="A471" t="s">
        <v>382</v>
      </c>
      <c r="E471" s="8" t="s">
        <v>383</v>
      </c>
      <c r="F471" s="8"/>
      <c r="K471" s="11"/>
    </row>
    <row r="472" spans="1:11" x14ac:dyDescent="0.25">
      <c r="A472" t="s">
        <v>384</v>
      </c>
      <c r="B472" t="s">
        <v>191</v>
      </c>
      <c r="C472" t="s">
        <v>373</v>
      </c>
      <c r="D472" t="s">
        <v>38</v>
      </c>
      <c r="E472" t="s">
        <v>192</v>
      </c>
      <c r="F472" t="s">
        <v>427</v>
      </c>
      <c r="G472" s="7">
        <v>180</v>
      </c>
      <c r="H472" s="7">
        <v>138.60000000000002</v>
      </c>
      <c r="I472" s="7">
        <f t="shared" ref="I472:I486" si="16">G472-H472</f>
        <v>41.399999999999977</v>
      </c>
      <c r="J472" t="s">
        <v>40</v>
      </c>
      <c r="K472" s="11">
        <v>6.3</v>
      </c>
    </row>
    <row r="473" spans="1:11" x14ac:dyDescent="0.25">
      <c r="B473" t="s">
        <v>191</v>
      </c>
      <c r="C473" t="s">
        <v>338</v>
      </c>
      <c r="D473" t="s">
        <v>38</v>
      </c>
      <c r="E473" t="s">
        <v>192</v>
      </c>
      <c r="F473" t="s">
        <v>424</v>
      </c>
      <c r="G473" s="7">
        <v>216</v>
      </c>
      <c r="H473" s="7">
        <v>166.32</v>
      </c>
      <c r="I473" s="7">
        <f t="shared" si="16"/>
        <v>49.680000000000007</v>
      </c>
      <c r="J473" t="s">
        <v>40</v>
      </c>
      <c r="K473" s="11">
        <v>7.56</v>
      </c>
    </row>
    <row r="474" spans="1:11" x14ac:dyDescent="0.25">
      <c r="B474" t="s">
        <v>191</v>
      </c>
      <c r="C474" t="s">
        <v>37</v>
      </c>
      <c r="D474" t="s">
        <v>38</v>
      </c>
      <c r="E474" t="s">
        <v>192</v>
      </c>
      <c r="F474" t="s">
        <v>426</v>
      </c>
      <c r="G474" s="7">
        <v>180</v>
      </c>
      <c r="H474" s="7">
        <v>138.6</v>
      </c>
      <c r="I474" s="7">
        <f t="shared" si="16"/>
        <v>41.400000000000006</v>
      </c>
      <c r="J474" t="s">
        <v>40</v>
      </c>
      <c r="K474" s="11">
        <v>6.3</v>
      </c>
    </row>
    <row r="475" spans="1:11" x14ac:dyDescent="0.25">
      <c r="B475" t="s">
        <v>193</v>
      </c>
      <c r="C475" t="s">
        <v>373</v>
      </c>
      <c r="D475" t="s">
        <v>38</v>
      </c>
      <c r="E475" t="s">
        <v>194</v>
      </c>
      <c r="F475" t="s">
        <v>427</v>
      </c>
      <c r="G475" s="7">
        <v>750</v>
      </c>
      <c r="H475" s="7">
        <v>577.5</v>
      </c>
      <c r="I475" s="7">
        <f t="shared" si="16"/>
        <v>172.5</v>
      </c>
      <c r="J475" t="s">
        <v>40</v>
      </c>
      <c r="K475" s="11">
        <v>26.25</v>
      </c>
    </row>
    <row r="476" spans="1:11" x14ac:dyDescent="0.25">
      <c r="B476" t="s">
        <v>193</v>
      </c>
      <c r="C476" t="s">
        <v>338</v>
      </c>
      <c r="D476" t="s">
        <v>38</v>
      </c>
      <c r="E476" t="s">
        <v>194</v>
      </c>
      <c r="F476" t="s">
        <v>424</v>
      </c>
      <c r="G476" s="7">
        <v>900</v>
      </c>
      <c r="H476" s="7">
        <v>693</v>
      </c>
      <c r="I476" s="7">
        <f t="shared" si="16"/>
        <v>207</v>
      </c>
      <c r="J476" t="s">
        <v>40</v>
      </c>
      <c r="K476" s="11">
        <v>31.5</v>
      </c>
    </row>
    <row r="477" spans="1:11" x14ac:dyDescent="0.25">
      <c r="B477" t="s">
        <v>193</v>
      </c>
      <c r="C477" t="s">
        <v>37</v>
      </c>
      <c r="D477" t="s">
        <v>38</v>
      </c>
      <c r="E477" t="s">
        <v>194</v>
      </c>
      <c r="F477" t="s">
        <v>426</v>
      </c>
      <c r="G477" s="7">
        <v>750</v>
      </c>
      <c r="H477" s="7">
        <v>577.5</v>
      </c>
      <c r="I477" s="7">
        <f t="shared" si="16"/>
        <v>172.5</v>
      </c>
      <c r="J477" t="s">
        <v>40</v>
      </c>
      <c r="K477" s="11">
        <v>26.25</v>
      </c>
    </row>
    <row r="478" spans="1:11" x14ac:dyDescent="0.25">
      <c r="B478" t="s">
        <v>193</v>
      </c>
      <c r="C478" t="s">
        <v>373</v>
      </c>
      <c r="D478" t="s">
        <v>38</v>
      </c>
      <c r="E478" t="s">
        <v>195</v>
      </c>
      <c r="F478" t="s">
        <v>427</v>
      </c>
      <c r="G478" s="7">
        <v>6000</v>
      </c>
      <c r="H478" s="7">
        <v>4620</v>
      </c>
      <c r="I478" s="7">
        <f t="shared" si="16"/>
        <v>1380</v>
      </c>
      <c r="J478" t="s">
        <v>40</v>
      </c>
      <c r="K478" s="11">
        <v>210</v>
      </c>
    </row>
    <row r="479" spans="1:11" x14ac:dyDescent="0.25">
      <c r="B479" t="s">
        <v>193</v>
      </c>
      <c r="C479" t="s">
        <v>338</v>
      </c>
      <c r="D479" t="s">
        <v>38</v>
      </c>
      <c r="E479" t="s">
        <v>195</v>
      </c>
      <c r="F479" t="s">
        <v>424</v>
      </c>
      <c r="G479" s="7">
        <v>7200</v>
      </c>
      <c r="H479" s="7">
        <v>5544</v>
      </c>
      <c r="I479" s="7">
        <f t="shared" si="16"/>
        <v>1656</v>
      </c>
      <c r="J479" t="s">
        <v>40</v>
      </c>
      <c r="K479" s="11">
        <v>252</v>
      </c>
    </row>
    <row r="480" spans="1:11" x14ac:dyDescent="0.25">
      <c r="B480" t="s">
        <v>193</v>
      </c>
      <c r="C480" t="s">
        <v>37</v>
      </c>
      <c r="D480" t="s">
        <v>38</v>
      </c>
      <c r="E480" t="s">
        <v>195</v>
      </c>
      <c r="F480" t="s">
        <v>426</v>
      </c>
      <c r="G480" s="7">
        <v>6000</v>
      </c>
      <c r="H480" s="7">
        <v>4620</v>
      </c>
      <c r="I480" s="7">
        <f t="shared" si="16"/>
        <v>1380</v>
      </c>
      <c r="J480" t="s">
        <v>40</v>
      </c>
      <c r="K480" s="11">
        <v>210</v>
      </c>
    </row>
    <row r="481" spans="2:11" x14ac:dyDescent="0.25">
      <c r="B481" t="s">
        <v>193</v>
      </c>
      <c r="C481" t="s">
        <v>373</v>
      </c>
      <c r="D481" t="s">
        <v>38</v>
      </c>
      <c r="E481" t="s">
        <v>196</v>
      </c>
      <c r="F481" t="s">
        <v>427</v>
      </c>
      <c r="G481" s="7">
        <v>17000</v>
      </c>
      <c r="H481" s="7">
        <v>13090</v>
      </c>
      <c r="I481" s="7">
        <f t="shared" si="16"/>
        <v>3910</v>
      </c>
      <c r="J481" t="s">
        <v>40</v>
      </c>
      <c r="K481" s="11">
        <v>595</v>
      </c>
    </row>
    <row r="482" spans="2:11" x14ac:dyDescent="0.25">
      <c r="B482" t="s">
        <v>193</v>
      </c>
      <c r="C482" t="s">
        <v>338</v>
      </c>
      <c r="D482" t="s">
        <v>38</v>
      </c>
      <c r="E482" t="s">
        <v>196</v>
      </c>
      <c r="F482" t="s">
        <v>424</v>
      </c>
      <c r="G482" s="7">
        <v>20400</v>
      </c>
      <c r="H482" s="7">
        <v>15708</v>
      </c>
      <c r="I482" s="7">
        <f t="shared" si="16"/>
        <v>4692</v>
      </c>
      <c r="J482" t="s">
        <v>40</v>
      </c>
      <c r="K482" s="11">
        <v>710</v>
      </c>
    </row>
    <row r="483" spans="2:11" x14ac:dyDescent="0.25">
      <c r="B483" t="s">
        <v>193</v>
      </c>
      <c r="C483" t="s">
        <v>37</v>
      </c>
      <c r="D483" t="s">
        <v>38</v>
      </c>
      <c r="E483" t="s">
        <v>196</v>
      </c>
      <c r="F483" t="s">
        <v>426</v>
      </c>
      <c r="G483" s="7">
        <v>17000</v>
      </c>
      <c r="H483" s="7">
        <v>13090</v>
      </c>
      <c r="I483" s="7">
        <f t="shared" si="16"/>
        <v>3910</v>
      </c>
      <c r="J483" t="s">
        <v>40</v>
      </c>
      <c r="K483" s="11">
        <v>595</v>
      </c>
    </row>
    <row r="484" spans="2:11" x14ac:dyDescent="0.25">
      <c r="B484" t="s">
        <v>193</v>
      </c>
      <c r="C484" t="s">
        <v>373</v>
      </c>
      <c r="D484" t="s">
        <v>38</v>
      </c>
      <c r="E484" t="s">
        <v>197</v>
      </c>
      <c r="F484" t="s">
        <v>427</v>
      </c>
      <c r="G484" s="7">
        <v>37000</v>
      </c>
      <c r="H484" s="7">
        <v>28490</v>
      </c>
      <c r="I484" s="7">
        <f t="shared" si="16"/>
        <v>8510</v>
      </c>
      <c r="J484" t="s">
        <v>40</v>
      </c>
      <c r="K484" s="11">
        <v>1295</v>
      </c>
    </row>
    <row r="485" spans="2:11" x14ac:dyDescent="0.25">
      <c r="B485" t="s">
        <v>193</v>
      </c>
      <c r="C485" t="s">
        <v>338</v>
      </c>
      <c r="D485" t="s">
        <v>38</v>
      </c>
      <c r="E485" t="s">
        <v>197</v>
      </c>
      <c r="F485" t="s">
        <v>424</v>
      </c>
      <c r="G485" s="7">
        <v>44400</v>
      </c>
      <c r="H485" s="7">
        <v>34188</v>
      </c>
      <c r="I485" s="7">
        <f t="shared" si="16"/>
        <v>10212</v>
      </c>
      <c r="J485" t="s">
        <v>40</v>
      </c>
      <c r="K485" s="11">
        <v>1554</v>
      </c>
    </row>
    <row r="486" spans="2:11" x14ac:dyDescent="0.25">
      <c r="B486" t="s">
        <v>193</v>
      </c>
      <c r="C486" t="s">
        <v>37</v>
      </c>
      <c r="D486" t="s">
        <v>38</v>
      </c>
      <c r="E486" t="s">
        <v>197</v>
      </c>
      <c r="F486" t="s">
        <v>426</v>
      </c>
      <c r="G486" s="7">
        <v>37000</v>
      </c>
      <c r="H486" s="7">
        <v>28490</v>
      </c>
      <c r="I486" s="7">
        <f t="shared" si="16"/>
        <v>8510</v>
      </c>
      <c r="J486" t="s">
        <v>40</v>
      </c>
      <c r="K486" s="11">
        <v>1295</v>
      </c>
    </row>
    <row r="487" spans="2:11" x14ac:dyDescent="0.25">
      <c r="K487" s="11"/>
    </row>
    <row r="488" spans="2:11" x14ac:dyDescent="0.25">
      <c r="B488" t="s">
        <v>191</v>
      </c>
      <c r="C488" t="s">
        <v>373</v>
      </c>
      <c r="D488" t="s">
        <v>38</v>
      </c>
      <c r="E488" t="s">
        <v>198</v>
      </c>
      <c r="F488" t="s">
        <v>427</v>
      </c>
      <c r="G488" s="7">
        <v>30</v>
      </c>
      <c r="H488" s="7">
        <v>23.1</v>
      </c>
      <c r="I488" s="7">
        <f t="shared" ref="I488:I548" si="17">G488-H488</f>
        <v>6.8999999999999986</v>
      </c>
      <c r="J488" t="s">
        <v>40</v>
      </c>
      <c r="K488" s="11">
        <v>1.05</v>
      </c>
    </row>
    <row r="489" spans="2:11" x14ac:dyDescent="0.25">
      <c r="B489" t="s">
        <v>191</v>
      </c>
      <c r="C489" t="s">
        <v>338</v>
      </c>
      <c r="D489" t="s">
        <v>38</v>
      </c>
      <c r="E489" t="s">
        <v>198</v>
      </c>
      <c r="F489" t="s">
        <v>424</v>
      </c>
      <c r="G489" s="7">
        <v>36</v>
      </c>
      <c r="H489" s="7">
        <v>27.72</v>
      </c>
      <c r="I489" s="7">
        <f t="shared" si="17"/>
        <v>8.2800000000000011</v>
      </c>
      <c r="J489" t="s">
        <v>40</v>
      </c>
      <c r="K489" s="11">
        <v>1.26</v>
      </c>
    </row>
    <row r="490" spans="2:11" x14ac:dyDescent="0.25">
      <c r="B490" t="s">
        <v>191</v>
      </c>
      <c r="C490" t="s">
        <v>37</v>
      </c>
      <c r="D490" t="s">
        <v>38</v>
      </c>
      <c r="E490" t="s">
        <v>198</v>
      </c>
      <c r="F490" t="s">
        <v>426</v>
      </c>
      <c r="G490" s="7">
        <v>30</v>
      </c>
      <c r="H490" s="7">
        <v>23.099999999999998</v>
      </c>
      <c r="I490" s="7">
        <f t="shared" si="17"/>
        <v>6.9000000000000021</v>
      </c>
      <c r="J490" t="s">
        <v>40</v>
      </c>
      <c r="K490" s="11">
        <v>1.05</v>
      </c>
    </row>
    <row r="491" spans="2:11" x14ac:dyDescent="0.25">
      <c r="B491" t="s">
        <v>193</v>
      </c>
      <c r="C491" t="s">
        <v>373</v>
      </c>
      <c r="D491" t="s">
        <v>38</v>
      </c>
      <c r="E491" t="s">
        <v>199</v>
      </c>
      <c r="F491" t="s">
        <v>427</v>
      </c>
      <c r="G491" s="7">
        <v>3000</v>
      </c>
      <c r="H491" s="7">
        <v>2310</v>
      </c>
      <c r="I491" s="7">
        <f t="shared" si="17"/>
        <v>690</v>
      </c>
      <c r="J491" t="s">
        <v>40</v>
      </c>
      <c r="K491" s="11">
        <v>105</v>
      </c>
    </row>
    <row r="492" spans="2:11" x14ac:dyDescent="0.25">
      <c r="B492" t="s">
        <v>193</v>
      </c>
      <c r="C492" t="s">
        <v>338</v>
      </c>
      <c r="D492" t="s">
        <v>38</v>
      </c>
      <c r="E492" t="s">
        <v>199</v>
      </c>
      <c r="F492" t="s">
        <v>424</v>
      </c>
      <c r="G492" s="7">
        <v>3600</v>
      </c>
      <c r="H492" s="7">
        <v>2772</v>
      </c>
      <c r="I492" s="7">
        <f t="shared" si="17"/>
        <v>828</v>
      </c>
      <c r="J492" t="s">
        <v>40</v>
      </c>
      <c r="K492" s="11">
        <v>126</v>
      </c>
    </row>
    <row r="493" spans="2:11" x14ac:dyDescent="0.25">
      <c r="B493" t="s">
        <v>193</v>
      </c>
      <c r="C493" t="s">
        <v>37</v>
      </c>
      <c r="D493" t="s">
        <v>38</v>
      </c>
      <c r="E493" t="s">
        <v>199</v>
      </c>
      <c r="F493" t="s">
        <v>426</v>
      </c>
      <c r="G493" s="7">
        <v>3000</v>
      </c>
      <c r="H493" s="7">
        <v>2310</v>
      </c>
      <c r="I493" s="7">
        <f t="shared" si="17"/>
        <v>690</v>
      </c>
      <c r="J493" t="s">
        <v>40</v>
      </c>
      <c r="K493" s="11">
        <v>105</v>
      </c>
    </row>
    <row r="494" spans="2:11" x14ac:dyDescent="0.25">
      <c r="K494" s="11"/>
    </row>
    <row r="495" spans="2:11" x14ac:dyDescent="0.25">
      <c r="B495" t="s">
        <v>200</v>
      </c>
      <c r="C495" t="s">
        <v>338</v>
      </c>
      <c r="D495" t="s">
        <v>38</v>
      </c>
      <c r="E495" t="s">
        <v>201</v>
      </c>
      <c r="F495" t="s">
        <v>424</v>
      </c>
      <c r="G495" s="7">
        <v>4800</v>
      </c>
      <c r="H495" s="7">
        <v>3696</v>
      </c>
      <c r="I495" s="7">
        <f t="shared" si="17"/>
        <v>1104</v>
      </c>
      <c r="J495" t="s">
        <v>40</v>
      </c>
      <c r="K495" s="11">
        <v>168</v>
      </c>
    </row>
    <row r="496" spans="2:11" x14ac:dyDescent="0.25">
      <c r="B496" t="s">
        <v>200</v>
      </c>
      <c r="C496" t="s">
        <v>37</v>
      </c>
      <c r="D496" t="s">
        <v>38</v>
      </c>
      <c r="E496" t="s">
        <v>201</v>
      </c>
      <c r="F496" t="s">
        <v>426</v>
      </c>
      <c r="G496" s="7">
        <v>4000</v>
      </c>
      <c r="H496" s="7">
        <v>3080</v>
      </c>
      <c r="I496" s="7">
        <f t="shared" si="17"/>
        <v>920</v>
      </c>
      <c r="J496" t="s">
        <v>40</v>
      </c>
      <c r="K496" s="11">
        <v>140</v>
      </c>
    </row>
    <row r="497" spans="2:11" x14ac:dyDescent="0.25">
      <c r="B497" t="s">
        <v>200</v>
      </c>
      <c r="C497" t="s">
        <v>37</v>
      </c>
      <c r="D497" t="s">
        <v>38</v>
      </c>
      <c r="E497" t="s">
        <v>202</v>
      </c>
      <c r="F497" t="s">
        <v>426</v>
      </c>
      <c r="G497" s="7">
        <v>50</v>
      </c>
      <c r="H497" s="7">
        <v>38.5</v>
      </c>
      <c r="I497" s="7">
        <f t="shared" si="17"/>
        <v>11.5</v>
      </c>
      <c r="J497" t="s">
        <v>40</v>
      </c>
      <c r="K497" s="11">
        <v>17.5</v>
      </c>
    </row>
    <row r="498" spans="2:11" x14ac:dyDescent="0.25">
      <c r="B498" t="s">
        <v>200</v>
      </c>
      <c r="C498" t="s">
        <v>338</v>
      </c>
      <c r="D498" t="s">
        <v>38</v>
      </c>
      <c r="E498" t="s">
        <v>202</v>
      </c>
      <c r="F498" t="s">
        <v>424</v>
      </c>
      <c r="G498" s="7">
        <v>6000</v>
      </c>
      <c r="H498" s="7">
        <v>4620</v>
      </c>
      <c r="I498" s="7">
        <f t="shared" si="17"/>
        <v>1380</v>
      </c>
      <c r="J498" t="s">
        <v>40</v>
      </c>
      <c r="K498" s="11">
        <v>21</v>
      </c>
    </row>
    <row r="499" spans="2:11" x14ac:dyDescent="0.25">
      <c r="B499" t="s">
        <v>200</v>
      </c>
      <c r="C499" t="s">
        <v>37</v>
      </c>
      <c r="D499" t="s">
        <v>38</v>
      </c>
      <c r="E499" t="s">
        <v>203</v>
      </c>
      <c r="F499" t="s">
        <v>426</v>
      </c>
      <c r="G499" s="7">
        <v>400</v>
      </c>
      <c r="H499" s="7">
        <v>308</v>
      </c>
      <c r="I499" s="7">
        <f t="shared" si="17"/>
        <v>92</v>
      </c>
      <c r="J499" t="s">
        <v>40</v>
      </c>
      <c r="K499" s="11">
        <v>14</v>
      </c>
    </row>
    <row r="500" spans="2:11" x14ac:dyDescent="0.25">
      <c r="B500" t="s">
        <v>200</v>
      </c>
      <c r="C500" t="s">
        <v>338</v>
      </c>
      <c r="D500" t="s">
        <v>38</v>
      </c>
      <c r="E500" t="s">
        <v>204</v>
      </c>
      <c r="F500" t="s">
        <v>424</v>
      </c>
      <c r="G500" s="7">
        <v>600</v>
      </c>
      <c r="H500" s="7">
        <v>462</v>
      </c>
      <c r="I500" s="7">
        <f t="shared" si="17"/>
        <v>138</v>
      </c>
      <c r="J500" t="s">
        <v>40</v>
      </c>
      <c r="K500" s="11">
        <v>168</v>
      </c>
    </row>
    <row r="501" spans="2:11" x14ac:dyDescent="0.25">
      <c r="B501" t="s">
        <v>200</v>
      </c>
      <c r="C501" t="s">
        <v>37</v>
      </c>
      <c r="D501" t="s">
        <v>38</v>
      </c>
      <c r="E501" t="s">
        <v>204</v>
      </c>
      <c r="F501" t="s">
        <v>426</v>
      </c>
      <c r="G501" s="7">
        <v>500</v>
      </c>
      <c r="H501" s="7">
        <v>385</v>
      </c>
      <c r="I501" s="7">
        <f t="shared" si="17"/>
        <v>115</v>
      </c>
      <c r="J501" t="s">
        <v>40</v>
      </c>
      <c r="K501" s="11">
        <v>17.5</v>
      </c>
    </row>
    <row r="502" spans="2:11" x14ac:dyDescent="0.25">
      <c r="B502" t="s">
        <v>200</v>
      </c>
      <c r="C502" t="s">
        <v>338</v>
      </c>
      <c r="D502" t="s">
        <v>38</v>
      </c>
      <c r="E502" t="s">
        <v>205</v>
      </c>
      <c r="F502" t="s">
        <v>424</v>
      </c>
      <c r="G502" s="7">
        <v>4800</v>
      </c>
      <c r="H502" s="7">
        <v>3696</v>
      </c>
      <c r="I502" s="7">
        <f t="shared" si="17"/>
        <v>1104</v>
      </c>
      <c r="J502" t="s">
        <v>40</v>
      </c>
      <c r="K502" s="11">
        <v>168</v>
      </c>
    </row>
    <row r="503" spans="2:11" x14ac:dyDescent="0.25">
      <c r="B503" t="s">
        <v>200</v>
      </c>
      <c r="C503" t="s">
        <v>37</v>
      </c>
      <c r="D503" t="s">
        <v>38</v>
      </c>
      <c r="E503" t="s">
        <v>205</v>
      </c>
      <c r="F503" t="s">
        <v>426</v>
      </c>
      <c r="G503" s="7">
        <v>4000</v>
      </c>
      <c r="H503" s="7">
        <v>3080</v>
      </c>
      <c r="I503" s="7">
        <f t="shared" si="17"/>
        <v>920</v>
      </c>
      <c r="J503" t="s">
        <v>40</v>
      </c>
      <c r="K503" s="11">
        <v>140</v>
      </c>
    </row>
    <row r="504" spans="2:11" x14ac:dyDescent="0.25">
      <c r="B504" t="s">
        <v>200</v>
      </c>
      <c r="C504" t="s">
        <v>338</v>
      </c>
      <c r="D504" t="s">
        <v>38</v>
      </c>
      <c r="E504" t="s">
        <v>206</v>
      </c>
      <c r="F504" t="s">
        <v>424</v>
      </c>
      <c r="G504" s="7">
        <v>600</v>
      </c>
      <c r="H504" s="7">
        <v>462</v>
      </c>
      <c r="I504" s="7">
        <f t="shared" si="17"/>
        <v>138</v>
      </c>
      <c r="J504" t="s">
        <v>40</v>
      </c>
      <c r="K504" s="11">
        <v>21</v>
      </c>
    </row>
    <row r="505" spans="2:11" x14ac:dyDescent="0.25">
      <c r="B505" t="s">
        <v>200</v>
      </c>
      <c r="C505" t="s">
        <v>37</v>
      </c>
      <c r="D505" t="s">
        <v>38</v>
      </c>
      <c r="E505" t="s">
        <v>206</v>
      </c>
      <c r="F505" t="s">
        <v>426</v>
      </c>
      <c r="G505" s="7">
        <v>500</v>
      </c>
      <c r="H505" s="7">
        <v>385</v>
      </c>
      <c r="I505" s="7">
        <f t="shared" si="17"/>
        <v>115</v>
      </c>
      <c r="J505" t="s">
        <v>40</v>
      </c>
      <c r="K505" s="11">
        <v>17.5</v>
      </c>
    </row>
    <row r="506" spans="2:11" x14ac:dyDescent="0.25">
      <c r="B506" t="s">
        <v>200</v>
      </c>
      <c r="C506" t="s">
        <v>338</v>
      </c>
      <c r="D506" t="s">
        <v>38</v>
      </c>
      <c r="E506" t="s">
        <v>207</v>
      </c>
      <c r="F506" t="s">
        <v>424</v>
      </c>
      <c r="G506" s="7">
        <v>4800</v>
      </c>
      <c r="H506" s="7">
        <v>3696</v>
      </c>
      <c r="I506" s="7">
        <f t="shared" si="17"/>
        <v>1104</v>
      </c>
      <c r="J506" t="s">
        <v>40</v>
      </c>
      <c r="K506" s="11">
        <v>21</v>
      </c>
    </row>
    <row r="507" spans="2:11" x14ac:dyDescent="0.25">
      <c r="B507" t="s">
        <v>200</v>
      </c>
      <c r="C507" t="s">
        <v>37</v>
      </c>
      <c r="D507" t="s">
        <v>38</v>
      </c>
      <c r="E507" t="s">
        <v>207</v>
      </c>
      <c r="F507" t="s">
        <v>426</v>
      </c>
      <c r="G507" s="7">
        <v>4000</v>
      </c>
      <c r="H507" s="7">
        <v>3080</v>
      </c>
      <c r="I507" s="7">
        <f t="shared" si="17"/>
        <v>920</v>
      </c>
      <c r="J507" t="s">
        <v>40</v>
      </c>
      <c r="K507" s="11">
        <v>140</v>
      </c>
    </row>
    <row r="508" spans="2:11" x14ac:dyDescent="0.25">
      <c r="B508" t="s">
        <v>200</v>
      </c>
      <c r="C508" t="s">
        <v>338</v>
      </c>
      <c r="D508" t="s">
        <v>38</v>
      </c>
      <c r="E508" t="s">
        <v>208</v>
      </c>
      <c r="F508" t="s">
        <v>424</v>
      </c>
      <c r="G508" s="7">
        <v>600</v>
      </c>
      <c r="H508" s="7">
        <v>462</v>
      </c>
      <c r="I508" s="7">
        <f t="shared" si="17"/>
        <v>138</v>
      </c>
      <c r="J508" t="s">
        <v>40</v>
      </c>
      <c r="K508" s="11">
        <v>14</v>
      </c>
    </row>
    <row r="509" spans="2:11" x14ac:dyDescent="0.25">
      <c r="B509" t="s">
        <v>200</v>
      </c>
      <c r="C509" t="s">
        <v>37</v>
      </c>
      <c r="D509" t="s">
        <v>38</v>
      </c>
      <c r="E509" t="s">
        <v>208</v>
      </c>
      <c r="F509" t="s">
        <v>426</v>
      </c>
      <c r="G509" s="7">
        <v>500</v>
      </c>
      <c r="H509" s="7">
        <v>385</v>
      </c>
      <c r="I509" s="7">
        <f t="shared" si="17"/>
        <v>115</v>
      </c>
      <c r="J509" t="s">
        <v>40</v>
      </c>
      <c r="K509" s="11">
        <v>17.5</v>
      </c>
    </row>
    <row r="510" spans="2:11" x14ac:dyDescent="0.25">
      <c r="B510" t="s">
        <v>200</v>
      </c>
      <c r="C510" t="s">
        <v>338</v>
      </c>
      <c r="D510" t="s">
        <v>38</v>
      </c>
      <c r="E510" t="s">
        <v>209</v>
      </c>
      <c r="F510" t="s">
        <v>424</v>
      </c>
      <c r="G510" s="7">
        <v>4800</v>
      </c>
      <c r="H510" s="7">
        <v>3696</v>
      </c>
      <c r="I510" s="7">
        <f t="shared" si="17"/>
        <v>1104</v>
      </c>
      <c r="J510" t="s">
        <v>40</v>
      </c>
      <c r="K510" s="11">
        <v>168</v>
      </c>
    </row>
    <row r="511" spans="2:11" x14ac:dyDescent="0.25">
      <c r="B511" t="s">
        <v>200</v>
      </c>
      <c r="C511" t="s">
        <v>37</v>
      </c>
      <c r="D511" t="s">
        <v>38</v>
      </c>
      <c r="E511" t="s">
        <v>209</v>
      </c>
      <c r="F511" t="s">
        <v>426</v>
      </c>
      <c r="G511" s="7">
        <v>4000</v>
      </c>
      <c r="H511" s="7">
        <v>3080</v>
      </c>
      <c r="I511" s="7">
        <f t="shared" si="17"/>
        <v>920</v>
      </c>
      <c r="J511" t="s">
        <v>40</v>
      </c>
      <c r="K511" s="11">
        <v>140</v>
      </c>
    </row>
    <row r="512" spans="2:11" x14ac:dyDescent="0.25">
      <c r="B512" t="s">
        <v>200</v>
      </c>
      <c r="C512" t="s">
        <v>338</v>
      </c>
      <c r="D512" t="s">
        <v>38</v>
      </c>
      <c r="E512" t="s">
        <v>210</v>
      </c>
      <c r="F512" t="s">
        <v>424</v>
      </c>
      <c r="G512" s="7">
        <v>600</v>
      </c>
      <c r="H512" s="7">
        <v>462</v>
      </c>
      <c r="I512" s="7">
        <f t="shared" si="17"/>
        <v>138</v>
      </c>
      <c r="J512" t="s">
        <v>40</v>
      </c>
      <c r="K512" s="11">
        <v>17.5</v>
      </c>
    </row>
    <row r="513" spans="2:11" x14ac:dyDescent="0.25">
      <c r="B513" t="s">
        <v>200</v>
      </c>
      <c r="C513" t="s">
        <v>37</v>
      </c>
      <c r="D513" t="s">
        <v>38</v>
      </c>
      <c r="E513" t="s">
        <v>210</v>
      </c>
      <c r="F513" t="s">
        <v>426</v>
      </c>
      <c r="G513" s="7">
        <v>500</v>
      </c>
      <c r="H513" s="7">
        <v>385</v>
      </c>
      <c r="I513" s="7">
        <f t="shared" si="17"/>
        <v>115</v>
      </c>
      <c r="J513" t="s">
        <v>40</v>
      </c>
      <c r="K513" s="11">
        <v>14</v>
      </c>
    </row>
    <row r="514" spans="2:11" x14ac:dyDescent="0.25">
      <c r="B514" t="s">
        <v>200</v>
      </c>
      <c r="C514" t="s">
        <v>338</v>
      </c>
      <c r="D514" t="s">
        <v>38</v>
      </c>
      <c r="E514" t="s">
        <v>211</v>
      </c>
      <c r="F514" t="s">
        <v>424</v>
      </c>
      <c r="G514" s="7">
        <v>4800</v>
      </c>
      <c r="H514" s="7">
        <v>3696</v>
      </c>
      <c r="I514" s="7">
        <f t="shared" si="17"/>
        <v>1104</v>
      </c>
      <c r="J514" t="s">
        <v>40</v>
      </c>
      <c r="K514" s="11">
        <v>168</v>
      </c>
    </row>
    <row r="515" spans="2:11" x14ac:dyDescent="0.25">
      <c r="B515" t="s">
        <v>200</v>
      </c>
      <c r="C515" t="s">
        <v>37</v>
      </c>
      <c r="D515" t="s">
        <v>38</v>
      </c>
      <c r="E515" t="s">
        <v>211</v>
      </c>
      <c r="F515" t="s">
        <v>426</v>
      </c>
      <c r="G515" s="7">
        <v>4000</v>
      </c>
      <c r="H515" s="7">
        <v>3080</v>
      </c>
      <c r="I515" s="7">
        <f t="shared" si="17"/>
        <v>920</v>
      </c>
      <c r="J515" t="s">
        <v>40</v>
      </c>
      <c r="K515" s="11">
        <v>140</v>
      </c>
    </row>
    <row r="516" spans="2:11" x14ac:dyDescent="0.25">
      <c r="B516" t="s">
        <v>200</v>
      </c>
      <c r="C516" t="s">
        <v>338</v>
      </c>
      <c r="D516" t="s">
        <v>38</v>
      </c>
      <c r="E516" t="s">
        <v>212</v>
      </c>
      <c r="F516" t="s">
        <v>424</v>
      </c>
      <c r="G516" s="7">
        <v>600</v>
      </c>
      <c r="H516" s="7">
        <v>462</v>
      </c>
      <c r="I516" s="7">
        <f t="shared" si="17"/>
        <v>138</v>
      </c>
      <c r="J516" t="s">
        <v>40</v>
      </c>
      <c r="K516" s="11">
        <v>17.5</v>
      </c>
    </row>
    <row r="517" spans="2:11" x14ac:dyDescent="0.25">
      <c r="B517" t="s">
        <v>200</v>
      </c>
      <c r="C517" t="s">
        <v>37</v>
      </c>
      <c r="D517" t="s">
        <v>38</v>
      </c>
      <c r="E517" t="s">
        <v>212</v>
      </c>
      <c r="F517" t="s">
        <v>426</v>
      </c>
      <c r="G517" s="7">
        <v>500</v>
      </c>
      <c r="H517" s="7">
        <v>385</v>
      </c>
      <c r="I517" s="7">
        <f t="shared" si="17"/>
        <v>115</v>
      </c>
      <c r="J517" t="s">
        <v>40</v>
      </c>
      <c r="K517" s="11">
        <v>14</v>
      </c>
    </row>
    <row r="518" spans="2:11" x14ac:dyDescent="0.25">
      <c r="B518" t="s">
        <v>200</v>
      </c>
      <c r="C518" t="s">
        <v>338</v>
      </c>
      <c r="D518" t="s">
        <v>38</v>
      </c>
      <c r="E518" t="s">
        <v>213</v>
      </c>
      <c r="F518" t="s">
        <v>424</v>
      </c>
      <c r="G518" s="7">
        <v>17400</v>
      </c>
      <c r="H518" s="7">
        <v>13398</v>
      </c>
      <c r="I518" s="7">
        <f t="shared" si="17"/>
        <v>4002</v>
      </c>
      <c r="J518" t="s">
        <v>40</v>
      </c>
      <c r="K518" s="11">
        <v>609</v>
      </c>
    </row>
    <row r="519" spans="2:11" x14ac:dyDescent="0.25">
      <c r="B519" t="s">
        <v>200</v>
      </c>
      <c r="C519" t="s">
        <v>37</v>
      </c>
      <c r="D519" t="s">
        <v>38</v>
      </c>
      <c r="E519" t="s">
        <v>213</v>
      </c>
      <c r="F519" t="s">
        <v>426</v>
      </c>
      <c r="G519" s="7">
        <v>14500</v>
      </c>
      <c r="H519" s="7">
        <v>11165</v>
      </c>
      <c r="I519" s="7">
        <f t="shared" si="17"/>
        <v>3335</v>
      </c>
      <c r="J519" t="s">
        <v>40</v>
      </c>
      <c r="K519" s="11">
        <v>507.5</v>
      </c>
    </row>
    <row r="520" spans="2:11" x14ac:dyDescent="0.25">
      <c r="B520" t="s">
        <v>200</v>
      </c>
      <c r="C520" t="s">
        <v>338</v>
      </c>
      <c r="D520" t="s">
        <v>38</v>
      </c>
      <c r="E520" t="s">
        <v>214</v>
      </c>
      <c r="F520" t="s">
        <v>424</v>
      </c>
      <c r="G520" s="7">
        <v>600</v>
      </c>
      <c r="H520" s="7">
        <v>462</v>
      </c>
      <c r="I520" s="7">
        <f t="shared" si="17"/>
        <v>138</v>
      </c>
      <c r="J520" t="s">
        <v>40</v>
      </c>
      <c r="K520" s="11">
        <v>17.5</v>
      </c>
    </row>
    <row r="521" spans="2:11" x14ac:dyDescent="0.25">
      <c r="B521" t="s">
        <v>200</v>
      </c>
      <c r="C521" t="s">
        <v>37</v>
      </c>
      <c r="D521" t="s">
        <v>38</v>
      </c>
      <c r="E521" t="s">
        <v>214</v>
      </c>
      <c r="F521" t="s">
        <v>426</v>
      </c>
      <c r="G521" s="7">
        <v>500</v>
      </c>
      <c r="H521" s="7">
        <v>385</v>
      </c>
      <c r="I521" s="7">
        <f t="shared" si="17"/>
        <v>115</v>
      </c>
      <c r="J521" t="s">
        <v>40</v>
      </c>
      <c r="K521" s="11">
        <v>14</v>
      </c>
    </row>
    <row r="522" spans="2:11" x14ac:dyDescent="0.25">
      <c r="B522" t="s">
        <v>200</v>
      </c>
      <c r="C522" t="s">
        <v>338</v>
      </c>
      <c r="D522" t="s">
        <v>38</v>
      </c>
      <c r="E522" t="s">
        <v>215</v>
      </c>
      <c r="F522" t="s">
        <v>424</v>
      </c>
      <c r="G522" s="7">
        <v>17400</v>
      </c>
      <c r="H522" s="7">
        <v>13398</v>
      </c>
      <c r="I522" s="7">
        <f t="shared" si="17"/>
        <v>4002</v>
      </c>
      <c r="J522" t="s">
        <v>40</v>
      </c>
      <c r="K522" s="11">
        <v>609</v>
      </c>
    </row>
    <row r="523" spans="2:11" x14ac:dyDescent="0.25">
      <c r="B523" t="s">
        <v>200</v>
      </c>
      <c r="C523" t="s">
        <v>37</v>
      </c>
      <c r="D523" t="s">
        <v>38</v>
      </c>
      <c r="E523" t="s">
        <v>215</v>
      </c>
      <c r="F523" t="s">
        <v>426</v>
      </c>
      <c r="G523" s="7">
        <v>14500</v>
      </c>
      <c r="H523" s="7">
        <v>11165</v>
      </c>
      <c r="I523" s="7">
        <f t="shared" si="17"/>
        <v>3335</v>
      </c>
      <c r="J523" t="s">
        <v>40</v>
      </c>
      <c r="K523" s="11">
        <v>507.5</v>
      </c>
    </row>
    <row r="524" spans="2:11" x14ac:dyDescent="0.25">
      <c r="B524" t="s">
        <v>200</v>
      </c>
      <c r="C524" t="s">
        <v>338</v>
      </c>
      <c r="D524" t="s">
        <v>38</v>
      </c>
      <c r="E524" t="s">
        <v>216</v>
      </c>
      <c r="F524" t="s">
        <v>424</v>
      </c>
      <c r="G524" s="7">
        <v>600</v>
      </c>
      <c r="H524" s="7">
        <v>462</v>
      </c>
      <c r="I524" s="7">
        <f t="shared" si="17"/>
        <v>138</v>
      </c>
      <c r="J524" t="s">
        <v>40</v>
      </c>
      <c r="K524" s="11">
        <v>17.5</v>
      </c>
    </row>
    <row r="525" spans="2:11" x14ac:dyDescent="0.25">
      <c r="B525" t="s">
        <v>200</v>
      </c>
      <c r="C525" t="s">
        <v>37</v>
      </c>
      <c r="D525" t="s">
        <v>38</v>
      </c>
      <c r="E525" t="s">
        <v>216</v>
      </c>
      <c r="F525" t="s">
        <v>426</v>
      </c>
      <c r="G525" s="7">
        <v>500</v>
      </c>
      <c r="H525" s="7">
        <v>385</v>
      </c>
      <c r="I525" s="7">
        <f t="shared" si="17"/>
        <v>115</v>
      </c>
      <c r="J525" t="s">
        <v>40</v>
      </c>
      <c r="K525" s="11">
        <v>14</v>
      </c>
    </row>
    <row r="526" spans="2:11" x14ac:dyDescent="0.25">
      <c r="B526" t="s">
        <v>200</v>
      </c>
      <c r="C526" t="s">
        <v>338</v>
      </c>
      <c r="D526" t="s">
        <v>38</v>
      </c>
      <c r="E526" t="s">
        <v>217</v>
      </c>
      <c r="F526" t="s">
        <v>424</v>
      </c>
      <c r="G526" s="7">
        <v>17400</v>
      </c>
      <c r="H526" s="7">
        <v>13398</v>
      </c>
      <c r="I526" s="7">
        <f t="shared" si="17"/>
        <v>4002</v>
      </c>
      <c r="J526" t="s">
        <v>40</v>
      </c>
      <c r="K526" s="11">
        <v>609</v>
      </c>
    </row>
    <row r="527" spans="2:11" x14ac:dyDescent="0.25">
      <c r="B527" t="s">
        <v>200</v>
      </c>
      <c r="C527" t="s">
        <v>37</v>
      </c>
      <c r="D527" t="s">
        <v>38</v>
      </c>
      <c r="E527" t="s">
        <v>217</v>
      </c>
      <c r="F527" t="s">
        <v>426</v>
      </c>
      <c r="G527" s="7">
        <v>14500</v>
      </c>
      <c r="H527" s="7">
        <v>11165</v>
      </c>
      <c r="I527" s="7">
        <f t="shared" si="17"/>
        <v>3335</v>
      </c>
      <c r="J527" t="s">
        <v>40</v>
      </c>
      <c r="K527" s="11">
        <v>507.5</v>
      </c>
    </row>
    <row r="528" spans="2:11" x14ac:dyDescent="0.25">
      <c r="B528" t="s">
        <v>200</v>
      </c>
      <c r="C528" t="s">
        <v>338</v>
      </c>
      <c r="D528" t="s">
        <v>38</v>
      </c>
      <c r="E528" t="s">
        <v>218</v>
      </c>
      <c r="F528" t="s">
        <v>424</v>
      </c>
      <c r="G528" s="7">
        <v>600</v>
      </c>
      <c r="H528" s="7">
        <v>462</v>
      </c>
      <c r="I528" s="7">
        <f t="shared" si="17"/>
        <v>138</v>
      </c>
      <c r="J528" t="s">
        <v>40</v>
      </c>
      <c r="K528" s="11">
        <v>17.5</v>
      </c>
    </row>
    <row r="529" spans="2:11" x14ac:dyDescent="0.25">
      <c r="B529" t="s">
        <v>200</v>
      </c>
      <c r="C529" t="s">
        <v>37</v>
      </c>
      <c r="D529" t="s">
        <v>38</v>
      </c>
      <c r="E529" t="s">
        <v>218</v>
      </c>
      <c r="F529" t="s">
        <v>426</v>
      </c>
      <c r="G529" s="7">
        <v>500</v>
      </c>
      <c r="H529" s="7">
        <v>385</v>
      </c>
      <c r="I529" s="7">
        <f t="shared" si="17"/>
        <v>115</v>
      </c>
      <c r="J529" t="s">
        <v>40</v>
      </c>
      <c r="K529" s="11">
        <v>14</v>
      </c>
    </row>
    <row r="530" spans="2:11" x14ac:dyDescent="0.25">
      <c r="B530" t="s">
        <v>200</v>
      </c>
      <c r="C530" t="s">
        <v>338</v>
      </c>
      <c r="D530" t="s">
        <v>38</v>
      </c>
      <c r="E530" t="s">
        <v>220</v>
      </c>
      <c r="F530" t="s">
        <v>424</v>
      </c>
      <c r="G530" s="7">
        <v>17400</v>
      </c>
      <c r="H530" s="7">
        <v>13398</v>
      </c>
      <c r="I530" s="7">
        <f t="shared" si="17"/>
        <v>4002</v>
      </c>
      <c r="J530" t="s">
        <v>40</v>
      </c>
      <c r="K530" s="11">
        <v>609</v>
      </c>
    </row>
    <row r="531" spans="2:11" x14ac:dyDescent="0.25">
      <c r="B531" t="s">
        <v>200</v>
      </c>
      <c r="C531" t="s">
        <v>37</v>
      </c>
      <c r="D531" t="s">
        <v>38</v>
      </c>
      <c r="E531" t="s">
        <v>220</v>
      </c>
      <c r="F531" t="s">
        <v>426</v>
      </c>
      <c r="G531" s="7">
        <v>14500</v>
      </c>
      <c r="H531" s="7">
        <v>11165</v>
      </c>
      <c r="I531" s="7">
        <f t="shared" si="17"/>
        <v>3335</v>
      </c>
      <c r="J531" t="s">
        <v>40</v>
      </c>
      <c r="K531" s="11">
        <v>507.5</v>
      </c>
    </row>
    <row r="532" spans="2:11" x14ac:dyDescent="0.25">
      <c r="B532" t="s">
        <v>200</v>
      </c>
      <c r="C532" t="s">
        <v>338</v>
      </c>
      <c r="D532" t="s">
        <v>38</v>
      </c>
      <c r="E532" t="s">
        <v>221</v>
      </c>
      <c r="F532" t="s">
        <v>424</v>
      </c>
      <c r="G532" s="7">
        <v>600</v>
      </c>
      <c r="H532" s="7">
        <v>462</v>
      </c>
      <c r="I532" s="7">
        <f t="shared" si="17"/>
        <v>138</v>
      </c>
      <c r="J532" t="s">
        <v>40</v>
      </c>
      <c r="K532" s="11">
        <v>17.5</v>
      </c>
    </row>
    <row r="533" spans="2:11" x14ac:dyDescent="0.25">
      <c r="B533" t="s">
        <v>200</v>
      </c>
      <c r="C533" t="s">
        <v>37</v>
      </c>
      <c r="D533" t="s">
        <v>38</v>
      </c>
      <c r="E533" t="s">
        <v>221</v>
      </c>
      <c r="F533" t="s">
        <v>426</v>
      </c>
      <c r="G533" s="7">
        <v>500</v>
      </c>
      <c r="H533" s="7">
        <v>385</v>
      </c>
      <c r="I533" s="7">
        <f t="shared" si="17"/>
        <v>115</v>
      </c>
      <c r="J533" t="s">
        <v>40</v>
      </c>
      <c r="K533" s="11">
        <v>14</v>
      </c>
    </row>
    <row r="534" spans="2:11" x14ac:dyDescent="0.25">
      <c r="B534" t="s">
        <v>200</v>
      </c>
      <c r="C534" t="s">
        <v>338</v>
      </c>
      <c r="D534" t="s">
        <v>38</v>
      </c>
      <c r="E534" t="s">
        <v>222</v>
      </c>
      <c r="F534" t="s">
        <v>424</v>
      </c>
      <c r="G534" s="7">
        <v>17400</v>
      </c>
      <c r="H534" s="7">
        <v>13398</v>
      </c>
      <c r="I534" s="7">
        <f t="shared" si="17"/>
        <v>4002</v>
      </c>
      <c r="J534" t="s">
        <v>40</v>
      </c>
      <c r="K534" s="11">
        <v>609</v>
      </c>
    </row>
    <row r="535" spans="2:11" x14ac:dyDescent="0.25">
      <c r="B535" t="s">
        <v>200</v>
      </c>
      <c r="C535" t="s">
        <v>37</v>
      </c>
      <c r="D535" t="s">
        <v>38</v>
      </c>
      <c r="E535" t="s">
        <v>222</v>
      </c>
      <c r="F535" t="s">
        <v>426</v>
      </c>
      <c r="G535" s="7">
        <v>14500</v>
      </c>
      <c r="H535" s="7">
        <v>11165</v>
      </c>
      <c r="I535" s="7">
        <f t="shared" si="17"/>
        <v>3335</v>
      </c>
      <c r="J535" t="s">
        <v>40</v>
      </c>
      <c r="K535" s="11">
        <v>507.5</v>
      </c>
    </row>
    <row r="536" spans="2:11" x14ac:dyDescent="0.25">
      <c r="B536" t="s">
        <v>200</v>
      </c>
      <c r="C536" t="s">
        <v>338</v>
      </c>
      <c r="D536" t="s">
        <v>38</v>
      </c>
      <c r="E536" t="s">
        <v>223</v>
      </c>
      <c r="F536" t="s">
        <v>424</v>
      </c>
      <c r="G536" s="7">
        <v>600</v>
      </c>
      <c r="H536" s="7">
        <v>462</v>
      </c>
      <c r="I536" s="7">
        <f t="shared" si="17"/>
        <v>138</v>
      </c>
      <c r="J536" t="s">
        <v>40</v>
      </c>
      <c r="K536" s="11">
        <v>17.5</v>
      </c>
    </row>
    <row r="537" spans="2:11" x14ac:dyDescent="0.25">
      <c r="B537" t="s">
        <v>200</v>
      </c>
      <c r="C537" t="s">
        <v>37</v>
      </c>
      <c r="D537" t="s">
        <v>38</v>
      </c>
      <c r="E537" t="s">
        <v>223</v>
      </c>
      <c r="F537" t="s">
        <v>426</v>
      </c>
      <c r="G537" s="7">
        <v>500</v>
      </c>
      <c r="H537" s="7">
        <v>385</v>
      </c>
      <c r="I537" s="7">
        <f t="shared" si="17"/>
        <v>115</v>
      </c>
      <c r="J537" t="s">
        <v>40</v>
      </c>
      <c r="K537" s="11">
        <v>14</v>
      </c>
    </row>
    <row r="538" spans="2:11" x14ac:dyDescent="0.25">
      <c r="B538" t="s">
        <v>200</v>
      </c>
      <c r="C538" t="s">
        <v>338</v>
      </c>
      <c r="D538" t="s">
        <v>38</v>
      </c>
      <c r="E538" t="s">
        <v>224</v>
      </c>
      <c r="F538" t="s">
        <v>424</v>
      </c>
      <c r="G538" s="7">
        <v>17400</v>
      </c>
      <c r="H538" s="7">
        <v>13398</v>
      </c>
      <c r="I538" s="7">
        <f t="shared" si="17"/>
        <v>4002</v>
      </c>
      <c r="J538" t="s">
        <v>40</v>
      </c>
      <c r="K538" s="11">
        <v>609</v>
      </c>
    </row>
    <row r="539" spans="2:11" x14ac:dyDescent="0.25">
      <c r="B539" t="s">
        <v>200</v>
      </c>
      <c r="C539" t="s">
        <v>37</v>
      </c>
      <c r="D539" t="s">
        <v>38</v>
      </c>
      <c r="E539" t="s">
        <v>224</v>
      </c>
      <c r="F539" t="s">
        <v>426</v>
      </c>
      <c r="G539" s="7">
        <v>14500</v>
      </c>
      <c r="H539" s="7">
        <v>11165</v>
      </c>
      <c r="I539" s="7">
        <f t="shared" si="17"/>
        <v>3335</v>
      </c>
      <c r="J539" t="s">
        <v>40</v>
      </c>
      <c r="K539" s="11">
        <v>507.5</v>
      </c>
    </row>
    <row r="540" spans="2:11" x14ac:dyDescent="0.25">
      <c r="B540" t="s">
        <v>200</v>
      </c>
      <c r="C540" t="s">
        <v>338</v>
      </c>
      <c r="D540" t="s">
        <v>38</v>
      </c>
      <c r="E540" t="s">
        <v>225</v>
      </c>
      <c r="F540" t="s">
        <v>424</v>
      </c>
      <c r="G540" s="7">
        <v>600</v>
      </c>
      <c r="H540" s="7">
        <v>462</v>
      </c>
      <c r="I540" s="7">
        <f t="shared" si="17"/>
        <v>138</v>
      </c>
      <c r="J540" t="s">
        <v>40</v>
      </c>
      <c r="K540" s="11">
        <v>17.5</v>
      </c>
    </row>
    <row r="541" spans="2:11" x14ac:dyDescent="0.25">
      <c r="B541" t="s">
        <v>200</v>
      </c>
      <c r="C541" t="s">
        <v>37</v>
      </c>
      <c r="D541" t="s">
        <v>38</v>
      </c>
      <c r="E541" t="s">
        <v>225</v>
      </c>
      <c r="F541" t="s">
        <v>426</v>
      </c>
      <c r="G541" s="7">
        <v>500</v>
      </c>
      <c r="H541" s="7">
        <v>385</v>
      </c>
      <c r="I541" s="7">
        <f t="shared" si="17"/>
        <v>115</v>
      </c>
      <c r="J541" t="s">
        <v>40</v>
      </c>
      <c r="K541" s="11">
        <v>14</v>
      </c>
    </row>
    <row r="542" spans="2:11" x14ac:dyDescent="0.25">
      <c r="B542" t="s">
        <v>200</v>
      </c>
      <c r="C542" t="s">
        <v>338</v>
      </c>
      <c r="D542" t="s">
        <v>38</v>
      </c>
      <c r="E542" t="s">
        <v>226</v>
      </c>
      <c r="F542" t="s">
        <v>424</v>
      </c>
      <c r="G542" s="7">
        <v>37200</v>
      </c>
      <c r="H542" s="7">
        <v>28644</v>
      </c>
      <c r="I542" s="7">
        <f t="shared" si="17"/>
        <v>8556</v>
      </c>
      <c r="J542" t="s">
        <v>40</v>
      </c>
      <c r="K542" s="11">
        <v>1302</v>
      </c>
    </row>
    <row r="543" spans="2:11" x14ac:dyDescent="0.25">
      <c r="B543" t="s">
        <v>200</v>
      </c>
      <c r="C543" t="s">
        <v>37</v>
      </c>
      <c r="D543" t="s">
        <v>38</v>
      </c>
      <c r="E543" t="s">
        <v>226</v>
      </c>
      <c r="F543" t="s">
        <v>426</v>
      </c>
      <c r="G543" s="7">
        <v>31000</v>
      </c>
      <c r="H543" s="7">
        <v>23870</v>
      </c>
      <c r="I543" s="7">
        <f t="shared" si="17"/>
        <v>7130</v>
      </c>
      <c r="J543" t="s">
        <v>40</v>
      </c>
      <c r="K543" s="11">
        <v>1085</v>
      </c>
    </row>
    <row r="544" spans="2:11" x14ac:dyDescent="0.25">
      <c r="B544" t="s">
        <v>200</v>
      </c>
      <c r="C544" t="s">
        <v>338</v>
      </c>
      <c r="D544" t="s">
        <v>38</v>
      </c>
      <c r="E544" t="s">
        <v>227</v>
      </c>
      <c r="F544" t="s">
        <v>424</v>
      </c>
      <c r="G544" s="7">
        <v>600</v>
      </c>
      <c r="H544" s="7">
        <v>462</v>
      </c>
      <c r="I544" s="7">
        <f t="shared" si="17"/>
        <v>138</v>
      </c>
      <c r="J544" t="s">
        <v>40</v>
      </c>
      <c r="K544" s="11">
        <v>17.5</v>
      </c>
    </row>
    <row r="545" spans="2:11" x14ac:dyDescent="0.25">
      <c r="B545" t="s">
        <v>200</v>
      </c>
      <c r="C545" t="s">
        <v>37</v>
      </c>
      <c r="D545" t="s">
        <v>38</v>
      </c>
      <c r="E545" t="s">
        <v>227</v>
      </c>
      <c r="F545" t="s">
        <v>426</v>
      </c>
      <c r="G545" s="7">
        <v>500</v>
      </c>
      <c r="H545" s="7">
        <v>385</v>
      </c>
      <c r="I545" s="7">
        <f t="shared" si="17"/>
        <v>115</v>
      </c>
      <c r="J545" t="s">
        <v>40</v>
      </c>
      <c r="K545" s="11">
        <v>14</v>
      </c>
    </row>
    <row r="546" spans="2:11" x14ac:dyDescent="0.25">
      <c r="B546" t="s">
        <v>200</v>
      </c>
      <c r="C546" t="s">
        <v>338</v>
      </c>
      <c r="D546" t="s">
        <v>38</v>
      </c>
      <c r="E546" t="s">
        <v>228</v>
      </c>
      <c r="F546" t="s">
        <v>424</v>
      </c>
      <c r="G546" s="7">
        <v>37200</v>
      </c>
      <c r="H546" s="7">
        <v>28644</v>
      </c>
      <c r="I546" s="7">
        <f t="shared" si="17"/>
        <v>8556</v>
      </c>
      <c r="J546" t="s">
        <v>40</v>
      </c>
      <c r="K546" s="11">
        <v>1302</v>
      </c>
    </row>
    <row r="547" spans="2:11" x14ac:dyDescent="0.25">
      <c r="B547" t="s">
        <v>200</v>
      </c>
      <c r="C547" t="s">
        <v>37</v>
      </c>
      <c r="D547" t="s">
        <v>38</v>
      </c>
      <c r="E547" t="s">
        <v>228</v>
      </c>
      <c r="F547" t="s">
        <v>426</v>
      </c>
      <c r="G547" s="7">
        <v>31000</v>
      </c>
      <c r="H547" s="7">
        <v>23870</v>
      </c>
      <c r="I547" s="7">
        <f t="shared" si="17"/>
        <v>7130</v>
      </c>
      <c r="J547" t="s">
        <v>40</v>
      </c>
      <c r="K547" s="11">
        <v>1085</v>
      </c>
    </row>
    <row r="548" spans="2:11" x14ac:dyDescent="0.25">
      <c r="B548" t="s">
        <v>200</v>
      </c>
      <c r="C548" t="s">
        <v>338</v>
      </c>
      <c r="D548" t="s">
        <v>38</v>
      </c>
      <c r="E548" t="s">
        <v>229</v>
      </c>
      <c r="F548" t="s">
        <v>424</v>
      </c>
      <c r="G548" s="7">
        <v>600</v>
      </c>
      <c r="H548" s="7">
        <v>462</v>
      </c>
      <c r="I548" s="7">
        <f t="shared" si="17"/>
        <v>138</v>
      </c>
      <c r="J548" t="s">
        <v>40</v>
      </c>
      <c r="K548" s="11">
        <v>17.5</v>
      </c>
    </row>
    <row r="549" spans="2:11" x14ac:dyDescent="0.25">
      <c r="B549" t="s">
        <v>200</v>
      </c>
      <c r="C549" t="s">
        <v>37</v>
      </c>
      <c r="D549" t="s">
        <v>38</v>
      </c>
      <c r="E549" t="s">
        <v>229</v>
      </c>
      <c r="F549" t="s">
        <v>426</v>
      </c>
      <c r="G549" s="7">
        <v>500</v>
      </c>
      <c r="H549" s="7">
        <v>385</v>
      </c>
      <c r="I549" s="7">
        <f t="shared" ref="I549:I604" si="18">G549-H549</f>
        <v>115</v>
      </c>
      <c r="J549" t="s">
        <v>40</v>
      </c>
      <c r="K549" s="11">
        <v>14</v>
      </c>
    </row>
    <row r="550" spans="2:11" x14ac:dyDescent="0.25">
      <c r="B550" t="s">
        <v>200</v>
      </c>
      <c r="C550" t="s">
        <v>338</v>
      </c>
      <c r="D550" t="s">
        <v>38</v>
      </c>
      <c r="E550" t="s">
        <v>230</v>
      </c>
      <c r="F550" t="s">
        <v>424</v>
      </c>
      <c r="G550" s="7">
        <v>37200</v>
      </c>
      <c r="H550" s="7">
        <v>28644</v>
      </c>
      <c r="I550" s="7">
        <f t="shared" si="18"/>
        <v>8556</v>
      </c>
      <c r="J550" t="s">
        <v>40</v>
      </c>
      <c r="K550" s="11">
        <v>1302</v>
      </c>
    </row>
    <row r="551" spans="2:11" x14ac:dyDescent="0.25">
      <c r="B551" t="s">
        <v>200</v>
      </c>
      <c r="C551" t="s">
        <v>37</v>
      </c>
      <c r="D551" t="s">
        <v>38</v>
      </c>
      <c r="E551" t="s">
        <v>230</v>
      </c>
      <c r="F551" t="s">
        <v>426</v>
      </c>
      <c r="G551" s="7">
        <v>31000</v>
      </c>
      <c r="H551" s="7">
        <v>23870</v>
      </c>
      <c r="I551" s="7">
        <f t="shared" si="18"/>
        <v>7130</v>
      </c>
      <c r="J551" t="s">
        <v>40</v>
      </c>
      <c r="K551" s="11">
        <v>1085</v>
      </c>
    </row>
    <row r="552" spans="2:11" x14ac:dyDescent="0.25">
      <c r="B552" t="s">
        <v>200</v>
      </c>
      <c r="C552" t="s">
        <v>338</v>
      </c>
      <c r="D552" t="s">
        <v>38</v>
      </c>
      <c r="E552" t="s">
        <v>219</v>
      </c>
      <c r="F552" t="s">
        <v>424</v>
      </c>
      <c r="G552" s="7">
        <v>600</v>
      </c>
      <c r="H552" s="7">
        <v>462</v>
      </c>
      <c r="I552" s="7">
        <f t="shared" si="18"/>
        <v>138</v>
      </c>
      <c r="J552" t="s">
        <v>40</v>
      </c>
      <c r="K552" s="11">
        <v>17.5</v>
      </c>
    </row>
    <row r="553" spans="2:11" x14ac:dyDescent="0.25">
      <c r="B553" t="s">
        <v>200</v>
      </c>
      <c r="C553" t="s">
        <v>37</v>
      </c>
      <c r="D553" t="s">
        <v>38</v>
      </c>
      <c r="E553" t="s">
        <v>219</v>
      </c>
      <c r="F553" t="s">
        <v>426</v>
      </c>
      <c r="G553" s="7">
        <v>500</v>
      </c>
      <c r="H553" s="7">
        <v>385</v>
      </c>
      <c r="I553" s="7">
        <f t="shared" si="18"/>
        <v>115</v>
      </c>
      <c r="J553" t="s">
        <v>40</v>
      </c>
      <c r="K553" s="11">
        <v>14</v>
      </c>
    </row>
    <row r="554" spans="2:11" x14ac:dyDescent="0.25">
      <c r="B554" t="s">
        <v>200</v>
      </c>
      <c r="C554" t="s">
        <v>338</v>
      </c>
      <c r="D554" t="s">
        <v>38</v>
      </c>
      <c r="E554" t="s">
        <v>231</v>
      </c>
      <c r="F554" t="s">
        <v>424</v>
      </c>
      <c r="G554" s="7">
        <v>37200</v>
      </c>
      <c r="H554" s="7">
        <v>28644</v>
      </c>
      <c r="I554" s="7">
        <f t="shared" si="18"/>
        <v>8556</v>
      </c>
      <c r="J554" t="s">
        <v>40</v>
      </c>
      <c r="K554" s="11">
        <v>1302</v>
      </c>
    </row>
    <row r="555" spans="2:11" x14ac:dyDescent="0.25">
      <c r="B555" t="s">
        <v>200</v>
      </c>
      <c r="C555" t="s">
        <v>37</v>
      </c>
      <c r="D555" t="s">
        <v>38</v>
      </c>
      <c r="E555" t="s">
        <v>231</v>
      </c>
      <c r="F555" t="s">
        <v>426</v>
      </c>
      <c r="G555" s="7">
        <v>31000</v>
      </c>
      <c r="H555" s="7">
        <v>23870</v>
      </c>
      <c r="I555" s="7">
        <f t="shared" si="18"/>
        <v>7130</v>
      </c>
      <c r="J555" t="s">
        <v>40</v>
      </c>
      <c r="K555" s="11">
        <v>1085</v>
      </c>
    </row>
    <row r="556" spans="2:11" x14ac:dyDescent="0.25">
      <c r="B556" t="s">
        <v>200</v>
      </c>
      <c r="C556" t="s">
        <v>338</v>
      </c>
      <c r="D556" t="s">
        <v>38</v>
      </c>
      <c r="E556" t="s">
        <v>232</v>
      </c>
      <c r="F556" t="s">
        <v>424</v>
      </c>
      <c r="G556" s="7">
        <v>600</v>
      </c>
      <c r="H556" s="7">
        <v>462</v>
      </c>
      <c r="I556" s="7">
        <f t="shared" si="18"/>
        <v>138</v>
      </c>
      <c r="J556" t="s">
        <v>40</v>
      </c>
      <c r="K556" s="11">
        <v>17.5</v>
      </c>
    </row>
    <row r="557" spans="2:11" x14ac:dyDescent="0.25">
      <c r="B557" t="s">
        <v>200</v>
      </c>
      <c r="C557" t="s">
        <v>37</v>
      </c>
      <c r="D557" t="s">
        <v>38</v>
      </c>
      <c r="E557" t="s">
        <v>232</v>
      </c>
      <c r="F557" t="s">
        <v>426</v>
      </c>
      <c r="G557" s="7">
        <v>500</v>
      </c>
      <c r="H557" s="7">
        <v>385</v>
      </c>
      <c r="I557" s="7">
        <f t="shared" si="18"/>
        <v>115</v>
      </c>
      <c r="J557" t="s">
        <v>40</v>
      </c>
      <c r="K557" s="11">
        <v>14</v>
      </c>
    </row>
    <row r="558" spans="2:11" x14ac:dyDescent="0.25">
      <c r="B558" t="s">
        <v>200</v>
      </c>
      <c r="C558" t="s">
        <v>338</v>
      </c>
      <c r="D558" t="s">
        <v>38</v>
      </c>
      <c r="E558" t="s">
        <v>233</v>
      </c>
      <c r="F558" t="s">
        <v>424</v>
      </c>
      <c r="G558" s="7">
        <v>37200</v>
      </c>
      <c r="H558" s="7">
        <v>28644</v>
      </c>
      <c r="I558" s="7">
        <f t="shared" si="18"/>
        <v>8556</v>
      </c>
      <c r="J558" t="s">
        <v>40</v>
      </c>
      <c r="K558" s="11">
        <v>1302</v>
      </c>
    </row>
    <row r="559" spans="2:11" x14ac:dyDescent="0.25">
      <c r="B559" t="s">
        <v>200</v>
      </c>
      <c r="C559" t="s">
        <v>37</v>
      </c>
      <c r="D559" t="s">
        <v>38</v>
      </c>
      <c r="E559" t="s">
        <v>233</v>
      </c>
      <c r="F559" t="s">
        <v>426</v>
      </c>
      <c r="G559" s="7">
        <v>31000</v>
      </c>
      <c r="H559" s="7">
        <v>23870</v>
      </c>
      <c r="I559" s="7">
        <f t="shared" si="18"/>
        <v>7130</v>
      </c>
      <c r="J559" t="s">
        <v>40</v>
      </c>
      <c r="K559" s="11">
        <v>1085</v>
      </c>
    </row>
    <row r="560" spans="2:11" x14ac:dyDescent="0.25">
      <c r="B560" t="s">
        <v>200</v>
      </c>
      <c r="C560" t="s">
        <v>338</v>
      </c>
      <c r="D560" t="s">
        <v>38</v>
      </c>
      <c r="E560" t="s">
        <v>234</v>
      </c>
      <c r="F560" t="s">
        <v>424</v>
      </c>
      <c r="G560" s="7">
        <v>600</v>
      </c>
      <c r="H560" s="7">
        <v>462</v>
      </c>
      <c r="I560" s="7">
        <f t="shared" si="18"/>
        <v>138</v>
      </c>
      <c r="J560" t="s">
        <v>40</v>
      </c>
      <c r="K560" s="11">
        <v>17.5</v>
      </c>
    </row>
    <row r="561" spans="1:11" x14ac:dyDescent="0.25">
      <c r="B561" t="s">
        <v>200</v>
      </c>
      <c r="C561" t="s">
        <v>37</v>
      </c>
      <c r="D561" t="s">
        <v>38</v>
      </c>
      <c r="E561" t="s">
        <v>234</v>
      </c>
      <c r="F561" t="s">
        <v>426</v>
      </c>
      <c r="G561" s="7">
        <v>500</v>
      </c>
      <c r="H561" s="7">
        <v>385</v>
      </c>
      <c r="I561" s="7">
        <f t="shared" si="18"/>
        <v>115</v>
      </c>
      <c r="J561" t="s">
        <v>40</v>
      </c>
      <c r="K561" s="11">
        <v>14</v>
      </c>
    </row>
    <row r="562" spans="1:11" x14ac:dyDescent="0.25">
      <c r="B562" t="s">
        <v>200</v>
      </c>
      <c r="C562" t="s">
        <v>338</v>
      </c>
      <c r="D562" t="s">
        <v>38</v>
      </c>
      <c r="E562" t="s">
        <v>235</v>
      </c>
      <c r="F562" t="s">
        <v>424</v>
      </c>
      <c r="G562" s="7">
        <v>37200</v>
      </c>
      <c r="H562" s="7">
        <v>28644</v>
      </c>
      <c r="I562" s="7">
        <f t="shared" si="18"/>
        <v>8556</v>
      </c>
      <c r="J562" t="s">
        <v>40</v>
      </c>
      <c r="K562" s="11">
        <v>1302</v>
      </c>
    </row>
    <row r="563" spans="1:11" x14ac:dyDescent="0.25">
      <c r="B563" t="s">
        <v>200</v>
      </c>
      <c r="C563" t="s">
        <v>37</v>
      </c>
      <c r="D563" t="s">
        <v>38</v>
      </c>
      <c r="E563" t="s">
        <v>235</v>
      </c>
      <c r="F563" t="s">
        <v>426</v>
      </c>
      <c r="G563" s="7">
        <v>31000</v>
      </c>
      <c r="H563" s="7">
        <v>23870</v>
      </c>
      <c r="I563" s="7">
        <f t="shared" si="18"/>
        <v>7130</v>
      </c>
      <c r="J563" t="s">
        <v>40</v>
      </c>
      <c r="K563" s="11">
        <v>1085</v>
      </c>
    </row>
    <row r="564" spans="1:11" x14ac:dyDescent="0.25">
      <c r="B564" t="s">
        <v>200</v>
      </c>
      <c r="C564" t="s">
        <v>338</v>
      </c>
      <c r="D564" t="s">
        <v>38</v>
      </c>
      <c r="E564" t="s">
        <v>236</v>
      </c>
      <c r="F564" t="s">
        <v>424</v>
      </c>
      <c r="G564" s="7">
        <v>600</v>
      </c>
      <c r="H564" s="7">
        <v>462</v>
      </c>
      <c r="I564" s="7">
        <f t="shared" si="18"/>
        <v>138</v>
      </c>
      <c r="J564" t="s">
        <v>40</v>
      </c>
      <c r="K564" s="11">
        <v>17.5</v>
      </c>
    </row>
    <row r="565" spans="1:11" x14ac:dyDescent="0.25">
      <c r="B565" t="s">
        <v>200</v>
      </c>
      <c r="C565" t="s">
        <v>37</v>
      </c>
      <c r="D565" t="s">
        <v>38</v>
      </c>
      <c r="E565" t="s">
        <v>236</v>
      </c>
      <c r="F565" t="s">
        <v>426</v>
      </c>
      <c r="G565" s="7">
        <v>500</v>
      </c>
      <c r="H565" s="7">
        <v>385</v>
      </c>
      <c r="I565" s="7">
        <f t="shared" si="18"/>
        <v>115</v>
      </c>
      <c r="J565" t="s">
        <v>40</v>
      </c>
      <c r="K565" s="11">
        <v>14</v>
      </c>
    </row>
    <row r="566" spans="1:11" x14ac:dyDescent="0.25">
      <c r="B566" t="s">
        <v>237</v>
      </c>
      <c r="C566" t="s">
        <v>338</v>
      </c>
      <c r="D566" t="s">
        <v>38</v>
      </c>
      <c r="E566" t="s">
        <v>1354</v>
      </c>
      <c r="F566" t="s">
        <v>424</v>
      </c>
      <c r="G566" s="7">
        <v>360</v>
      </c>
      <c r="H566" s="7">
        <v>277.2</v>
      </c>
      <c r="I566" s="7">
        <f t="shared" si="18"/>
        <v>82.800000000000011</v>
      </c>
      <c r="J566" t="s">
        <v>40</v>
      </c>
      <c r="K566" s="11">
        <v>12.6</v>
      </c>
    </row>
    <row r="567" spans="1:11" x14ac:dyDescent="0.25">
      <c r="B567" t="s">
        <v>237</v>
      </c>
      <c r="C567" t="s">
        <v>37</v>
      </c>
      <c r="D567" t="s">
        <v>38</v>
      </c>
      <c r="E567" t="s">
        <v>1354</v>
      </c>
      <c r="F567" t="s">
        <v>426</v>
      </c>
      <c r="G567" s="7">
        <v>300</v>
      </c>
      <c r="H567" s="7">
        <v>231</v>
      </c>
      <c r="I567" s="7">
        <f t="shared" si="18"/>
        <v>69</v>
      </c>
      <c r="J567" t="s">
        <v>40</v>
      </c>
      <c r="K567" s="11">
        <v>10.5</v>
      </c>
    </row>
    <row r="568" spans="1:11" x14ac:dyDescent="0.25">
      <c r="K568" s="11"/>
    </row>
    <row r="569" spans="1:11" x14ac:dyDescent="0.25">
      <c r="A569" t="s">
        <v>385</v>
      </c>
      <c r="E569" s="8" t="s">
        <v>386</v>
      </c>
      <c r="F569" s="8"/>
      <c r="K569" s="11"/>
    </row>
    <row r="570" spans="1:11" x14ac:dyDescent="0.25">
      <c r="B570" t="s">
        <v>238</v>
      </c>
      <c r="C570" t="s">
        <v>338</v>
      </c>
      <c r="D570" t="s">
        <v>38</v>
      </c>
      <c r="E570" t="s">
        <v>239</v>
      </c>
      <c r="F570" t="s">
        <v>424</v>
      </c>
      <c r="G570" s="7">
        <v>48</v>
      </c>
      <c r="H570" s="7">
        <v>36.96</v>
      </c>
      <c r="I570" s="7">
        <f t="shared" si="18"/>
        <v>11.04</v>
      </c>
      <c r="J570" t="s">
        <v>40</v>
      </c>
      <c r="K570" s="11">
        <v>1.68</v>
      </c>
    </row>
    <row r="571" spans="1:11" x14ac:dyDescent="0.25">
      <c r="B571" t="s">
        <v>238</v>
      </c>
      <c r="C571" t="s">
        <v>37</v>
      </c>
      <c r="D571" t="s">
        <v>38</v>
      </c>
      <c r="E571" t="s">
        <v>239</v>
      </c>
      <c r="F571" t="s">
        <v>426</v>
      </c>
      <c r="G571" s="7">
        <v>40</v>
      </c>
      <c r="H571" s="7">
        <v>30.8</v>
      </c>
      <c r="I571" s="7">
        <f t="shared" si="18"/>
        <v>9.1999999999999993</v>
      </c>
      <c r="J571" t="s">
        <v>40</v>
      </c>
      <c r="K571" s="11">
        <v>1.4</v>
      </c>
    </row>
    <row r="572" spans="1:11" x14ac:dyDescent="0.25">
      <c r="B572" t="s">
        <v>238</v>
      </c>
      <c r="C572" t="s">
        <v>338</v>
      </c>
      <c r="D572" t="s">
        <v>38</v>
      </c>
      <c r="E572" t="s">
        <v>239</v>
      </c>
      <c r="F572" t="s">
        <v>424</v>
      </c>
      <c r="G572" s="7">
        <v>48</v>
      </c>
      <c r="H572" s="7">
        <v>36.96</v>
      </c>
      <c r="I572" s="7">
        <f t="shared" si="18"/>
        <v>11.04</v>
      </c>
      <c r="J572" t="s">
        <v>40</v>
      </c>
      <c r="K572" s="11">
        <v>1.68</v>
      </c>
    </row>
    <row r="573" spans="1:11" x14ac:dyDescent="0.25">
      <c r="B573" t="s">
        <v>851</v>
      </c>
      <c r="C573" t="s">
        <v>338</v>
      </c>
      <c r="D573" t="s">
        <v>342</v>
      </c>
      <c r="E573" t="s">
        <v>850</v>
      </c>
      <c r="F573" t="s">
        <v>425</v>
      </c>
      <c r="G573" s="7">
        <v>0</v>
      </c>
      <c r="H573" s="7">
        <v>0</v>
      </c>
      <c r="I573" s="7">
        <f t="shared" si="18"/>
        <v>0</v>
      </c>
      <c r="J573" t="s">
        <v>40</v>
      </c>
      <c r="K573" s="11"/>
    </row>
    <row r="574" spans="1:11" x14ac:dyDescent="0.25">
      <c r="B574" t="s">
        <v>851</v>
      </c>
      <c r="C574" t="s">
        <v>338</v>
      </c>
      <c r="D574" t="s">
        <v>38</v>
      </c>
      <c r="E574" t="s">
        <v>850</v>
      </c>
      <c r="F574" t="s">
        <v>424</v>
      </c>
      <c r="G574" s="7">
        <v>30</v>
      </c>
      <c r="H574" s="7">
        <v>23.1</v>
      </c>
      <c r="I574" s="7">
        <f t="shared" si="18"/>
        <v>6.8999999999999986</v>
      </c>
      <c r="J574" t="s">
        <v>40</v>
      </c>
      <c r="K574" s="11"/>
    </row>
    <row r="575" spans="1:11" x14ac:dyDescent="0.25">
      <c r="B575" t="s">
        <v>851</v>
      </c>
      <c r="C575" t="s">
        <v>37</v>
      </c>
      <c r="D575" t="s">
        <v>38</v>
      </c>
      <c r="E575" t="s">
        <v>850</v>
      </c>
      <c r="F575" t="s">
        <v>426</v>
      </c>
      <c r="G575" s="7">
        <v>3</v>
      </c>
      <c r="H575" s="7">
        <v>2.2999999999999998</v>
      </c>
      <c r="I575" s="7">
        <f t="shared" si="18"/>
        <v>0.70000000000000018</v>
      </c>
      <c r="J575" t="s">
        <v>40</v>
      </c>
      <c r="K575" s="11"/>
    </row>
    <row r="576" spans="1:11" x14ac:dyDescent="0.25">
      <c r="B576" t="s">
        <v>240</v>
      </c>
      <c r="C576" t="s">
        <v>338</v>
      </c>
      <c r="D576" t="s">
        <v>38</v>
      </c>
      <c r="E576" t="s">
        <v>241</v>
      </c>
      <c r="F576" t="s">
        <v>424</v>
      </c>
      <c r="G576" s="7">
        <v>2.4</v>
      </c>
      <c r="H576" s="7">
        <v>1.98</v>
      </c>
      <c r="I576" s="7">
        <f t="shared" si="18"/>
        <v>0.41999999999999993</v>
      </c>
      <c r="J576" t="s">
        <v>40</v>
      </c>
      <c r="K576" s="11">
        <v>0.08</v>
      </c>
    </row>
    <row r="577" spans="1:11" x14ac:dyDescent="0.25">
      <c r="B577" t="s">
        <v>240</v>
      </c>
      <c r="C577" t="s">
        <v>37</v>
      </c>
      <c r="D577" t="s">
        <v>38</v>
      </c>
      <c r="E577" t="s">
        <v>241</v>
      </c>
      <c r="F577" t="s">
        <v>426</v>
      </c>
      <c r="G577" s="7">
        <v>2</v>
      </c>
      <c r="H577" s="7">
        <v>1.65</v>
      </c>
      <c r="I577" s="7">
        <f t="shared" si="18"/>
        <v>0.35000000000000009</v>
      </c>
      <c r="J577" t="s">
        <v>40</v>
      </c>
      <c r="K577" s="11">
        <v>7.0000000000000007E-2</v>
      </c>
    </row>
    <row r="578" spans="1:11" x14ac:dyDescent="0.25">
      <c r="A578" t="s">
        <v>289</v>
      </c>
      <c r="B578" t="s">
        <v>242</v>
      </c>
      <c r="C578" t="s">
        <v>373</v>
      </c>
      <c r="D578" t="s">
        <v>38</v>
      </c>
      <c r="E578" t="s">
        <v>243</v>
      </c>
      <c r="F578" t="s">
        <v>427</v>
      </c>
      <c r="G578" s="7">
        <v>1350</v>
      </c>
      <c r="H578" s="7">
        <v>1039.5</v>
      </c>
      <c r="I578" s="7">
        <f t="shared" si="18"/>
        <v>310.5</v>
      </c>
      <c r="J578" t="s">
        <v>40</v>
      </c>
      <c r="K578" s="11">
        <v>47.25</v>
      </c>
    </row>
    <row r="579" spans="1:11" x14ac:dyDescent="0.25">
      <c r="B579" t="s">
        <v>242</v>
      </c>
      <c r="C579" t="s">
        <v>338</v>
      </c>
      <c r="D579" t="s">
        <v>38</v>
      </c>
      <c r="E579" t="s">
        <v>243</v>
      </c>
      <c r="F579" t="s">
        <v>424</v>
      </c>
      <c r="G579" s="7">
        <v>1620</v>
      </c>
      <c r="H579" s="7">
        <v>1247.4000000000001</v>
      </c>
      <c r="I579" s="7">
        <f t="shared" si="18"/>
        <v>372.59999999999991</v>
      </c>
      <c r="J579" t="s">
        <v>40</v>
      </c>
      <c r="K579" s="11">
        <v>56.7</v>
      </c>
    </row>
    <row r="580" spans="1:11" x14ac:dyDescent="0.25">
      <c r="B580" t="s">
        <v>242</v>
      </c>
      <c r="C580" t="s">
        <v>37</v>
      </c>
      <c r="D580" t="s">
        <v>38</v>
      </c>
      <c r="E580" t="s">
        <v>243</v>
      </c>
      <c r="F580" t="s">
        <v>426</v>
      </c>
      <c r="G580" s="7">
        <v>1350</v>
      </c>
      <c r="H580" s="7">
        <v>1039.5</v>
      </c>
      <c r="I580" s="7">
        <f t="shared" si="18"/>
        <v>310.5</v>
      </c>
      <c r="J580" t="s">
        <v>40</v>
      </c>
      <c r="K580" s="11">
        <v>47.25</v>
      </c>
    </row>
    <row r="581" spans="1:11" x14ac:dyDescent="0.25">
      <c r="B581" t="s">
        <v>244</v>
      </c>
      <c r="C581" t="s">
        <v>338</v>
      </c>
      <c r="D581" t="s">
        <v>38</v>
      </c>
      <c r="E581" t="s">
        <v>245</v>
      </c>
      <c r="F581" t="s">
        <v>424</v>
      </c>
      <c r="G581" s="7">
        <v>6</v>
      </c>
      <c r="H581" s="7">
        <v>4.62</v>
      </c>
      <c r="I581" s="7">
        <f t="shared" si="18"/>
        <v>1.38</v>
      </c>
      <c r="J581" t="s">
        <v>40</v>
      </c>
      <c r="K581" s="11">
        <v>829.5</v>
      </c>
    </row>
    <row r="582" spans="1:11" x14ac:dyDescent="0.25">
      <c r="B582" t="s">
        <v>244</v>
      </c>
      <c r="C582" t="s">
        <v>37</v>
      </c>
      <c r="D582" t="s">
        <v>38</v>
      </c>
      <c r="E582" t="s">
        <v>245</v>
      </c>
      <c r="F582" t="s">
        <v>426</v>
      </c>
      <c r="G582" s="7">
        <v>5</v>
      </c>
      <c r="H582" s="7">
        <v>3.85</v>
      </c>
      <c r="I582" s="7">
        <f t="shared" si="18"/>
        <v>1.1499999999999999</v>
      </c>
      <c r="J582" t="s">
        <v>40</v>
      </c>
      <c r="K582" s="11">
        <v>1701</v>
      </c>
    </row>
    <row r="583" spans="1:11" x14ac:dyDescent="0.25">
      <c r="B583" t="s">
        <v>246</v>
      </c>
      <c r="C583" t="s">
        <v>338</v>
      </c>
      <c r="D583" t="s">
        <v>38</v>
      </c>
      <c r="E583" t="s">
        <v>247</v>
      </c>
      <c r="F583" t="s">
        <v>424</v>
      </c>
      <c r="G583" s="7">
        <v>1.2</v>
      </c>
      <c r="H583" s="7">
        <v>0.92399999999999993</v>
      </c>
      <c r="I583" s="7">
        <f t="shared" si="18"/>
        <v>0.27600000000000002</v>
      </c>
      <c r="J583" t="s">
        <v>40</v>
      </c>
      <c r="K583" s="11">
        <v>829.5</v>
      </c>
    </row>
    <row r="584" spans="1:11" x14ac:dyDescent="0.25">
      <c r="B584" t="s">
        <v>246</v>
      </c>
      <c r="C584" t="s">
        <v>37</v>
      </c>
      <c r="D584" t="s">
        <v>38</v>
      </c>
      <c r="E584" t="s">
        <v>247</v>
      </c>
      <c r="F584" t="s">
        <v>426</v>
      </c>
      <c r="G584" s="7">
        <v>1</v>
      </c>
      <c r="H584" s="7">
        <v>0.77</v>
      </c>
      <c r="I584" s="7">
        <f t="shared" si="18"/>
        <v>0.22999999999999998</v>
      </c>
      <c r="J584" t="s">
        <v>40</v>
      </c>
      <c r="K584" s="11">
        <v>276.5</v>
      </c>
    </row>
    <row r="585" spans="1:11" x14ac:dyDescent="0.25">
      <c r="B585" t="s">
        <v>248</v>
      </c>
      <c r="C585" t="s">
        <v>373</v>
      </c>
      <c r="D585" t="s">
        <v>38</v>
      </c>
      <c r="E585" t="s">
        <v>249</v>
      </c>
      <c r="F585" t="s">
        <v>427</v>
      </c>
      <c r="G585" s="7">
        <v>4050</v>
      </c>
      <c r="H585" s="7">
        <v>3118.5</v>
      </c>
      <c r="I585" s="7">
        <f t="shared" si="18"/>
        <v>931.5</v>
      </c>
      <c r="J585" t="s">
        <v>40</v>
      </c>
      <c r="K585" s="11">
        <v>331.8</v>
      </c>
    </row>
    <row r="586" spans="1:11" x14ac:dyDescent="0.25">
      <c r="B586" t="s">
        <v>251</v>
      </c>
      <c r="C586" t="s">
        <v>338</v>
      </c>
      <c r="D586" t="s">
        <v>38</v>
      </c>
      <c r="E586" t="s">
        <v>249</v>
      </c>
      <c r="F586" t="s">
        <v>424</v>
      </c>
      <c r="G586" s="7">
        <v>4860</v>
      </c>
      <c r="H586" s="7">
        <v>3742.2</v>
      </c>
      <c r="I586" s="7">
        <f t="shared" si="18"/>
        <v>1117.8000000000002</v>
      </c>
      <c r="J586" t="s">
        <v>40</v>
      </c>
      <c r="K586" s="11">
        <v>276.5</v>
      </c>
    </row>
    <row r="587" spans="1:11" x14ac:dyDescent="0.25">
      <c r="B587" t="s">
        <v>248</v>
      </c>
      <c r="C587" t="s">
        <v>37</v>
      </c>
      <c r="D587" t="s">
        <v>38</v>
      </c>
      <c r="E587" t="s">
        <v>249</v>
      </c>
      <c r="F587" t="s">
        <v>426</v>
      </c>
      <c r="G587" s="7">
        <v>4050</v>
      </c>
      <c r="H587" s="7">
        <v>3118.5</v>
      </c>
      <c r="I587" s="7">
        <f t="shared" si="18"/>
        <v>931.5</v>
      </c>
      <c r="J587" t="s">
        <v>40</v>
      </c>
      <c r="K587" s="11">
        <v>420</v>
      </c>
    </row>
    <row r="588" spans="1:11" x14ac:dyDescent="0.25">
      <c r="B588" t="s">
        <v>736</v>
      </c>
      <c r="C588" t="s">
        <v>373</v>
      </c>
      <c r="D588" t="s">
        <v>38</v>
      </c>
      <c r="E588" t="s">
        <v>250</v>
      </c>
      <c r="F588" t="s">
        <v>427</v>
      </c>
      <c r="G588" s="7">
        <v>7900</v>
      </c>
      <c r="H588" s="7">
        <v>6083</v>
      </c>
      <c r="I588" s="7">
        <f t="shared" si="18"/>
        <v>1817</v>
      </c>
      <c r="J588" t="s">
        <v>40</v>
      </c>
      <c r="K588" s="11">
        <v>504</v>
      </c>
    </row>
    <row r="589" spans="1:11" x14ac:dyDescent="0.25">
      <c r="B589" t="s">
        <v>736</v>
      </c>
      <c r="C589" t="s">
        <v>338</v>
      </c>
      <c r="D589" t="s">
        <v>38</v>
      </c>
      <c r="E589" t="s">
        <v>250</v>
      </c>
      <c r="F589" t="s">
        <v>424</v>
      </c>
      <c r="G589" s="7">
        <v>9480</v>
      </c>
      <c r="H589" s="7">
        <v>7299.6</v>
      </c>
      <c r="I589" s="7">
        <f t="shared" si="18"/>
        <v>2180.3999999999996</v>
      </c>
      <c r="J589" t="s">
        <v>40</v>
      </c>
      <c r="K589" s="11">
        <v>420</v>
      </c>
    </row>
    <row r="590" spans="1:11" x14ac:dyDescent="0.25">
      <c r="B590" t="s">
        <v>736</v>
      </c>
      <c r="C590" t="s">
        <v>37</v>
      </c>
      <c r="D590" t="s">
        <v>38</v>
      </c>
      <c r="E590" t="s">
        <v>250</v>
      </c>
      <c r="F590" t="s">
        <v>426</v>
      </c>
      <c r="G590" s="7">
        <v>7900</v>
      </c>
      <c r="H590" s="7">
        <v>6083</v>
      </c>
      <c r="I590" s="7">
        <f t="shared" si="18"/>
        <v>1817</v>
      </c>
      <c r="J590" t="s">
        <v>40</v>
      </c>
      <c r="K590" s="11">
        <v>0.54</v>
      </c>
    </row>
    <row r="591" spans="1:11" x14ac:dyDescent="0.25">
      <c r="B591" t="s">
        <v>251</v>
      </c>
      <c r="C591" t="s">
        <v>373</v>
      </c>
      <c r="D591" t="s">
        <v>38</v>
      </c>
      <c r="E591" t="s">
        <v>252</v>
      </c>
      <c r="F591" t="s">
        <v>427</v>
      </c>
      <c r="G591" s="7">
        <v>12000</v>
      </c>
      <c r="H591" s="7">
        <v>9240</v>
      </c>
      <c r="I591" s="7">
        <f t="shared" si="18"/>
        <v>2760</v>
      </c>
      <c r="J591" t="s">
        <v>40</v>
      </c>
      <c r="K591" s="11">
        <v>0.45</v>
      </c>
    </row>
    <row r="592" spans="1:11" x14ac:dyDescent="0.25">
      <c r="B592" t="s">
        <v>251</v>
      </c>
      <c r="C592" t="s">
        <v>338</v>
      </c>
      <c r="D592" t="s">
        <v>38</v>
      </c>
      <c r="E592" t="s">
        <v>252</v>
      </c>
      <c r="F592" t="s">
        <v>424</v>
      </c>
      <c r="G592" s="7">
        <v>14400</v>
      </c>
      <c r="H592" s="7">
        <v>11088</v>
      </c>
      <c r="I592" s="7">
        <f t="shared" si="18"/>
        <v>3312</v>
      </c>
      <c r="J592" t="s">
        <v>40</v>
      </c>
      <c r="K592" s="11"/>
    </row>
    <row r="593" spans="1:11" x14ac:dyDescent="0.25">
      <c r="B593" t="s">
        <v>251</v>
      </c>
      <c r="C593" t="s">
        <v>37</v>
      </c>
      <c r="D593" t="s">
        <v>38</v>
      </c>
      <c r="E593" t="s">
        <v>252</v>
      </c>
      <c r="F593" t="s">
        <v>426</v>
      </c>
      <c r="G593" s="7">
        <v>12000</v>
      </c>
      <c r="H593" s="7">
        <v>9240</v>
      </c>
      <c r="I593" s="7">
        <f t="shared" si="18"/>
        <v>2760</v>
      </c>
      <c r="J593" t="s">
        <v>40</v>
      </c>
      <c r="K593" s="11"/>
    </row>
    <row r="594" spans="1:11" x14ac:dyDescent="0.25">
      <c r="B594" t="s">
        <v>253</v>
      </c>
      <c r="C594" t="s">
        <v>338</v>
      </c>
      <c r="D594" t="s">
        <v>38</v>
      </c>
      <c r="E594" t="s">
        <v>254</v>
      </c>
      <c r="F594" t="s">
        <v>424</v>
      </c>
      <c r="G594" s="7">
        <v>10.8</v>
      </c>
      <c r="H594" s="7">
        <v>10.8</v>
      </c>
      <c r="I594" s="7">
        <f t="shared" si="18"/>
        <v>0</v>
      </c>
      <c r="J594" t="s">
        <v>40</v>
      </c>
      <c r="K594" s="11"/>
    </row>
    <row r="595" spans="1:11" x14ac:dyDescent="0.25">
      <c r="B595" t="s">
        <v>253</v>
      </c>
      <c r="C595" t="s">
        <v>37</v>
      </c>
      <c r="D595" t="s">
        <v>38</v>
      </c>
      <c r="E595" t="s">
        <v>254</v>
      </c>
      <c r="F595" t="s">
        <v>426</v>
      </c>
      <c r="G595" s="7">
        <v>9</v>
      </c>
      <c r="H595" s="7">
        <v>9</v>
      </c>
      <c r="I595" s="7">
        <f t="shared" si="18"/>
        <v>0</v>
      </c>
      <c r="J595" t="s">
        <v>40</v>
      </c>
      <c r="K595" s="11"/>
    </row>
    <row r="596" spans="1:11" x14ac:dyDescent="0.25">
      <c r="K596" s="11"/>
    </row>
    <row r="597" spans="1:11" x14ac:dyDescent="0.25">
      <c r="A597" t="s">
        <v>387</v>
      </c>
      <c r="E597" s="8" t="s">
        <v>388</v>
      </c>
      <c r="F597" s="8"/>
      <c r="K597" s="11"/>
    </row>
    <row r="598" spans="1:11" x14ac:dyDescent="0.25">
      <c r="A598" t="s">
        <v>389</v>
      </c>
      <c r="B598" t="s">
        <v>255</v>
      </c>
      <c r="C598" t="s">
        <v>373</v>
      </c>
      <c r="D598" t="s">
        <v>38</v>
      </c>
      <c r="E598" t="s">
        <v>256</v>
      </c>
      <c r="F598" t="s">
        <v>427</v>
      </c>
      <c r="G598" s="7">
        <v>95</v>
      </c>
      <c r="H598" s="7">
        <v>78.375</v>
      </c>
      <c r="I598" s="7">
        <f t="shared" si="18"/>
        <v>16.625</v>
      </c>
      <c r="J598" t="s">
        <v>40</v>
      </c>
      <c r="K598" s="11">
        <v>3.56</v>
      </c>
    </row>
    <row r="599" spans="1:11" x14ac:dyDescent="0.25">
      <c r="B599" t="s">
        <v>255</v>
      </c>
      <c r="C599" t="s">
        <v>338</v>
      </c>
      <c r="D599" t="s">
        <v>38</v>
      </c>
      <c r="E599" t="s">
        <v>256</v>
      </c>
      <c r="F599" t="s">
        <v>424</v>
      </c>
      <c r="G599" s="7">
        <v>114</v>
      </c>
      <c r="H599" s="7">
        <v>94.05</v>
      </c>
      <c r="I599" s="7">
        <f t="shared" si="18"/>
        <v>19.950000000000003</v>
      </c>
      <c r="J599" t="s">
        <v>40</v>
      </c>
      <c r="K599" s="11">
        <v>4.28</v>
      </c>
    </row>
    <row r="600" spans="1:11" x14ac:dyDescent="0.25">
      <c r="B600" t="s">
        <v>255</v>
      </c>
      <c r="C600" t="s">
        <v>37</v>
      </c>
      <c r="D600" t="s">
        <v>38</v>
      </c>
      <c r="E600" t="s">
        <v>256</v>
      </c>
      <c r="F600" t="s">
        <v>426</v>
      </c>
      <c r="G600" s="7">
        <v>95</v>
      </c>
      <c r="H600" s="7">
        <v>78.375</v>
      </c>
      <c r="I600" s="7">
        <f t="shared" si="18"/>
        <v>16.625</v>
      </c>
      <c r="J600" t="s">
        <v>40</v>
      </c>
      <c r="K600" s="11">
        <v>3.56</v>
      </c>
    </row>
    <row r="601" spans="1:11" x14ac:dyDescent="0.25">
      <c r="A601" t="s">
        <v>390</v>
      </c>
      <c r="B601" t="s">
        <v>255</v>
      </c>
      <c r="C601" t="s">
        <v>373</v>
      </c>
      <c r="D601" t="s">
        <v>38</v>
      </c>
      <c r="E601" t="s">
        <v>257</v>
      </c>
      <c r="F601" t="s">
        <v>427</v>
      </c>
      <c r="G601" s="7">
        <v>145</v>
      </c>
      <c r="H601" s="7">
        <v>119.625</v>
      </c>
      <c r="I601" s="7">
        <f t="shared" si="18"/>
        <v>25.375</v>
      </c>
      <c r="J601" t="s">
        <v>40</v>
      </c>
      <c r="K601" s="11">
        <v>5.44</v>
      </c>
    </row>
    <row r="602" spans="1:11" x14ac:dyDescent="0.25">
      <c r="B602" t="s">
        <v>255</v>
      </c>
      <c r="C602" t="s">
        <v>338</v>
      </c>
      <c r="D602" t="s">
        <v>38</v>
      </c>
      <c r="E602" t="s">
        <v>257</v>
      </c>
      <c r="F602" t="s">
        <v>424</v>
      </c>
      <c r="G602" s="7">
        <v>174</v>
      </c>
      <c r="H602" s="7">
        <v>143.55000000000001</v>
      </c>
      <c r="I602" s="7">
        <f t="shared" si="18"/>
        <v>30.449999999999989</v>
      </c>
      <c r="J602" t="s">
        <v>40</v>
      </c>
      <c r="K602" s="11">
        <v>6.53</v>
      </c>
    </row>
    <row r="603" spans="1:11" x14ac:dyDescent="0.25">
      <c r="B603" t="s">
        <v>255</v>
      </c>
      <c r="C603" t="s">
        <v>37</v>
      </c>
      <c r="D603" t="s">
        <v>38</v>
      </c>
      <c r="E603" t="s">
        <v>257</v>
      </c>
      <c r="F603" t="s">
        <v>426</v>
      </c>
      <c r="G603" s="7">
        <v>145</v>
      </c>
      <c r="H603" s="7">
        <v>119.625</v>
      </c>
      <c r="I603" s="7">
        <f t="shared" si="18"/>
        <v>25.375</v>
      </c>
      <c r="J603" t="s">
        <v>40</v>
      </c>
      <c r="K603" s="11">
        <v>5.44</v>
      </c>
    </row>
    <row r="604" spans="1:11" x14ac:dyDescent="0.25">
      <c r="B604" t="s">
        <v>258</v>
      </c>
      <c r="C604" t="s">
        <v>338</v>
      </c>
      <c r="D604" t="s">
        <v>38</v>
      </c>
      <c r="E604" t="s">
        <v>259</v>
      </c>
      <c r="F604" t="s">
        <v>424</v>
      </c>
      <c r="G604" s="7">
        <v>60</v>
      </c>
      <c r="H604" s="7">
        <v>49.5</v>
      </c>
      <c r="I604" s="7">
        <f t="shared" si="18"/>
        <v>10.5</v>
      </c>
      <c r="J604" t="s">
        <v>40</v>
      </c>
      <c r="K604" s="11">
        <v>2.25</v>
      </c>
    </row>
    <row r="605" spans="1:11" x14ac:dyDescent="0.25">
      <c r="B605" t="s">
        <v>258</v>
      </c>
      <c r="C605" t="s">
        <v>37</v>
      </c>
      <c r="D605" t="s">
        <v>38</v>
      </c>
      <c r="E605" t="s">
        <v>259</v>
      </c>
      <c r="F605" t="s">
        <v>426</v>
      </c>
      <c r="G605" s="7">
        <v>50</v>
      </c>
      <c r="H605" s="7">
        <v>41.25</v>
      </c>
      <c r="I605" s="7">
        <f t="shared" ref="I605:I652" si="19">G605-H605</f>
        <v>8.75</v>
      </c>
      <c r="J605" t="s">
        <v>40</v>
      </c>
      <c r="K605" s="11">
        <v>1.88</v>
      </c>
    </row>
    <row r="606" spans="1:11" x14ac:dyDescent="0.25">
      <c r="A606" t="s">
        <v>391</v>
      </c>
      <c r="B606" t="s">
        <v>260</v>
      </c>
      <c r="C606" t="s">
        <v>373</v>
      </c>
      <c r="D606" t="s">
        <v>38</v>
      </c>
      <c r="E606" t="s">
        <v>261</v>
      </c>
      <c r="F606" t="s">
        <v>427</v>
      </c>
      <c r="G606" s="7">
        <v>65</v>
      </c>
      <c r="H606" s="7">
        <v>53.625</v>
      </c>
      <c r="I606" s="7">
        <f t="shared" si="19"/>
        <v>11.375</v>
      </c>
      <c r="J606" t="s">
        <v>40</v>
      </c>
      <c r="K606" s="11">
        <v>2.44</v>
      </c>
    </row>
    <row r="607" spans="1:11" x14ac:dyDescent="0.25">
      <c r="B607" t="s">
        <v>260</v>
      </c>
      <c r="C607" t="s">
        <v>338</v>
      </c>
      <c r="D607" t="s">
        <v>38</v>
      </c>
      <c r="E607" t="s">
        <v>261</v>
      </c>
      <c r="F607" t="s">
        <v>424</v>
      </c>
      <c r="G607" s="7">
        <v>78</v>
      </c>
      <c r="H607" s="7">
        <v>64.349999999999994</v>
      </c>
      <c r="I607" s="7">
        <f t="shared" si="19"/>
        <v>13.650000000000006</v>
      </c>
      <c r="J607" t="s">
        <v>40</v>
      </c>
      <c r="K607" s="11">
        <v>2.93</v>
      </c>
    </row>
    <row r="608" spans="1:11" x14ac:dyDescent="0.25">
      <c r="B608" t="s">
        <v>260</v>
      </c>
      <c r="C608" t="s">
        <v>37</v>
      </c>
      <c r="D608" t="s">
        <v>38</v>
      </c>
      <c r="E608" t="s">
        <v>261</v>
      </c>
      <c r="F608" t="s">
        <v>426</v>
      </c>
      <c r="G608" s="7">
        <v>65</v>
      </c>
      <c r="H608" s="7">
        <v>53.625</v>
      </c>
      <c r="I608" s="7">
        <f t="shared" si="19"/>
        <v>11.375</v>
      </c>
      <c r="J608" t="s">
        <v>40</v>
      </c>
      <c r="K608" s="11">
        <v>2.44</v>
      </c>
    </row>
    <row r="609" spans="1:11" x14ac:dyDescent="0.25">
      <c r="K609" s="11"/>
    </row>
    <row r="610" spans="1:11" x14ac:dyDescent="0.25">
      <c r="B610" t="s">
        <v>262</v>
      </c>
      <c r="C610" t="s">
        <v>338</v>
      </c>
      <c r="D610" t="s">
        <v>38</v>
      </c>
      <c r="E610" t="s">
        <v>263</v>
      </c>
      <c r="F610" t="s">
        <v>424</v>
      </c>
      <c r="G610" s="7">
        <v>162</v>
      </c>
      <c r="H610" s="7">
        <v>133.65</v>
      </c>
      <c r="I610" s="7">
        <f t="shared" si="19"/>
        <v>28.349999999999994</v>
      </c>
      <c r="J610" t="s">
        <v>40</v>
      </c>
      <c r="K610" s="11">
        <v>6.08</v>
      </c>
    </row>
    <row r="611" spans="1:11" x14ac:dyDescent="0.25">
      <c r="B611" t="s">
        <v>262</v>
      </c>
      <c r="C611" t="s">
        <v>37</v>
      </c>
      <c r="D611" t="s">
        <v>38</v>
      </c>
      <c r="E611" t="s">
        <v>263</v>
      </c>
      <c r="F611" t="s">
        <v>426</v>
      </c>
      <c r="G611" s="7">
        <v>135</v>
      </c>
      <c r="H611" s="7">
        <v>111.375</v>
      </c>
      <c r="I611" s="7">
        <f t="shared" si="19"/>
        <v>23.625</v>
      </c>
      <c r="J611" t="s">
        <v>40</v>
      </c>
      <c r="K611" s="11">
        <v>5.0599999999999996</v>
      </c>
    </row>
    <row r="612" spans="1:11" x14ac:dyDescent="0.25">
      <c r="K612" s="11"/>
    </row>
    <row r="613" spans="1:11" x14ac:dyDescent="0.25">
      <c r="A613" t="s">
        <v>379</v>
      </c>
      <c r="B613" t="s">
        <v>187</v>
      </c>
      <c r="C613" t="s">
        <v>373</v>
      </c>
      <c r="D613" t="s">
        <v>38</v>
      </c>
      <c r="E613" t="s">
        <v>188</v>
      </c>
      <c r="F613" t="s">
        <v>427</v>
      </c>
      <c r="G613" s="7">
        <v>8</v>
      </c>
      <c r="H613" s="7">
        <v>6.6</v>
      </c>
      <c r="I613" s="7">
        <f t="shared" si="19"/>
        <v>1.4000000000000004</v>
      </c>
      <c r="J613" t="s">
        <v>40</v>
      </c>
      <c r="K613" s="11">
        <v>0.3</v>
      </c>
    </row>
    <row r="614" spans="1:11" x14ac:dyDescent="0.25">
      <c r="B614" t="s">
        <v>187</v>
      </c>
      <c r="C614" t="s">
        <v>338</v>
      </c>
      <c r="D614" t="s">
        <v>38</v>
      </c>
      <c r="E614" t="s">
        <v>188</v>
      </c>
      <c r="F614" t="s">
        <v>424</v>
      </c>
      <c r="G614" s="7">
        <v>9.6</v>
      </c>
      <c r="H614" s="7">
        <v>7.92</v>
      </c>
      <c r="I614" s="7">
        <f t="shared" si="19"/>
        <v>1.6799999999999997</v>
      </c>
      <c r="J614" t="s">
        <v>40</v>
      </c>
      <c r="K614" s="11">
        <v>0.36</v>
      </c>
    </row>
    <row r="615" spans="1:11" x14ac:dyDescent="0.25">
      <c r="B615" t="s">
        <v>187</v>
      </c>
      <c r="C615" t="s">
        <v>37</v>
      </c>
      <c r="D615" t="s">
        <v>38</v>
      </c>
      <c r="E615" t="s">
        <v>188</v>
      </c>
      <c r="F615" t="s">
        <v>426</v>
      </c>
      <c r="G615" s="7">
        <v>8</v>
      </c>
      <c r="H615" s="7">
        <v>6.6000000000000005</v>
      </c>
      <c r="I615" s="7">
        <f t="shared" si="19"/>
        <v>1.3999999999999995</v>
      </c>
      <c r="J615" t="s">
        <v>40</v>
      </c>
      <c r="K615" s="11">
        <v>0.3</v>
      </c>
    </row>
    <row r="616" spans="1:11" x14ac:dyDescent="0.25">
      <c r="B616" t="s">
        <v>187</v>
      </c>
      <c r="C616" t="s">
        <v>373</v>
      </c>
      <c r="D616" t="s">
        <v>38</v>
      </c>
      <c r="E616" t="s">
        <v>380</v>
      </c>
      <c r="F616" t="s">
        <v>427</v>
      </c>
      <c r="G616" s="7">
        <v>4.8</v>
      </c>
      <c r="H616" s="7">
        <v>3.7</v>
      </c>
      <c r="I616" s="7">
        <f>G616-H616</f>
        <v>1.0999999999999996</v>
      </c>
      <c r="J616" t="s">
        <v>40</v>
      </c>
      <c r="K616" s="11">
        <v>0.2</v>
      </c>
    </row>
    <row r="617" spans="1:11" x14ac:dyDescent="0.25">
      <c r="B617" t="s">
        <v>187</v>
      </c>
      <c r="C617" t="s">
        <v>338</v>
      </c>
      <c r="D617" t="s">
        <v>38</v>
      </c>
      <c r="E617" t="s">
        <v>380</v>
      </c>
      <c r="F617" t="s">
        <v>424</v>
      </c>
      <c r="G617" s="7">
        <v>5.76</v>
      </c>
      <c r="H617" s="7">
        <v>4.4329999999999998</v>
      </c>
      <c r="I617" s="7">
        <f>G617-H617</f>
        <v>1.327</v>
      </c>
      <c r="J617" t="s">
        <v>40</v>
      </c>
      <c r="K617" s="11">
        <v>0.5</v>
      </c>
    </row>
    <row r="618" spans="1:11" x14ac:dyDescent="0.25">
      <c r="K618" s="11"/>
    </row>
    <row r="619" spans="1:11" x14ac:dyDescent="0.25">
      <c r="A619" t="s">
        <v>392</v>
      </c>
      <c r="B619" t="s">
        <v>255</v>
      </c>
      <c r="C619" t="s">
        <v>373</v>
      </c>
      <c r="D619" t="s">
        <v>38</v>
      </c>
      <c r="E619" t="s">
        <v>264</v>
      </c>
      <c r="F619" t="s">
        <v>427</v>
      </c>
      <c r="G619" s="7">
        <v>20</v>
      </c>
      <c r="H619" s="7">
        <v>16.5</v>
      </c>
      <c r="I619" s="7">
        <f t="shared" si="19"/>
        <v>3.5</v>
      </c>
      <c r="J619" t="s">
        <v>40</v>
      </c>
      <c r="K619" s="11">
        <v>0.75</v>
      </c>
    </row>
    <row r="620" spans="1:11" x14ac:dyDescent="0.25">
      <c r="B620" t="s">
        <v>255</v>
      </c>
      <c r="C620" t="s">
        <v>338</v>
      </c>
      <c r="D620" t="s">
        <v>38</v>
      </c>
      <c r="E620" t="s">
        <v>264</v>
      </c>
      <c r="F620" t="s">
        <v>424</v>
      </c>
      <c r="G620" s="7">
        <v>24</v>
      </c>
      <c r="H620" s="7">
        <v>19.8</v>
      </c>
      <c r="I620" s="7">
        <f t="shared" si="19"/>
        <v>4.1999999999999993</v>
      </c>
      <c r="J620" t="s">
        <v>40</v>
      </c>
      <c r="K620" s="11">
        <v>0.9</v>
      </c>
    </row>
    <row r="621" spans="1:11" x14ac:dyDescent="0.25">
      <c r="B621" t="s">
        <v>255</v>
      </c>
      <c r="C621" t="s">
        <v>37</v>
      </c>
      <c r="D621" t="s">
        <v>38</v>
      </c>
      <c r="E621" t="s">
        <v>264</v>
      </c>
      <c r="F621" t="s">
        <v>426</v>
      </c>
      <c r="G621" s="7">
        <v>20</v>
      </c>
      <c r="H621" s="7">
        <v>16.5</v>
      </c>
      <c r="I621" s="7">
        <f t="shared" si="19"/>
        <v>3.5</v>
      </c>
      <c r="J621" t="s">
        <v>40</v>
      </c>
      <c r="K621" s="11">
        <v>0.75</v>
      </c>
    </row>
    <row r="622" spans="1:11" x14ac:dyDescent="0.25">
      <c r="A622" t="s">
        <v>392</v>
      </c>
      <c r="B622" t="s">
        <v>260</v>
      </c>
      <c r="C622" t="s">
        <v>373</v>
      </c>
      <c r="D622" t="s">
        <v>38</v>
      </c>
      <c r="E622" t="s">
        <v>265</v>
      </c>
      <c r="F622" t="s">
        <v>427</v>
      </c>
      <c r="G622" s="7">
        <v>20</v>
      </c>
      <c r="H622" s="7">
        <v>16.5</v>
      </c>
      <c r="I622" s="7">
        <f t="shared" si="19"/>
        <v>3.5</v>
      </c>
      <c r="J622" t="s">
        <v>40</v>
      </c>
      <c r="K622" s="11">
        <v>0.75</v>
      </c>
    </row>
    <row r="623" spans="1:11" x14ac:dyDescent="0.25">
      <c r="B623" t="s">
        <v>260</v>
      </c>
      <c r="C623" t="s">
        <v>338</v>
      </c>
      <c r="D623" t="s">
        <v>38</v>
      </c>
      <c r="E623" t="s">
        <v>265</v>
      </c>
      <c r="F623" t="s">
        <v>424</v>
      </c>
      <c r="G623" s="7">
        <v>24</v>
      </c>
      <c r="H623" s="7">
        <v>19.8</v>
      </c>
      <c r="I623" s="7">
        <f t="shared" si="19"/>
        <v>4.1999999999999993</v>
      </c>
      <c r="J623" t="s">
        <v>40</v>
      </c>
      <c r="K623" s="11">
        <v>0.9</v>
      </c>
    </row>
    <row r="624" spans="1:11" x14ac:dyDescent="0.25">
      <c r="B624" t="s">
        <v>260</v>
      </c>
      <c r="C624" t="s">
        <v>37</v>
      </c>
      <c r="D624" t="s">
        <v>38</v>
      </c>
      <c r="E624" t="s">
        <v>265</v>
      </c>
      <c r="F624" t="s">
        <v>426</v>
      </c>
      <c r="G624" s="7">
        <v>20</v>
      </c>
      <c r="H624" s="7">
        <v>16.5</v>
      </c>
      <c r="I624" s="7">
        <f t="shared" si="19"/>
        <v>3.5</v>
      </c>
      <c r="J624" t="s">
        <v>40</v>
      </c>
      <c r="K624" s="11">
        <v>0.75</v>
      </c>
    </row>
    <row r="625" spans="1:11" x14ac:dyDescent="0.25">
      <c r="K625" s="11"/>
    </row>
    <row r="626" spans="1:11" x14ac:dyDescent="0.25">
      <c r="K626" s="11"/>
    </row>
    <row r="627" spans="1:11" x14ac:dyDescent="0.25">
      <c r="A627" t="s">
        <v>393</v>
      </c>
      <c r="E627" s="8" t="s">
        <v>394</v>
      </c>
      <c r="F627" s="8"/>
      <c r="K627" s="11"/>
    </row>
    <row r="628" spans="1:11" x14ac:dyDescent="0.25">
      <c r="A628" t="s">
        <v>395</v>
      </c>
      <c r="B628" t="s">
        <v>266</v>
      </c>
      <c r="C628" t="s">
        <v>373</v>
      </c>
      <c r="D628" t="s">
        <v>38</v>
      </c>
      <c r="E628" t="s">
        <v>267</v>
      </c>
      <c r="F628" t="s">
        <v>427</v>
      </c>
      <c r="G628" s="7">
        <v>95</v>
      </c>
      <c r="H628" s="7">
        <v>78.375</v>
      </c>
      <c r="I628" s="7">
        <f t="shared" si="19"/>
        <v>16.625</v>
      </c>
      <c r="J628" t="s">
        <v>40</v>
      </c>
      <c r="K628" s="11">
        <v>3.56</v>
      </c>
    </row>
    <row r="629" spans="1:11" x14ac:dyDescent="0.25">
      <c r="B629" t="s">
        <v>266</v>
      </c>
      <c r="C629" t="s">
        <v>338</v>
      </c>
      <c r="D629" t="s">
        <v>38</v>
      </c>
      <c r="E629" t="s">
        <v>267</v>
      </c>
      <c r="F629" t="s">
        <v>424</v>
      </c>
      <c r="G629" s="7">
        <v>114</v>
      </c>
      <c r="H629" s="7">
        <v>94.05</v>
      </c>
      <c r="I629" s="7">
        <f t="shared" si="19"/>
        <v>19.950000000000003</v>
      </c>
      <c r="J629" t="s">
        <v>40</v>
      </c>
      <c r="K629" s="11">
        <v>4.28</v>
      </c>
    </row>
    <row r="630" spans="1:11" x14ac:dyDescent="0.25">
      <c r="B630" t="s">
        <v>266</v>
      </c>
      <c r="C630" t="s">
        <v>37</v>
      </c>
      <c r="D630" t="s">
        <v>38</v>
      </c>
      <c r="E630" t="s">
        <v>267</v>
      </c>
      <c r="F630" t="s">
        <v>426</v>
      </c>
      <c r="G630" s="7">
        <v>95</v>
      </c>
      <c r="H630" s="7">
        <v>78.38</v>
      </c>
      <c r="I630" s="7">
        <f>G630-H630</f>
        <v>16.620000000000005</v>
      </c>
      <c r="J630" t="s">
        <v>40</v>
      </c>
      <c r="K630" s="11">
        <v>3.56</v>
      </c>
    </row>
    <row r="631" spans="1:11" x14ac:dyDescent="0.25">
      <c r="B631" t="s">
        <v>266</v>
      </c>
      <c r="C631" t="s">
        <v>373</v>
      </c>
      <c r="D631" t="s">
        <v>38</v>
      </c>
      <c r="E631" t="s">
        <v>268</v>
      </c>
      <c r="F631" t="s">
        <v>427</v>
      </c>
      <c r="G631" s="7">
        <v>145</v>
      </c>
      <c r="H631" s="7">
        <v>119.625</v>
      </c>
      <c r="I631" s="7">
        <f t="shared" si="19"/>
        <v>25.375</v>
      </c>
      <c r="J631" t="s">
        <v>40</v>
      </c>
      <c r="K631" s="11">
        <v>5.44</v>
      </c>
    </row>
    <row r="632" spans="1:11" x14ac:dyDescent="0.25">
      <c r="B632" t="s">
        <v>266</v>
      </c>
      <c r="C632" t="s">
        <v>338</v>
      </c>
      <c r="D632" t="s">
        <v>38</v>
      </c>
      <c r="E632" t="s">
        <v>268</v>
      </c>
      <c r="F632" t="s">
        <v>424</v>
      </c>
      <c r="G632" s="7">
        <v>174</v>
      </c>
      <c r="H632" s="7">
        <v>143.55000000000001</v>
      </c>
      <c r="I632" s="7">
        <f t="shared" si="19"/>
        <v>30.449999999999989</v>
      </c>
      <c r="J632" t="s">
        <v>40</v>
      </c>
      <c r="K632" s="11">
        <v>6.53</v>
      </c>
    </row>
    <row r="633" spans="1:11" x14ac:dyDescent="0.25">
      <c r="B633" t="s">
        <v>266</v>
      </c>
      <c r="C633" t="s">
        <v>37</v>
      </c>
      <c r="D633" t="s">
        <v>38</v>
      </c>
      <c r="E633" t="s">
        <v>268</v>
      </c>
      <c r="F633" t="s">
        <v>426</v>
      </c>
      <c r="G633" s="7">
        <v>145</v>
      </c>
      <c r="H633" s="7">
        <v>119.63</v>
      </c>
      <c r="I633" s="7">
        <f t="shared" si="19"/>
        <v>25.370000000000005</v>
      </c>
      <c r="J633" t="s">
        <v>40</v>
      </c>
      <c r="K633" s="11">
        <v>5.44</v>
      </c>
    </row>
    <row r="634" spans="1:11" x14ac:dyDescent="0.25">
      <c r="B634" t="s">
        <v>733</v>
      </c>
      <c r="C634" t="s">
        <v>338</v>
      </c>
      <c r="D634" t="s">
        <v>38</v>
      </c>
      <c r="E634" t="s">
        <v>396</v>
      </c>
      <c r="F634" t="s">
        <v>424</v>
      </c>
      <c r="G634" s="7">
        <v>72</v>
      </c>
      <c r="H634" s="7">
        <v>59.4</v>
      </c>
      <c r="I634" s="7">
        <f t="shared" si="19"/>
        <v>12.600000000000001</v>
      </c>
      <c r="J634" t="s">
        <v>40</v>
      </c>
      <c r="K634" s="11">
        <v>2.7</v>
      </c>
    </row>
    <row r="635" spans="1:11" x14ac:dyDescent="0.25">
      <c r="B635" t="s">
        <v>733</v>
      </c>
      <c r="C635" t="s">
        <v>37</v>
      </c>
      <c r="D635" t="s">
        <v>429</v>
      </c>
      <c r="E635" t="s">
        <v>396</v>
      </c>
      <c r="F635" t="s">
        <v>426</v>
      </c>
      <c r="G635" s="7">
        <v>60</v>
      </c>
      <c r="H635" s="7">
        <v>49.5</v>
      </c>
      <c r="I635" s="7">
        <f t="shared" si="19"/>
        <v>10.5</v>
      </c>
      <c r="J635" t="s">
        <v>40</v>
      </c>
      <c r="K635" s="11">
        <v>2.25</v>
      </c>
    </row>
    <row r="636" spans="1:11" x14ac:dyDescent="0.25">
      <c r="A636" t="s">
        <v>397</v>
      </c>
      <c r="B636" t="s">
        <v>269</v>
      </c>
      <c r="C636" t="s">
        <v>373</v>
      </c>
      <c r="D636" t="s">
        <v>38</v>
      </c>
      <c r="E636" t="s">
        <v>270</v>
      </c>
      <c r="F636" t="s">
        <v>427</v>
      </c>
      <c r="G636" s="7">
        <v>20</v>
      </c>
      <c r="H636" s="7">
        <v>16.5</v>
      </c>
      <c r="I636" s="7">
        <f t="shared" si="19"/>
        <v>3.5</v>
      </c>
      <c r="J636" t="s">
        <v>40</v>
      </c>
      <c r="K636" s="11">
        <v>0.75</v>
      </c>
    </row>
    <row r="637" spans="1:11" x14ac:dyDescent="0.25">
      <c r="B637" t="s">
        <v>269</v>
      </c>
      <c r="C637" t="s">
        <v>37</v>
      </c>
      <c r="D637" t="s">
        <v>38</v>
      </c>
      <c r="E637" t="s">
        <v>270</v>
      </c>
      <c r="F637" t="s">
        <v>426</v>
      </c>
      <c r="G637" s="7">
        <v>20</v>
      </c>
      <c r="H637" s="7">
        <v>16.5</v>
      </c>
      <c r="I637" s="7">
        <f t="shared" si="19"/>
        <v>3.5</v>
      </c>
      <c r="J637" t="s">
        <v>40</v>
      </c>
      <c r="K637" s="11">
        <v>0.75</v>
      </c>
    </row>
    <row r="638" spans="1:11" x14ac:dyDescent="0.25">
      <c r="B638" t="s">
        <v>269</v>
      </c>
      <c r="C638" t="s">
        <v>338</v>
      </c>
      <c r="D638" t="s">
        <v>38</v>
      </c>
      <c r="E638" t="s">
        <v>270</v>
      </c>
      <c r="F638" t="s">
        <v>424</v>
      </c>
      <c r="G638" s="7">
        <v>24</v>
      </c>
      <c r="H638" s="7">
        <v>19.8</v>
      </c>
      <c r="I638" s="7">
        <f t="shared" si="19"/>
        <v>4.1999999999999993</v>
      </c>
      <c r="J638" t="s">
        <v>40</v>
      </c>
      <c r="K638" s="11">
        <v>0.9</v>
      </c>
    </row>
    <row r="639" spans="1:11" x14ac:dyDescent="0.25">
      <c r="B639" t="s">
        <v>269</v>
      </c>
      <c r="C639" t="s">
        <v>373</v>
      </c>
      <c r="D639" t="s">
        <v>38</v>
      </c>
      <c r="E639" t="s">
        <v>271</v>
      </c>
      <c r="F639" t="s">
        <v>427</v>
      </c>
      <c r="G639" s="7">
        <v>50</v>
      </c>
      <c r="H639" s="7">
        <v>41.25</v>
      </c>
      <c r="I639" s="7">
        <f t="shared" si="19"/>
        <v>8.75</v>
      </c>
      <c r="J639" t="s">
        <v>40</v>
      </c>
      <c r="K639" s="11">
        <v>1.88</v>
      </c>
    </row>
    <row r="640" spans="1:11" x14ac:dyDescent="0.25">
      <c r="B640" t="s">
        <v>269</v>
      </c>
      <c r="C640" t="s">
        <v>338</v>
      </c>
      <c r="D640" t="s">
        <v>38</v>
      </c>
      <c r="E640" t="s">
        <v>271</v>
      </c>
      <c r="F640" t="s">
        <v>424</v>
      </c>
      <c r="G640" s="7">
        <v>60</v>
      </c>
      <c r="H640" s="7">
        <v>49.5</v>
      </c>
      <c r="I640" s="7">
        <f t="shared" si="19"/>
        <v>10.5</v>
      </c>
      <c r="J640" t="s">
        <v>40</v>
      </c>
      <c r="K640" s="11">
        <v>2.21</v>
      </c>
    </row>
    <row r="641" spans="2:11" x14ac:dyDescent="0.25">
      <c r="B641" t="s">
        <v>269</v>
      </c>
      <c r="C641" t="s">
        <v>37</v>
      </c>
      <c r="D641" t="s">
        <v>38</v>
      </c>
      <c r="E641" t="s">
        <v>271</v>
      </c>
      <c r="F641" t="s">
        <v>426</v>
      </c>
      <c r="G641" s="7">
        <v>50</v>
      </c>
      <c r="H641" s="7">
        <v>41.25</v>
      </c>
      <c r="I641" s="7">
        <f t="shared" si="19"/>
        <v>8.75</v>
      </c>
      <c r="J641" t="s">
        <v>40</v>
      </c>
      <c r="K641" s="11">
        <v>1.88</v>
      </c>
    </row>
    <row r="642" spans="2:11" x14ac:dyDescent="0.25">
      <c r="K642" s="11"/>
    </row>
    <row r="643" spans="2:11" x14ac:dyDescent="0.25">
      <c r="B643" t="s">
        <v>433</v>
      </c>
      <c r="C643" t="s">
        <v>338</v>
      </c>
      <c r="D643" t="s">
        <v>38</v>
      </c>
      <c r="E643" t="s">
        <v>432</v>
      </c>
      <c r="F643" t="s">
        <v>424</v>
      </c>
      <c r="G643" s="7">
        <v>18</v>
      </c>
      <c r="H643" s="7">
        <v>14.85</v>
      </c>
      <c r="I643" s="7">
        <f t="shared" ref="I643:I648" si="20">G643-H643</f>
        <v>3.1500000000000004</v>
      </c>
      <c r="J643" t="s">
        <v>40</v>
      </c>
      <c r="K643" s="11">
        <v>3.38</v>
      </c>
    </row>
    <row r="644" spans="2:11" x14ac:dyDescent="0.25">
      <c r="B644" t="s">
        <v>433</v>
      </c>
      <c r="C644" t="s">
        <v>37</v>
      </c>
      <c r="D644" t="s">
        <v>38</v>
      </c>
      <c r="E644" t="s">
        <v>432</v>
      </c>
      <c r="F644" t="s">
        <v>426</v>
      </c>
      <c r="G644" s="7">
        <v>15</v>
      </c>
      <c r="H644" s="7">
        <v>12.38</v>
      </c>
      <c r="I644" s="7">
        <f t="shared" si="20"/>
        <v>2.6199999999999992</v>
      </c>
      <c r="J644" t="s">
        <v>40</v>
      </c>
      <c r="K644" s="11">
        <v>2.81</v>
      </c>
    </row>
    <row r="645" spans="2:11" x14ac:dyDescent="0.25">
      <c r="B645" t="s">
        <v>266</v>
      </c>
      <c r="C645" t="s">
        <v>338</v>
      </c>
      <c r="D645" t="s">
        <v>38</v>
      </c>
      <c r="E645" t="s">
        <v>434</v>
      </c>
      <c r="F645" t="s">
        <v>424</v>
      </c>
      <c r="G645" s="7">
        <v>960</v>
      </c>
      <c r="H645" s="7">
        <v>792</v>
      </c>
      <c r="I645" s="7">
        <f t="shared" si="20"/>
        <v>168</v>
      </c>
      <c r="J645" t="s">
        <v>40</v>
      </c>
      <c r="K645" s="11">
        <v>36</v>
      </c>
    </row>
    <row r="646" spans="2:11" x14ac:dyDescent="0.25">
      <c r="B646" t="s">
        <v>266</v>
      </c>
      <c r="C646" t="s">
        <v>37</v>
      </c>
      <c r="D646" t="s">
        <v>38</v>
      </c>
      <c r="E646" t="s">
        <v>434</v>
      </c>
      <c r="F646" t="s">
        <v>426</v>
      </c>
      <c r="G646" s="7">
        <v>800</v>
      </c>
      <c r="H646" s="7">
        <v>660</v>
      </c>
      <c r="I646" s="7">
        <f t="shared" si="20"/>
        <v>140</v>
      </c>
      <c r="J646" t="s">
        <v>40</v>
      </c>
      <c r="K646" s="11">
        <v>30</v>
      </c>
    </row>
    <row r="647" spans="2:11" x14ac:dyDescent="0.25">
      <c r="B647" t="s">
        <v>436</v>
      </c>
      <c r="C647" t="s">
        <v>338</v>
      </c>
      <c r="D647" t="s">
        <v>38</v>
      </c>
      <c r="E647" t="s">
        <v>435</v>
      </c>
      <c r="F647" t="s">
        <v>424</v>
      </c>
      <c r="G647" s="7">
        <v>150</v>
      </c>
      <c r="H647" s="7">
        <v>123.75</v>
      </c>
      <c r="I647" s="7">
        <f t="shared" si="20"/>
        <v>26.25</v>
      </c>
      <c r="J647" t="s">
        <v>40</v>
      </c>
      <c r="K647" s="11">
        <v>5.63</v>
      </c>
    </row>
    <row r="648" spans="2:11" x14ac:dyDescent="0.25">
      <c r="B648" t="s">
        <v>436</v>
      </c>
      <c r="C648" t="s">
        <v>37</v>
      </c>
      <c r="D648" t="s">
        <v>38</v>
      </c>
      <c r="E648" t="s">
        <v>435</v>
      </c>
      <c r="F648" t="s">
        <v>426</v>
      </c>
      <c r="G648" s="7">
        <v>125</v>
      </c>
      <c r="H648" s="7">
        <v>103.13</v>
      </c>
      <c r="I648" s="7">
        <f t="shared" si="20"/>
        <v>21.870000000000005</v>
      </c>
      <c r="J648" t="s">
        <v>40</v>
      </c>
      <c r="K648" s="11">
        <v>4.6900000000000004</v>
      </c>
    </row>
    <row r="649" spans="2:11" x14ac:dyDescent="0.25">
      <c r="B649" t="s">
        <v>272</v>
      </c>
      <c r="C649" t="s">
        <v>338</v>
      </c>
      <c r="D649" t="s">
        <v>38</v>
      </c>
      <c r="E649" t="s">
        <v>273</v>
      </c>
      <c r="F649" t="s">
        <v>424</v>
      </c>
      <c r="G649" s="7">
        <v>90</v>
      </c>
      <c r="H649" s="7">
        <v>74.25</v>
      </c>
      <c r="I649" s="7">
        <f t="shared" si="19"/>
        <v>15.75</v>
      </c>
      <c r="J649" t="s">
        <v>40</v>
      </c>
      <c r="K649" s="11">
        <v>3.38</v>
      </c>
    </row>
    <row r="650" spans="2:11" x14ac:dyDescent="0.25">
      <c r="B650" t="s">
        <v>272</v>
      </c>
      <c r="C650" t="s">
        <v>37</v>
      </c>
      <c r="D650" t="s">
        <v>38</v>
      </c>
      <c r="E650" t="s">
        <v>273</v>
      </c>
      <c r="F650" t="s">
        <v>426</v>
      </c>
      <c r="G650" s="7">
        <v>75</v>
      </c>
      <c r="H650" s="7">
        <v>61.875</v>
      </c>
      <c r="I650" s="7">
        <f t="shared" si="19"/>
        <v>13.125</v>
      </c>
      <c r="J650" t="s">
        <v>40</v>
      </c>
      <c r="K650" s="11">
        <v>2.81</v>
      </c>
    </row>
    <row r="651" spans="2:11" x14ac:dyDescent="0.25">
      <c r="B651" t="s">
        <v>431</v>
      </c>
      <c r="C651" t="s">
        <v>338</v>
      </c>
      <c r="D651" t="s">
        <v>38</v>
      </c>
      <c r="E651" t="s">
        <v>430</v>
      </c>
      <c r="F651" t="s">
        <v>424</v>
      </c>
      <c r="G651" s="7">
        <v>108</v>
      </c>
      <c r="H651" s="7">
        <v>89.1</v>
      </c>
      <c r="I651" s="7">
        <f t="shared" si="19"/>
        <v>18.900000000000006</v>
      </c>
      <c r="J651" t="s">
        <v>40</v>
      </c>
      <c r="K651" s="11">
        <v>4.05</v>
      </c>
    </row>
    <row r="652" spans="2:11" x14ac:dyDescent="0.25">
      <c r="B652" t="s">
        <v>431</v>
      </c>
      <c r="C652" t="s">
        <v>37</v>
      </c>
      <c r="D652" t="s">
        <v>38</v>
      </c>
      <c r="E652" t="s">
        <v>430</v>
      </c>
      <c r="F652" t="s">
        <v>426</v>
      </c>
      <c r="G652" s="7">
        <v>90</v>
      </c>
      <c r="H652" s="7">
        <v>74.25</v>
      </c>
      <c r="I652" s="7">
        <f t="shared" si="19"/>
        <v>15.75</v>
      </c>
      <c r="J652" t="s">
        <v>40</v>
      </c>
      <c r="K652" s="11">
        <v>3.38</v>
      </c>
    </row>
    <row r="653" spans="2:11" x14ac:dyDescent="0.25">
      <c r="K653" s="11"/>
    </row>
    <row r="654" spans="2:11" x14ac:dyDescent="0.25">
      <c r="B654" t="s">
        <v>438</v>
      </c>
      <c r="C654" t="s">
        <v>338</v>
      </c>
      <c r="D654" t="s">
        <v>38</v>
      </c>
      <c r="E654" t="s">
        <v>437</v>
      </c>
      <c r="F654" t="s">
        <v>424</v>
      </c>
      <c r="G654" s="7">
        <v>90</v>
      </c>
      <c r="H654" s="7">
        <v>74.25</v>
      </c>
      <c r="I654" s="7">
        <f t="shared" ref="I654:I739" si="21">G654-H654</f>
        <v>15.75</v>
      </c>
      <c r="J654" t="s">
        <v>40</v>
      </c>
      <c r="K654" s="11">
        <v>3.38</v>
      </c>
    </row>
    <row r="655" spans="2:11" x14ac:dyDescent="0.25">
      <c r="B655" t="s">
        <v>438</v>
      </c>
      <c r="C655" t="s">
        <v>37</v>
      </c>
      <c r="D655" t="s">
        <v>38</v>
      </c>
      <c r="E655" t="s">
        <v>437</v>
      </c>
      <c r="F655" t="s">
        <v>426</v>
      </c>
      <c r="G655" s="7">
        <v>75</v>
      </c>
      <c r="H655" s="7">
        <v>61.88</v>
      </c>
      <c r="I655" s="7">
        <f t="shared" si="21"/>
        <v>13.119999999999997</v>
      </c>
      <c r="J655" t="s">
        <v>40</v>
      </c>
      <c r="K655" s="11">
        <v>2.81</v>
      </c>
    </row>
    <row r="656" spans="2:11" x14ac:dyDescent="0.25">
      <c r="K656" s="11"/>
    </row>
    <row r="657" spans="2:11" x14ac:dyDescent="0.25">
      <c r="B657" t="s">
        <v>266</v>
      </c>
      <c r="C657" t="s">
        <v>373</v>
      </c>
      <c r="D657" t="s">
        <v>38</v>
      </c>
      <c r="E657" t="s">
        <v>274</v>
      </c>
      <c r="F657" t="s">
        <v>427</v>
      </c>
      <c r="G657" s="7">
        <v>20</v>
      </c>
      <c r="H657" s="7">
        <v>16.5</v>
      </c>
      <c r="I657" s="7">
        <f t="shared" si="21"/>
        <v>3.5</v>
      </c>
      <c r="J657" t="s">
        <v>40</v>
      </c>
      <c r="K657" s="11">
        <v>0.75</v>
      </c>
    </row>
    <row r="658" spans="2:11" x14ac:dyDescent="0.25">
      <c r="B658" t="s">
        <v>266</v>
      </c>
      <c r="C658" t="s">
        <v>338</v>
      </c>
      <c r="D658" t="s">
        <v>38</v>
      </c>
      <c r="E658" t="s">
        <v>274</v>
      </c>
      <c r="F658" t="s">
        <v>424</v>
      </c>
      <c r="G658" s="7">
        <v>24</v>
      </c>
      <c r="H658" s="7">
        <v>19.8</v>
      </c>
      <c r="I658" s="7">
        <f t="shared" si="21"/>
        <v>4.1999999999999993</v>
      </c>
      <c r="J658" t="s">
        <v>40</v>
      </c>
      <c r="K658" s="11">
        <v>0.9</v>
      </c>
    </row>
    <row r="659" spans="2:11" x14ac:dyDescent="0.25">
      <c r="B659" t="s">
        <v>266</v>
      </c>
      <c r="C659" t="s">
        <v>37</v>
      </c>
      <c r="D659" t="s">
        <v>38</v>
      </c>
      <c r="E659" t="s">
        <v>274</v>
      </c>
      <c r="F659" t="s">
        <v>426</v>
      </c>
      <c r="G659" s="7">
        <v>20</v>
      </c>
      <c r="H659" s="7">
        <v>16.5</v>
      </c>
      <c r="I659" s="7">
        <f t="shared" si="21"/>
        <v>3.5</v>
      </c>
      <c r="J659" t="s">
        <v>40</v>
      </c>
      <c r="K659" s="11">
        <v>0.75</v>
      </c>
    </row>
    <row r="660" spans="2:11" x14ac:dyDescent="0.25">
      <c r="I660" s="7">
        <f t="shared" si="21"/>
        <v>0</v>
      </c>
      <c r="J660" t="s">
        <v>40</v>
      </c>
      <c r="K660" s="11"/>
    </row>
    <row r="661" spans="2:11" x14ac:dyDescent="0.25">
      <c r="B661" t="s">
        <v>398</v>
      </c>
      <c r="C661" t="s">
        <v>338</v>
      </c>
      <c r="D661" t="s">
        <v>342</v>
      </c>
      <c r="E661" t="s">
        <v>399</v>
      </c>
      <c r="F661" t="s">
        <v>425</v>
      </c>
      <c r="G661" s="7">
        <v>0</v>
      </c>
      <c r="H661" s="7">
        <v>0</v>
      </c>
      <c r="I661" s="7">
        <f t="shared" si="21"/>
        <v>0</v>
      </c>
      <c r="J661" t="s">
        <v>40</v>
      </c>
      <c r="K661" s="11"/>
    </row>
    <row r="662" spans="2:11" x14ac:dyDescent="0.25">
      <c r="K662" s="11"/>
    </row>
    <row r="663" spans="2:11" x14ac:dyDescent="0.25">
      <c r="B663" t="s">
        <v>726</v>
      </c>
      <c r="C663" t="s">
        <v>373</v>
      </c>
      <c r="D663" t="s">
        <v>38</v>
      </c>
      <c r="E663" t="s">
        <v>727</v>
      </c>
      <c r="F663" t="s">
        <v>427</v>
      </c>
      <c r="G663" s="7">
        <v>250</v>
      </c>
      <c r="H663" s="7">
        <v>206.25</v>
      </c>
      <c r="I663" s="7">
        <f>G663-H663</f>
        <v>43.75</v>
      </c>
      <c r="J663" t="s">
        <v>40</v>
      </c>
      <c r="K663" s="11"/>
    </row>
    <row r="664" spans="2:11" x14ac:dyDescent="0.25">
      <c r="B664" t="s">
        <v>726</v>
      </c>
      <c r="C664" t="s">
        <v>338</v>
      </c>
      <c r="D664" t="s">
        <v>38</v>
      </c>
      <c r="E664" t="s">
        <v>727</v>
      </c>
      <c r="F664" t="s">
        <v>424</v>
      </c>
      <c r="G664" s="7">
        <v>300</v>
      </c>
      <c r="H664" s="7">
        <v>247.5</v>
      </c>
      <c r="I664" s="7">
        <f>G664-H664</f>
        <v>52.5</v>
      </c>
      <c r="J664" t="s">
        <v>40</v>
      </c>
      <c r="K664" s="11"/>
    </row>
    <row r="665" spans="2:11" x14ac:dyDescent="0.25">
      <c r="B665" t="s">
        <v>726</v>
      </c>
      <c r="C665" t="s">
        <v>37</v>
      </c>
      <c r="D665" t="s">
        <v>38</v>
      </c>
      <c r="E665" t="s">
        <v>727</v>
      </c>
      <c r="F665" t="s">
        <v>426</v>
      </c>
      <c r="G665" s="7">
        <v>250</v>
      </c>
      <c r="H665" s="7">
        <v>206.25</v>
      </c>
      <c r="I665" s="7">
        <f t="shared" ref="I665:I683" si="22">G665-H665</f>
        <v>43.75</v>
      </c>
      <c r="J665" t="s">
        <v>40</v>
      </c>
      <c r="K665" s="11"/>
    </row>
    <row r="666" spans="2:11" x14ac:dyDescent="0.25">
      <c r="B666" t="s">
        <v>726</v>
      </c>
      <c r="C666" t="s">
        <v>373</v>
      </c>
      <c r="D666" t="s">
        <v>38</v>
      </c>
      <c r="E666" t="s">
        <v>728</v>
      </c>
      <c r="F666" t="s">
        <v>427</v>
      </c>
      <c r="G666" s="7">
        <v>300</v>
      </c>
      <c r="H666" s="7">
        <v>264</v>
      </c>
      <c r="I666" s="7">
        <f t="shared" si="22"/>
        <v>36</v>
      </c>
      <c r="J666" t="s">
        <v>40</v>
      </c>
      <c r="K666" s="11"/>
    </row>
    <row r="667" spans="2:11" x14ac:dyDescent="0.25">
      <c r="B667" t="s">
        <v>726</v>
      </c>
      <c r="C667" t="s">
        <v>338</v>
      </c>
      <c r="D667" t="s">
        <v>38</v>
      </c>
      <c r="E667" t="s">
        <v>728</v>
      </c>
      <c r="F667" t="s">
        <v>424</v>
      </c>
      <c r="G667" s="7">
        <v>360</v>
      </c>
      <c r="H667" s="7">
        <v>316.8</v>
      </c>
      <c r="I667" s="7">
        <f t="shared" si="22"/>
        <v>43.199999999999989</v>
      </c>
      <c r="J667" t="s">
        <v>40</v>
      </c>
      <c r="K667" s="11"/>
    </row>
    <row r="668" spans="2:11" x14ac:dyDescent="0.25">
      <c r="B668" t="s">
        <v>726</v>
      </c>
      <c r="C668" t="s">
        <v>37</v>
      </c>
      <c r="D668" t="s">
        <v>38</v>
      </c>
      <c r="E668" t="s">
        <v>728</v>
      </c>
      <c r="F668" t="s">
        <v>426</v>
      </c>
      <c r="G668" s="7">
        <v>300</v>
      </c>
      <c r="H668" s="7">
        <v>264</v>
      </c>
      <c r="I668" s="7">
        <f t="shared" si="22"/>
        <v>36</v>
      </c>
      <c r="J668" t="s">
        <v>40</v>
      </c>
      <c r="K668" s="11"/>
    </row>
    <row r="669" spans="2:11" x14ac:dyDescent="0.25">
      <c r="B669" t="s">
        <v>726</v>
      </c>
      <c r="C669" t="s">
        <v>373</v>
      </c>
      <c r="D669" t="s">
        <v>38</v>
      </c>
      <c r="E669" t="s">
        <v>729</v>
      </c>
      <c r="F669" t="s">
        <v>427</v>
      </c>
      <c r="G669" s="7">
        <v>1500</v>
      </c>
      <c r="H669" s="7">
        <v>1237.5</v>
      </c>
      <c r="I669" s="7">
        <f t="shared" si="22"/>
        <v>262.5</v>
      </c>
      <c r="J669" t="s">
        <v>40</v>
      </c>
      <c r="K669" s="11"/>
    </row>
    <row r="670" spans="2:11" x14ac:dyDescent="0.25">
      <c r="B670" t="s">
        <v>726</v>
      </c>
      <c r="C670" t="s">
        <v>338</v>
      </c>
      <c r="D670" t="s">
        <v>38</v>
      </c>
      <c r="E670" t="s">
        <v>729</v>
      </c>
      <c r="F670" t="s">
        <v>424</v>
      </c>
      <c r="G670" s="7">
        <v>1800</v>
      </c>
      <c r="H670" s="7">
        <v>1485</v>
      </c>
      <c r="I670" s="7">
        <f t="shared" si="22"/>
        <v>315</v>
      </c>
      <c r="J670" t="s">
        <v>40</v>
      </c>
      <c r="K670" s="11"/>
    </row>
    <row r="671" spans="2:11" x14ac:dyDescent="0.25">
      <c r="B671" t="s">
        <v>726</v>
      </c>
      <c r="C671" t="s">
        <v>37</v>
      </c>
      <c r="D671" t="s">
        <v>38</v>
      </c>
      <c r="E671" t="s">
        <v>729</v>
      </c>
      <c r="F671" t="s">
        <v>426</v>
      </c>
      <c r="G671" s="7">
        <v>1500</v>
      </c>
      <c r="H671" s="7">
        <v>1237.5</v>
      </c>
      <c r="I671" s="7">
        <f t="shared" si="22"/>
        <v>262.5</v>
      </c>
      <c r="J671" t="s">
        <v>40</v>
      </c>
      <c r="K671" s="11"/>
    </row>
    <row r="672" spans="2:11" x14ac:dyDescent="0.25">
      <c r="B672" t="s">
        <v>726</v>
      </c>
      <c r="C672" t="s">
        <v>373</v>
      </c>
      <c r="D672" t="s">
        <v>38</v>
      </c>
      <c r="E672" t="s">
        <v>730</v>
      </c>
      <c r="F672" t="s">
        <v>427</v>
      </c>
      <c r="G672" s="7">
        <v>500</v>
      </c>
      <c r="H672" s="7">
        <v>412.5</v>
      </c>
      <c r="I672" s="7">
        <f t="shared" si="22"/>
        <v>87.5</v>
      </c>
      <c r="J672" t="s">
        <v>40</v>
      </c>
      <c r="K672" s="11"/>
    </row>
    <row r="673" spans="1:11" x14ac:dyDescent="0.25">
      <c r="B673" t="s">
        <v>726</v>
      </c>
      <c r="C673" t="s">
        <v>338</v>
      </c>
      <c r="D673" t="s">
        <v>38</v>
      </c>
      <c r="E673" t="s">
        <v>730</v>
      </c>
      <c r="F673" t="s">
        <v>424</v>
      </c>
      <c r="G673" s="7">
        <v>600</v>
      </c>
      <c r="H673" s="7">
        <v>495</v>
      </c>
      <c r="I673" s="7">
        <f t="shared" si="22"/>
        <v>105</v>
      </c>
      <c r="J673" t="s">
        <v>40</v>
      </c>
      <c r="K673" s="11"/>
    </row>
    <row r="674" spans="1:11" x14ac:dyDescent="0.25">
      <c r="B674" t="s">
        <v>726</v>
      </c>
      <c r="C674" t="s">
        <v>37</v>
      </c>
      <c r="D674" t="s">
        <v>38</v>
      </c>
      <c r="E674" t="s">
        <v>730</v>
      </c>
      <c r="F674" t="s">
        <v>426</v>
      </c>
      <c r="G674" s="7">
        <v>500</v>
      </c>
      <c r="H674" s="7">
        <v>412.5</v>
      </c>
      <c r="I674" s="7">
        <f t="shared" si="22"/>
        <v>87.5</v>
      </c>
      <c r="J674" t="s">
        <v>40</v>
      </c>
      <c r="K674" s="11"/>
    </row>
    <row r="675" spans="1:11" x14ac:dyDescent="0.25">
      <c r="B675" t="s">
        <v>726</v>
      </c>
      <c r="C675" t="s">
        <v>373</v>
      </c>
      <c r="D675" t="s">
        <v>38</v>
      </c>
      <c r="E675" t="s">
        <v>321</v>
      </c>
      <c r="F675" t="s">
        <v>427</v>
      </c>
      <c r="G675" s="7">
        <v>1700</v>
      </c>
      <c r="H675" s="7">
        <v>1402.5</v>
      </c>
      <c r="I675" s="7">
        <f t="shared" si="22"/>
        <v>297.5</v>
      </c>
      <c r="J675" t="s">
        <v>40</v>
      </c>
      <c r="K675" s="11"/>
    </row>
    <row r="676" spans="1:11" x14ac:dyDescent="0.25">
      <c r="B676" t="s">
        <v>726</v>
      </c>
      <c r="C676" t="s">
        <v>338</v>
      </c>
      <c r="D676" t="s">
        <v>38</v>
      </c>
      <c r="E676" t="s">
        <v>321</v>
      </c>
      <c r="F676" t="s">
        <v>424</v>
      </c>
      <c r="G676" s="7">
        <v>2040</v>
      </c>
      <c r="H676" s="7">
        <v>1683</v>
      </c>
      <c r="I676" s="7">
        <f t="shared" si="22"/>
        <v>357</v>
      </c>
      <c r="J676" t="s">
        <v>40</v>
      </c>
      <c r="K676" s="11"/>
    </row>
    <row r="677" spans="1:11" x14ac:dyDescent="0.25">
      <c r="B677" t="s">
        <v>726</v>
      </c>
      <c r="C677" t="s">
        <v>37</v>
      </c>
      <c r="D677" t="s">
        <v>38</v>
      </c>
      <c r="E677" t="s">
        <v>321</v>
      </c>
      <c r="F677" t="s">
        <v>426</v>
      </c>
      <c r="G677" s="7">
        <v>1700</v>
      </c>
      <c r="H677" s="7">
        <v>1402.5</v>
      </c>
      <c r="I677" s="7">
        <f t="shared" si="22"/>
        <v>297.5</v>
      </c>
      <c r="J677" t="s">
        <v>40</v>
      </c>
      <c r="K677" s="11"/>
    </row>
    <row r="678" spans="1:11" x14ac:dyDescent="0.25">
      <c r="B678" t="s">
        <v>726</v>
      </c>
      <c r="C678" t="s">
        <v>373</v>
      </c>
      <c r="D678" t="s">
        <v>38</v>
      </c>
      <c r="E678" t="s">
        <v>731</v>
      </c>
      <c r="F678" t="s">
        <v>427</v>
      </c>
      <c r="G678" s="7">
        <v>2000</v>
      </c>
      <c r="H678" s="7">
        <v>1650</v>
      </c>
      <c r="I678" s="7">
        <f t="shared" si="22"/>
        <v>350</v>
      </c>
      <c r="J678" t="s">
        <v>40</v>
      </c>
      <c r="K678" s="11"/>
    </row>
    <row r="679" spans="1:11" x14ac:dyDescent="0.25">
      <c r="B679" t="s">
        <v>726</v>
      </c>
      <c r="C679" t="s">
        <v>338</v>
      </c>
      <c r="D679" t="s">
        <v>38</v>
      </c>
      <c r="E679" t="s">
        <v>731</v>
      </c>
      <c r="F679" t="s">
        <v>424</v>
      </c>
      <c r="G679" s="7">
        <v>2400</v>
      </c>
      <c r="H679" s="7">
        <v>1980</v>
      </c>
      <c r="I679" s="7">
        <f t="shared" si="22"/>
        <v>420</v>
      </c>
      <c r="J679" t="s">
        <v>40</v>
      </c>
      <c r="K679" s="11"/>
    </row>
    <row r="680" spans="1:11" x14ac:dyDescent="0.25">
      <c r="B680" t="s">
        <v>726</v>
      </c>
      <c r="C680" t="s">
        <v>37</v>
      </c>
      <c r="D680" t="s">
        <v>38</v>
      </c>
      <c r="E680" t="s">
        <v>731</v>
      </c>
      <c r="F680" t="s">
        <v>426</v>
      </c>
      <c r="G680" s="7">
        <v>2000</v>
      </c>
      <c r="H680" s="7">
        <v>1650</v>
      </c>
      <c r="I680" s="7">
        <f t="shared" si="22"/>
        <v>350</v>
      </c>
      <c r="J680" t="s">
        <v>40</v>
      </c>
      <c r="K680" s="11"/>
    </row>
    <row r="681" spans="1:11" x14ac:dyDescent="0.25">
      <c r="B681" t="s">
        <v>726</v>
      </c>
      <c r="C681" t="s">
        <v>373</v>
      </c>
      <c r="D681" t="s">
        <v>38</v>
      </c>
      <c r="E681" t="s">
        <v>732</v>
      </c>
      <c r="F681" t="s">
        <v>427</v>
      </c>
      <c r="G681" s="7">
        <v>1000</v>
      </c>
      <c r="H681" s="7">
        <v>825</v>
      </c>
      <c r="I681" s="7">
        <f t="shared" si="22"/>
        <v>175</v>
      </c>
      <c r="J681" t="s">
        <v>40</v>
      </c>
      <c r="K681" s="11"/>
    </row>
    <row r="682" spans="1:11" x14ac:dyDescent="0.25">
      <c r="B682" t="s">
        <v>726</v>
      </c>
      <c r="C682" t="s">
        <v>338</v>
      </c>
      <c r="D682" t="s">
        <v>38</v>
      </c>
      <c r="E682" t="s">
        <v>732</v>
      </c>
      <c r="F682" t="s">
        <v>424</v>
      </c>
      <c r="G682" s="7">
        <v>1200</v>
      </c>
      <c r="H682" s="7">
        <v>990</v>
      </c>
      <c r="I682" s="7">
        <f t="shared" si="22"/>
        <v>210</v>
      </c>
      <c r="J682" t="s">
        <v>40</v>
      </c>
      <c r="K682" s="11"/>
    </row>
    <row r="683" spans="1:11" x14ac:dyDescent="0.25">
      <c r="B683" t="s">
        <v>726</v>
      </c>
      <c r="C683" t="s">
        <v>37</v>
      </c>
      <c r="D683" t="s">
        <v>38</v>
      </c>
      <c r="E683" t="s">
        <v>732</v>
      </c>
      <c r="F683" t="s">
        <v>426</v>
      </c>
      <c r="G683" s="7">
        <v>1000</v>
      </c>
      <c r="H683" s="7">
        <v>825</v>
      </c>
      <c r="I683" s="7">
        <f t="shared" si="22"/>
        <v>175</v>
      </c>
      <c r="J683" t="s">
        <v>40</v>
      </c>
      <c r="K683" s="11"/>
    </row>
    <row r="684" spans="1:11" x14ac:dyDescent="0.25">
      <c r="B684" t="s">
        <v>726</v>
      </c>
      <c r="C684" t="s">
        <v>373</v>
      </c>
      <c r="D684" t="s">
        <v>38</v>
      </c>
      <c r="E684" t="s">
        <v>322</v>
      </c>
      <c r="F684" t="s">
        <v>427</v>
      </c>
      <c r="G684" s="7">
        <v>1000</v>
      </c>
      <c r="H684" s="7">
        <v>825</v>
      </c>
      <c r="I684" s="7">
        <f t="shared" ref="I684:I686" si="23">G684-H684</f>
        <v>175</v>
      </c>
      <c r="J684" t="s">
        <v>40</v>
      </c>
      <c r="K684" s="11"/>
    </row>
    <row r="685" spans="1:11" x14ac:dyDescent="0.25">
      <c r="B685" t="s">
        <v>726</v>
      </c>
      <c r="C685" t="s">
        <v>338</v>
      </c>
      <c r="D685" t="s">
        <v>38</v>
      </c>
      <c r="E685" t="s">
        <v>322</v>
      </c>
      <c r="F685" t="s">
        <v>424</v>
      </c>
      <c r="G685" s="7">
        <v>1200</v>
      </c>
      <c r="H685" s="7">
        <v>990</v>
      </c>
      <c r="I685" s="7">
        <f t="shared" si="23"/>
        <v>210</v>
      </c>
      <c r="J685" t="s">
        <v>40</v>
      </c>
      <c r="K685" s="11"/>
    </row>
    <row r="686" spans="1:11" x14ac:dyDescent="0.25">
      <c r="B686" t="s">
        <v>726</v>
      </c>
      <c r="C686" t="s">
        <v>37</v>
      </c>
      <c r="D686" t="s">
        <v>38</v>
      </c>
      <c r="E686" t="s">
        <v>322</v>
      </c>
      <c r="F686" t="s">
        <v>426</v>
      </c>
      <c r="G686" s="7">
        <v>1000</v>
      </c>
      <c r="H686" s="7">
        <v>825</v>
      </c>
      <c r="I686" s="7">
        <f t="shared" si="23"/>
        <v>175</v>
      </c>
      <c r="J686" t="s">
        <v>40</v>
      </c>
      <c r="K686" s="11"/>
    </row>
    <row r="687" spans="1:11" x14ac:dyDescent="0.25">
      <c r="K687" s="11"/>
    </row>
    <row r="688" spans="1:11" x14ac:dyDescent="0.25">
      <c r="A688" t="s">
        <v>400</v>
      </c>
      <c r="E688" s="8" t="s">
        <v>401</v>
      </c>
      <c r="F688" s="8"/>
      <c r="K688" s="11"/>
    </row>
    <row r="689" spans="1:11" x14ac:dyDescent="0.25">
      <c r="B689" t="s">
        <v>275</v>
      </c>
      <c r="C689" t="s">
        <v>373</v>
      </c>
      <c r="D689" t="s">
        <v>38</v>
      </c>
      <c r="E689" t="s">
        <v>276</v>
      </c>
      <c r="F689" t="s">
        <v>427</v>
      </c>
      <c r="G689" s="7">
        <v>120</v>
      </c>
      <c r="H689" s="7">
        <v>92.4</v>
      </c>
      <c r="I689" s="7">
        <f t="shared" si="21"/>
        <v>27.599999999999994</v>
      </c>
      <c r="J689" t="s">
        <v>40</v>
      </c>
      <c r="K689" s="11">
        <v>4.2</v>
      </c>
    </row>
    <row r="690" spans="1:11" x14ac:dyDescent="0.25">
      <c r="B690" t="s">
        <v>275</v>
      </c>
      <c r="C690" t="s">
        <v>338</v>
      </c>
      <c r="D690" t="s">
        <v>38</v>
      </c>
      <c r="E690" t="s">
        <v>276</v>
      </c>
      <c r="F690" t="s">
        <v>424</v>
      </c>
      <c r="G690" s="7">
        <v>144</v>
      </c>
      <c r="H690" s="7">
        <v>110.88</v>
      </c>
      <c r="I690" s="7">
        <f t="shared" si="21"/>
        <v>33.120000000000005</v>
      </c>
      <c r="J690" t="s">
        <v>40</v>
      </c>
      <c r="K690" s="11">
        <v>5.04</v>
      </c>
    </row>
    <row r="691" spans="1:11" x14ac:dyDescent="0.25">
      <c r="B691" t="s">
        <v>275</v>
      </c>
      <c r="C691" t="s">
        <v>37</v>
      </c>
      <c r="D691" t="s">
        <v>38</v>
      </c>
      <c r="E691" t="s">
        <v>276</v>
      </c>
      <c r="F691" t="s">
        <v>426</v>
      </c>
      <c r="G691" s="7">
        <v>120</v>
      </c>
      <c r="H691" s="7">
        <v>92.399999999999991</v>
      </c>
      <c r="I691" s="7">
        <f t="shared" si="21"/>
        <v>27.600000000000009</v>
      </c>
      <c r="J691" t="s">
        <v>40</v>
      </c>
      <c r="K691" s="11">
        <v>4.2</v>
      </c>
    </row>
    <row r="692" spans="1:11" x14ac:dyDescent="0.25">
      <c r="B692" t="s">
        <v>275</v>
      </c>
      <c r="C692" t="s">
        <v>373</v>
      </c>
      <c r="D692" t="s">
        <v>38</v>
      </c>
      <c r="E692" t="s">
        <v>277</v>
      </c>
      <c r="F692" t="s">
        <v>427</v>
      </c>
      <c r="G692" s="7">
        <v>30</v>
      </c>
      <c r="H692" s="7">
        <v>23.1</v>
      </c>
      <c r="I692" s="7">
        <f t="shared" si="21"/>
        <v>6.8999999999999986</v>
      </c>
      <c r="J692" t="s">
        <v>40</v>
      </c>
      <c r="K692" s="11">
        <v>1.05</v>
      </c>
    </row>
    <row r="693" spans="1:11" x14ac:dyDescent="0.25">
      <c r="B693" t="s">
        <v>275</v>
      </c>
      <c r="C693" t="s">
        <v>338</v>
      </c>
      <c r="D693" t="s">
        <v>38</v>
      </c>
      <c r="E693" t="s">
        <v>277</v>
      </c>
      <c r="F693" t="s">
        <v>424</v>
      </c>
      <c r="G693" s="7">
        <v>36</v>
      </c>
      <c r="H693" s="7">
        <v>27.72</v>
      </c>
      <c r="I693" s="7">
        <f t="shared" si="21"/>
        <v>8.2800000000000011</v>
      </c>
      <c r="J693" t="s">
        <v>40</v>
      </c>
      <c r="K693" s="11">
        <v>1.26</v>
      </c>
    </row>
    <row r="694" spans="1:11" x14ac:dyDescent="0.25">
      <c r="B694" t="s">
        <v>275</v>
      </c>
      <c r="C694" t="s">
        <v>37</v>
      </c>
      <c r="D694" t="s">
        <v>38</v>
      </c>
      <c r="E694" t="s">
        <v>277</v>
      </c>
      <c r="F694" t="s">
        <v>426</v>
      </c>
      <c r="G694" s="7">
        <v>30</v>
      </c>
      <c r="H694" s="7">
        <v>23.099999999999998</v>
      </c>
      <c r="I694" s="7">
        <f t="shared" si="21"/>
        <v>6.9000000000000021</v>
      </c>
      <c r="J694" t="s">
        <v>40</v>
      </c>
      <c r="K694" s="11">
        <v>1.05</v>
      </c>
    </row>
    <row r="695" spans="1:11" x14ac:dyDescent="0.25">
      <c r="K695" s="11"/>
    </row>
    <row r="696" spans="1:11" x14ac:dyDescent="0.25">
      <c r="A696" t="s">
        <v>402</v>
      </c>
      <c r="E696" s="8" t="s">
        <v>403</v>
      </c>
      <c r="F696" s="8"/>
      <c r="K696" s="11"/>
    </row>
    <row r="697" spans="1:11" x14ac:dyDescent="0.25">
      <c r="B697" t="s">
        <v>278</v>
      </c>
      <c r="C697" t="s">
        <v>338</v>
      </c>
      <c r="D697" t="s">
        <v>38</v>
      </c>
      <c r="E697" t="s">
        <v>279</v>
      </c>
      <c r="F697" t="s">
        <v>424</v>
      </c>
      <c r="G697" s="7">
        <v>36</v>
      </c>
      <c r="H697" s="7">
        <v>29.7</v>
      </c>
      <c r="I697" s="7">
        <f t="shared" si="21"/>
        <v>6.3000000000000007</v>
      </c>
      <c r="J697" t="s">
        <v>40</v>
      </c>
      <c r="K697" s="11">
        <v>1.35</v>
      </c>
    </row>
    <row r="698" spans="1:11" x14ac:dyDescent="0.25">
      <c r="B698" t="s">
        <v>278</v>
      </c>
      <c r="C698" t="s">
        <v>37</v>
      </c>
      <c r="D698" t="s">
        <v>38</v>
      </c>
      <c r="E698" t="s">
        <v>279</v>
      </c>
      <c r="F698" t="s">
        <v>426</v>
      </c>
      <c r="G698" s="7">
        <v>30</v>
      </c>
      <c r="H698" s="7">
        <v>24.75</v>
      </c>
      <c r="I698" s="7">
        <f t="shared" si="21"/>
        <v>5.25</v>
      </c>
      <c r="J698" t="s">
        <v>40</v>
      </c>
      <c r="K698" s="11">
        <v>1.1299999999999999</v>
      </c>
    </row>
    <row r="699" spans="1:11" x14ac:dyDescent="0.25">
      <c r="K699" s="11"/>
    </row>
    <row r="700" spans="1:11" x14ac:dyDescent="0.25">
      <c r="B700" t="s">
        <v>280</v>
      </c>
      <c r="C700" t="s">
        <v>338</v>
      </c>
      <c r="D700" t="s">
        <v>38</v>
      </c>
      <c r="E700" t="s">
        <v>281</v>
      </c>
      <c r="F700" t="s">
        <v>424</v>
      </c>
      <c r="G700" s="7">
        <v>174</v>
      </c>
      <c r="H700" s="7">
        <v>143.55000000000001</v>
      </c>
      <c r="I700" s="7">
        <f t="shared" si="21"/>
        <v>30.449999999999989</v>
      </c>
      <c r="J700" t="s">
        <v>40</v>
      </c>
      <c r="K700" s="11">
        <v>5.44</v>
      </c>
    </row>
    <row r="701" spans="1:11" x14ac:dyDescent="0.25">
      <c r="B701" t="s">
        <v>280</v>
      </c>
      <c r="C701" t="s">
        <v>37</v>
      </c>
      <c r="D701" t="s">
        <v>38</v>
      </c>
      <c r="E701" t="s">
        <v>281</v>
      </c>
      <c r="F701" t="s">
        <v>426</v>
      </c>
      <c r="G701" s="7">
        <v>145</v>
      </c>
      <c r="H701" s="7">
        <v>119.63</v>
      </c>
      <c r="I701" s="7">
        <f>G701-H701</f>
        <v>25.370000000000005</v>
      </c>
      <c r="J701" t="s">
        <v>40</v>
      </c>
      <c r="K701" s="11">
        <v>5.44</v>
      </c>
    </row>
    <row r="702" spans="1:11" x14ac:dyDescent="0.25">
      <c r="B702" t="s">
        <v>280</v>
      </c>
      <c r="C702" t="s">
        <v>373</v>
      </c>
      <c r="D702" t="s">
        <v>38</v>
      </c>
      <c r="E702" t="s">
        <v>282</v>
      </c>
      <c r="F702" t="s">
        <v>427</v>
      </c>
      <c r="G702" s="7">
        <v>95</v>
      </c>
      <c r="H702" s="7">
        <v>78.375</v>
      </c>
      <c r="I702" s="7">
        <f t="shared" si="21"/>
        <v>16.625</v>
      </c>
      <c r="J702" t="s">
        <v>40</v>
      </c>
      <c r="K702" s="11">
        <v>3.56</v>
      </c>
    </row>
    <row r="703" spans="1:11" x14ac:dyDescent="0.25">
      <c r="B703" t="s">
        <v>280</v>
      </c>
      <c r="C703" t="s">
        <v>338</v>
      </c>
      <c r="D703" t="s">
        <v>38</v>
      </c>
      <c r="E703" t="s">
        <v>282</v>
      </c>
      <c r="F703" t="s">
        <v>424</v>
      </c>
      <c r="G703" s="7">
        <v>114</v>
      </c>
      <c r="H703" s="7">
        <v>94.05</v>
      </c>
      <c r="I703" s="7">
        <f t="shared" si="21"/>
        <v>19.950000000000003</v>
      </c>
      <c r="J703" t="s">
        <v>40</v>
      </c>
      <c r="K703" s="11">
        <v>4.28</v>
      </c>
    </row>
    <row r="704" spans="1:11" x14ac:dyDescent="0.25">
      <c r="B704" t="s">
        <v>280</v>
      </c>
      <c r="C704" t="s">
        <v>37</v>
      </c>
      <c r="D704" t="s">
        <v>38</v>
      </c>
      <c r="E704" t="s">
        <v>282</v>
      </c>
      <c r="F704" t="s">
        <v>426</v>
      </c>
      <c r="G704" s="7">
        <v>95</v>
      </c>
      <c r="H704" s="7">
        <v>78.38</v>
      </c>
      <c r="I704" s="7">
        <f t="shared" si="21"/>
        <v>16.620000000000005</v>
      </c>
      <c r="J704" t="s">
        <v>40</v>
      </c>
      <c r="K704" s="11">
        <v>3.56</v>
      </c>
    </row>
    <row r="705" spans="1:11" x14ac:dyDescent="0.25">
      <c r="K705" s="11"/>
    </row>
    <row r="706" spans="1:11" x14ac:dyDescent="0.25">
      <c r="B706" t="s">
        <v>280</v>
      </c>
      <c r="C706" t="s">
        <v>373</v>
      </c>
      <c r="D706" t="s">
        <v>38</v>
      </c>
      <c r="E706" t="s">
        <v>283</v>
      </c>
      <c r="F706" t="s">
        <v>427</v>
      </c>
      <c r="G706" s="7">
        <v>20</v>
      </c>
      <c r="H706" s="7">
        <v>16.5</v>
      </c>
      <c r="I706" s="7">
        <f t="shared" si="21"/>
        <v>3.5</v>
      </c>
      <c r="J706" t="s">
        <v>40</v>
      </c>
      <c r="K706" s="11">
        <v>0.75</v>
      </c>
    </row>
    <row r="707" spans="1:11" x14ac:dyDescent="0.25">
      <c r="B707" t="s">
        <v>280</v>
      </c>
      <c r="C707" t="s">
        <v>338</v>
      </c>
      <c r="D707" t="s">
        <v>38</v>
      </c>
      <c r="E707" t="s">
        <v>283</v>
      </c>
      <c r="F707" t="s">
        <v>424</v>
      </c>
      <c r="G707" s="7">
        <v>24</v>
      </c>
      <c r="H707" s="7">
        <v>19.8</v>
      </c>
      <c r="I707" s="7">
        <f t="shared" si="21"/>
        <v>4.1999999999999993</v>
      </c>
      <c r="J707" t="s">
        <v>40</v>
      </c>
      <c r="K707" s="11">
        <v>0.9</v>
      </c>
    </row>
    <row r="708" spans="1:11" x14ac:dyDescent="0.25">
      <c r="B708" t="s">
        <v>280</v>
      </c>
      <c r="C708" t="s">
        <v>37</v>
      </c>
      <c r="D708" t="s">
        <v>38</v>
      </c>
      <c r="E708" t="s">
        <v>283</v>
      </c>
      <c r="F708" t="s">
        <v>426</v>
      </c>
      <c r="G708" s="7">
        <v>20</v>
      </c>
      <c r="H708" s="7">
        <v>16.5</v>
      </c>
      <c r="I708" s="7">
        <f t="shared" si="21"/>
        <v>3.5</v>
      </c>
      <c r="J708" t="s">
        <v>40</v>
      </c>
      <c r="K708" s="11">
        <v>0.75</v>
      </c>
    </row>
    <row r="709" spans="1:11" x14ac:dyDescent="0.25">
      <c r="K709" s="11"/>
    </row>
    <row r="710" spans="1:11" x14ac:dyDescent="0.25">
      <c r="A710" t="s">
        <v>404</v>
      </c>
      <c r="E710" s="8" t="s">
        <v>405</v>
      </c>
      <c r="F710" s="8"/>
      <c r="K710" s="11"/>
    </row>
    <row r="711" spans="1:11" x14ac:dyDescent="0.25">
      <c r="B711" t="s">
        <v>284</v>
      </c>
      <c r="C711" t="s">
        <v>373</v>
      </c>
      <c r="D711" t="s">
        <v>38</v>
      </c>
      <c r="E711" t="s">
        <v>285</v>
      </c>
      <c r="F711" t="s">
        <v>427</v>
      </c>
      <c r="G711" s="7">
        <v>120</v>
      </c>
      <c r="H711" s="7">
        <v>92.4</v>
      </c>
      <c r="I711" s="7">
        <f t="shared" si="21"/>
        <v>27.599999999999994</v>
      </c>
      <c r="J711" t="s">
        <v>40</v>
      </c>
      <c r="K711" s="11">
        <v>4.2</v>
      </c>
    </row>
    <row r="712" spans="1:11" x14ac:dyDescent="0.25">
      <c r="B712" t="s">
        <v>284</v>
      </c>
      <c r="C712" t="s">
        <v>338</v>
      </c>
      <c r="D712" t="s">
        <v>38</v>
      </c>
      <c r="E712" t="s">
        <v>285</v>
      </c>
      <c r="F712" t="s">
        <v>424</v>
      </c>
      <c r="G712" s="7">
        <v>144</v>
      </c>
      <c r="H712" s="7">
        <v>110.88</v>
      </c>
      <c r="I712" s="7">
        <f t="shared" si="21"/>
        <v>33.120000000000005</v>
      </c>
      <c r="J712" t="s">
        <v>40</v>
      </c>
      <c r="K712" s="11">
        <v>5.04</v>
      </c>
    </row>
    <row r="713" spans="1:11" x14ac:dyDescent="0.25">
      <c r="B713" t="s">
        <v>284</v>
      </c>
      <c r="C713" t="s">
        <v>37</v>
      </c>
      <c r="D713" t="s">
        <v>38</v>
      </c>
      <c r="E713" t="s">
        <v>285</v>
      </c>
      <c r="F713" t="s">
        <v>426</v>
      </c>
      <c r="G713" s="7">
        <v>120</v>
      </c>
      <c r="H713" s="7">
        <v>92.4</v>
      </c>
      <c r="I713" s="7">
        <f>G713-H713</f>
        <v>27.599999999999994</v>
      </c>
      <c r="J713" t="s">
        <v>40</v>
      </c>
      <c r="K713" s="11">
        <v>4.2</v>
      </c>
    </row>
    <row r="714" spans="1:11" x14ac:dyDescent="0.25">
      <c r="B714" t="s">
        <v>284</v>
      </c>
      <c r="C714" t="s">
        <v>373</v>
      </c>
      <c r="D714" t="s">
        <v>38</v>
      </c>
      <c r="E714" t="s">
        <v>286</v>
      </c>
      <c r="F714" t="s">
        <v>427</v>
      </c>
      <c r="G714" s="7">
        <v>30</v>
      </c>
      <c r="H714" s="7">
        <v>23.1</v>
      </c>
      <c r="I714" s="7">
        <f t="shared" si="21"/>
        <v>6.8999999999999986</v>
      </c>
      <c r="J714" t="s">
        <v>40</v>
      </c>
      <c r="K714" s="11">
        <v>1.05</v>
      </c>
    </row>
    <row r="715" spans="1:11" x14ac:dyDescent="0.25">
      <c r="B715" t="s">
        <v>284</v>
      </c>
      <c r="C715" t="s">
        <v>338</v>
      </c>
      <c r="D715" t="s">
        <v>38</v>
      </c>
      <c r="E715" t="s">
        <v>286</v>
      </c>
      <c r="F715" t="s">
        <v>424</v>
      </c>
      <c r="G715" s="7">
        <v>36</v>
      </c>
      <c r="H715" s="7">
        <v>27.72</v>
      </c>
      <c r="I715" s="7">
        <f t="shared" si="21"/>
        <v>8.2800000000000011</v>
      </c>
      <c r="J715" t="s">
        <v>40</v>
      </c>
      <c r="K715" s="11">
        <v>1.26</v>
      </c>
    </row>
    <row r="716" spans="1:11" x14ac:dyDescent="0.25">
      <c r="B716" t="s">
        <v>284</v>
      </c>
      <c r="C716" t="s">
        <v>37</v>
      </c>
      <c r="D716" t="s">
        <v>38</v>
      </c>
      <c r="E716" t="s">
        <v>286</v>
      </c>
      <c r="F716" t="s">
        <v>426</v>
      </c>
      <c r="G716" s="7">
        <v>30</v>
      </c>
      <c r="H716" s="7">
        <v>23.1</v>
      </c>
      <c r="I716" s="7">
        <f t="shared" si="21"/>
        <v>6.8999999999999986</v>
      </c>
      <c r="J716" t="s">
        <v>40</v>
      </c>
      <c r="K716" s="11">
        <v>1.05</v>
      </c>
    </row>
    <row r="717" spans="1:11" x14ac:dyDescent="0.25">
      <c r="B717" t="s">
        <v>284</v>
      </c>
      <c r="C717" t="s">
        <v>373</v>
      </c>
      <c r="D717" t="s">
        <v>38</v>
      </c>
      <c r="E717" t="s">
        <v>287</v>
      </c>
      <c r="F717" t="s">
        <v>427</v>
      </c>
      <c r="G717" s="7">
        <v>1400</v>
      </c>
      <c r="H717" s="7">
        <v>1078</v>
      </c>
      <c r="I717" s="7">
        <f t="shared" si="21"/>
        <v>322</v>
      </c>
      <c r="J717" t="s">
        <v>40</v>
      </c>
      <c r="K717" s="11">
        <v>49</v>
      </c>
    </row>
    <row r="718" spans="1:11" x14ac:dyDescent="0.25">
      <c r="B718" t="s">
        <v>284</v>
      </c>
      <c r="C718" t="s">
        <v>338</v>
      </c>
      <c r="D718" t="s">
        <v>38</v>
      </c>
      <c r="E718" t="s">
        <v>287</v>
      </c>
      <c r="F718" t="s">
        <v>424</v>
      </c>
      <c r="G718" s="7">
        <v>1680</v>
      </c>
      <c r="H718" s="7">
        <v>1293.5999999999999</v>
      </c>
      <c r="I718" s="7">
        <f t="shared" si="21"/>
        <v>386.40000000000009</v>
      </c>
      <c r="J718" t="s">
        <v>40</v>
      </c>
      <c r="K718" s="11">
        <v>58.8</v>
      </c>
    </row>
    <row r="719" spans="1:11" x14ac:dyDescent="0.25">
      <c r="B719" t="s">
        <v>284</v>
      </c>
      <c r="C719" t="s">
        <v>37</v>
      </c>
      <c r="D719" t="s">
        <v>38</v>
      </c>
      <c r="E719" t="s">
        <v>287</v>
      </c>
      <c r="F719" t="s">
        <v>426</v>
      </c>
      <c r="G719" s="7">
        <v>1400</v>
      </c>
      <c r="H719" s="7">
        <v>1078</v>
      </c>
      <c r="I719" s="7">
        <f t="shared" si="21"/>
        <v>322</v>
      </c>
      <c r="J719" t="s">
        <v>40</v>
      </c>
      <c r="K719" s="11">
        <v>49</v>
      </c>
    </row>
    <row r="720" spans="1:11" x14ac:dyDescent="0.25">
      <c r="B720" t="s">
        <v>284</v>
      </c>
      <c r="C720" t="s">
        <v>373</v>
      </c>
      <c r="D720" t="s">
        <v>38</v>
      </c>
      <c r="E720" t="s">
        <v>288</v>
      </c>
      <c r="F720" t="s">
        <v>427</v>
      </c>
      <c r="G720" s="7">
        <v>4</v>
      </c>
      <c r="H720" s="7">
        <v>3.08</v>
      </c>
      <c r="I720" s="7">
        <f t="shared" si="21"/>
        <v>0.91999999999999993</v>
      </c>
      <c r="J720" t="s">
        <v>40</v>
      </c>
      <c r="K720" s="11">
        <v>0.14000000000000001</v>
      </c>
    </row>
    <row r="721" spans="1:11" x14ac:dyDescent="0.25">
      <c r="B721" t="s">
        <v>284</v>
      </c>
      <c r="C721" t="s">
        <v>338</v>
      </c>
      <c r="D721" t="s">
        <v>38</v>
      </c>
      <c r="E721" t="s">
        <v>288</v>
      </c>
      <c r="F721" t="s">
        <v>424</v>
      </c>
      <c r="G721" s="7">
        <v>4.8</v>
      </c>
      <c r="H721" s="7">
        <v>3.6959999999999997</v>
      </c>
      <c r="I721" s="7">
        <f t="shared" si="21"/>
        <v>1.1040000000000001</v>
      </c>
      <c r="J721" t="s">
        <v>40</v>
      </c>
      <c r="K721" s="11">
        <v>0.17</v>
      </c>
    </row>
    <row r="722" spans="1:11" x14ac:dyDescent="0.25">
      <c r="B722" t="s">
        <v>284</v>
      </c>
      <c r="C722" t="s">
        <v>37</v>
      </c>
      <c r="D722" t="s">
        <v>38</v>
      </c>
      <c r="E722" t="s">
        <v>288</v>
      </c>
      <c r="F722" t="s">
        <v>426</v>
      </c>
      <c r="G722" s="7">
        <v>4</v>
      </c>
      <c r="H722" s="7">
        <v>3.08</v>
      </c>
      <c r="I722" s="7">
        <f t="shared" si="21"/>
        <v>0.91999999999999993</v>
      </c>
      <c r="J722" t="s">
        <v>40</v>
      </c>
      <c r="K722" s="11">
        <v>0.14000000000000001</v>
      </c>
    </row>
    <row r="723" spans="1:11" x14ac:dyDescent="0.25">
      <c r="K723" s="11"/>
    </row>
    <row r="724" spans="1:11" x14ac:dyDescent="0.25">
      <c r="A724" t="s">
        <v>406</v>
      </c>
      <c r="E724" s="8" t="s">
        <v>407</v>
      </c>
      <c r="F724" s="8"/>
      <c r="K724" s="11"/>
    </row>
    <row r="725" spans="1:11" x14ac:dyDescent="0.25">
      <c r="B725" t="s">
        <v>290</v>
      </c>
      <c r="C725" t="s">
        <v>338</v>
      </c>
      <c r="D725" t="s">
        <v>38</v>
      </c>
      <c r="E725" t="s">
        <v>291</v>
      </c>
      <c r="F725" t="s">
        <v>424</v>
      </c>
      <c r="G725" s="7">
        <v>1200</v>
      </c>
      <c r="H725" s="7">
        <v>924</v>
      </c>
      <c r="I725" s="7">
        <f t="shared" si="21"/>
        <v>276</v>
      </c>
      <c r="J725" t="s">
        <v>40</v>
      </c>
      <c r="K725" s="11">
        <v>42</v>
      </c>
    </row>
    <row r="726" spans="1:11" x14ac:dyDescent="0.25">
      <c r="A726" t="s">
        <v>289</v>
      </c>
      <c r="B726" t="s">
        <v>290</v>
      </c>
      <c r="C726" t="s">
        <v>37</v>
      </c>
      <c r="D726" t="s">
        <v>38</v>
      </c>
      <c r="E726" t="s">
        <v>291</v>
      </c>
      <c r="F726" t="s">
        <v>426</v>
      </c>
      <c r="G726" s="7">
        <v>1000</v>
      </c>
      <c r="H726" s="7">
        <v>770</v>
      </c>
      <c r="I726" s="7">
        <f t="shared" si="21"/>
        <v>230</v>
      </c>
      <c r="J726" t="s">
        <v>40</v>
      </c>
      <c r="K726" s="11">
        <v>35</v>
      </c>
    </row>
    <row r="727" spans="1:11" x14ac:dyDescent="0.25">
      <c r="B727" t="s">
        <v>290</v>
      </c>
      <c r="C727" t="s">
        <v>338</v>
      </c>
      <c r="D727" t="s">
        <v>38</v>
      </c>
      <c r="E727" t="s">
        <v>292</v>
      </c>
      <c r="F727" t="s">
        <v>424</v>
      </c>
      <c r="G727" s="7">
        <v>180</v>
      </c>
      <c r="H727" s="7">
        <v>138.6</v>
      </c>
      <c r="I727" s="7">
        <f t="shared" si="21"/>
        <v>41.400000000000006</v>
      </c>
      <c r="J727" t="s">
        <v>40</v>
      </c>
      <c r="K727" s="11">
        <v>6.3</v>
      </c>
    </row>
    <row r="728" spans="1:11" x14ac:dyDescent="0.25">
      <c r="B728" t="s">
        <v>290</v>
      </c>
      <c r="C728" t="s">
        <v>37</v>
      </c>
      <c r="D728" t="s">
        <v>38</v>
      </c>
      <c r="E728" t="s">
        <v>292</v>
      </c>
      <c r="F728" t="s">
        <v>426</v>
      </c>
      <c r="G728" s="7">
        <v>150</v>
      </c>
      <c r="H728" s="7">
        <v>115.5</v>
      </c>
      <c r="I728" s="7">
        <f t="shared" si="21"/>
        <v>34.5</v>
      </c>
      <c r="J728" t="s">
        <v>40</v>
      </c>
      <c r="K728" s="11">
        <v>5.25</v>
      </c>
    </row>
    <row r="729" spans="1:11" x14ac:dyDescent="0.25">
      <c r="B729" t="s">
        <v>293</v>
      </c>
      <c r="C729" t="s">
        <v>338</v>
      </c>
      <c r="D729" t="s">
        <v>38</v>
      </c>
      <c r="E729" t="s">
        <v>294</v>
      </c>
      <c r="F729" t="s">
        <v>424</v>
      </c>
      <c r="G729" s="7">
        <v>1200</v>
      </c>
      <c r="H729" s="7">
        <v>924</v>
      </c>
      <c r="I729" s="7">
        <f t="shared" si="21"/>
        <v>276</v>
      </c>
      <c r="J729" t="s">
        <v>40</v>
      </c>
      <c r="K729" s="11">
        <v>42</v>
      </c>
    </row>
    <row r="730" spans="1:11" x14ac:dyDescent="0.25">
      <c r="B730" t="s">
        <v>293</v>
      </c>
      <c r="C730" t="s">
        <v>37</v>
      </c>
      <c r="D730" t="s">
        <v>38</v>
      </c>
      <c r="E730" t="s">
        <v>294</v>
      </c>
      <c r="F730" t="s">
        <v>426</v>
      </c>
      <c r="G730" s="7">
        <v>1000</v>
      </c>
      <c r="H730" s="7">
        <v>770</v>
      </c>
      <c r="I730" s="7">
        <f t="shared" si="21"/>
        <v>230</v>
      </c>
      <c r="J730" t="s">
        <v>40</v>
      </c>
      <c r="K730" s="11">
        <v>35</v>
      </c>
    </row>
    <row r="731" spans="1:11" x14ac:dyDescent="0.25">
      <c r="A731" t="s">
        <v>408</v>
      </c>
      <c r="B731" t="s">
        <v>293</v>
      </c>
      <c r="C731" t="s">
        <v>338</v>
      </c>
      <c r="D731" t="s">
        <v>38</v>
      </c>
      <c r="E731" t="s">
        <v>295</v>
      </c>
      <c r="F731" t="s">
        <v>424</v>
      </c>
      <c r="G731" s="7">
        <v>180</v>
      </c>
      <c r="H731" s="7">
        <v>138.6</v>
      </c>
      <c r="I731" s="7">
        <f t="shared" si="21"/>
        <v>41.400000000000006</v>
      </c>
      <c r="J731" t="s">
        <v>40</v>
      </c>
      <c r="K731" s="11">
        <v>6.3</v>
      </c>
    </row>
    <row r="732" spans="1:11" x14ac:dyDescent="0.25">
      <c r="B732" t="s">
        <v>293</v>
      </c>
      <c r="C732" t="s">
        <v>37</v>
      </c>
      <c r="D732" t="s">
        <v>38</v>
      </c>
      <c r="E732" t="s">
        <v>295</v>
      </c>
      <c r="F732" t="s">
        <v>426</v>
      </c>
      <c r="G732" s="7">
        <v>150</v>
      </c>
      <c r="H732" s="7">
        <v>115.5</v>
      </c>
      <c r="I732" s="7">
        <f t="shared" si="21"/>
        <v>34.5</v>
      </c>
      <c r="J732" t="s">
        <v>40</v>
      </c>
      <c r="K732" s="11">
        <v>5.25</v>
      </c>
    </row>
    <row r="733" spans="1:11" x14ac:dyDescent="0.25">
      <c r="B733" t="s">
        <v>296</v>
      </c>
      <c r="C733" t="s">
        <v>338</v>
      </c>
      <c r="D733" t="s">
        <v>38</v>
      </c>
      <c r="E733" t="s">
        <v>297</v>
      </c>
      <c r="F733" t="s">
        <v>424</v>
      </c>
      <c r="G733" s="7">
        <v>1200</v>
      </c>
      <c r="H733" s="7">
        <v>924</v>
      </c>
      <c r="I733" s="7">
        <f t="shared" si="21"/>
        <v>276</v>
      </c>
      <c r="J733" t="s">
        <v>40</v>
      </c>
      <c r="K733" s="11">
        <v>42</v>
      </c>
    </row>
    <row r="734" spans="1:11" x14ac:dyDescent="0.25">
      <c r="B734" t="s">
        <v>296</v>
      </c>
      <c r="C734" t="s">
        <v>37</v>
      </c>
      <c r="D734" t="s">
        <v>38</v>
      </c>
      <c r="E734" t="s">
        <v>297</v>
      </c>
      <c r="F734" t="s">
        <v>426</v>
      </c>
      <c r="G734" s="7">
        <v>1000</v>
      </c>
      <c r="H734" s="7">
        <v>770</v>
      </c>
      <c r="I734" s="7">
        <f t="shared" si="21"/>
        <v>230</v>
      </c>
      <c r="J734" t="s">
        <v>40</v>
      </c>
      <c r="K734" s="11">
        <v>35</v>
      </c>
    </row>
    <row r="735" spans="1:11" x14ac:dyDescent="0.25">
      <c r="A735" t="s">
        <v>409</v>
      </c>
      <c r="B735" t="s">
        <v>296</v>
      </c>
      <c r="C735" t="s">
        <v>338</v>
      </c>
      <c r="D735" t="s">
        <v>38</v>
      </c>
      <c r="E735" t="s">
        <v>298</v>
      </c>
      <c r="F735" t="s">
        <v>424</v>
      </c>
      <c r="G735" s="7">
        <v>180</v>
      </c>
      <c r="H735" s="7">
        <v>138.6</v>
      </c>
      <c r="I735" s="7">
        <f t="shared" si="21"/>
        <v>41.400000000000006</v>
      </c>
      <c r="J735" t="s">
        <v>40</v>
      </c>
      <c r="K735" s="11">
        <v>6.3</v>
      </c>
    </row>
    <row r="736" spans="1:11" x14ac:dyDescent="0.25">
      <c r="B736" t="s">
        <v>296</v>
      </c>
      <c r="C736" t="s">
        <v>37</v>
      </c>
      <c r="D736" t="s">
        <v>38</v>
      </c>
      <c r="E736" t="s">
        <v>298</v>
      </c>
      <c r="F736" t="s">
        <v>426</v>
      </c>
      <c r="G736" s="7">
        <v>150</v>
      </c>
      <c r="H736" s="7">
        <v>115.5</v>
      </c>
      <c r="I736" s="7">
        <f t="shared" si="21"/>
        <v>34.5</v>
      </c>
      <c r="J736" t="s">
        <v>40</v>
      </c>
      <c r="K736" s="11">
        <v>5.25</v>
      </c>
    </row>
    <row r="737" spans="1:11" x14ac:dyDescent="0.25">
      <c r="K737" s="11"/>
    </row>
    <row r="738" spans="1:11" x14ac:dyDescent="0.25">
      <c r="E738" s="8" t="s">
        <v>410</v>
      </c>
      <c r="F738" s="8"/>
      <c r="K738" s="11"/>
    </row>
    <row r="739" spans="1:11" x14ac:dyDescent="0.25">
      <c r="B739" t="s">
        <v>299</v>
      </c>
      <c r="C739" t="s">
        <v>338</v>
      </c>
      <c r="D739" t="s">
        <v>342</v>
      </c>
      <c r="E739" t="s">
        <v>300</v>
      </c>
      <c r="F739" t="s">
        <v>425</v>
      </c>
      <c r="G739" s="7">
        <v>0</v>
      </c>
      <c r="H739" s="7">
        <v>0</v>
      </c>
      <c r="I739" s="7">
        <f t="shared" si="21"/>
        <v>0</v>
      </c>
      <c r="J739" t="s">
        <v>40</v>
      </c>
      <c r="K739" s="11"/>
    </row>
    <row r="740" spans="1:11" x14ac:dyDescent="0.25">
      <c r="B740" t="s">
        <v>299</v>
      </c>
      <c r="C740" t="s">
        <v>338</v>
      </c>
      <c r="D740" t="s">
        <v>38</v>
      </c>
      <c r="E740" t="s">
        <v>300</v>
      </c>
      <c r="F740" t="s">
        <v>424</v>
      </c>
      <c r="G740" s="7">
        <v>78</v>
      </c>
      <c r="H740" s="7">
        <v>68.64</v>
      </c>
      <c r="I740" s="7">
        <f t="shared" ref="I740:I857" si="24">G740-H740</f>
        <v>9.36</v>
      </c>
      <c r="J740" t="s">
        <v>40</v>
      </c>
      <c r="K740" s="11">
        <v>3.12</v>
      </c>
    </row>
    <row r="741" spans="1:11" x14ac:dyDescent="0.25">
      <c r="B741" t="s">
        <v>299</v>
      </c>
      <c r="C741" t="s">
        <v>37</v>
      </c>
      <c r="D741" t="s">
        <v>38</v>
      </c>
      <c r="E741" t="s">
        <v>300</v>
      </c>
      <c r="F741" t="s">
        <v>426</v>
      </c>
      <c r="G741" s="7">
        <v>65</v>
      </c>
      <c r="H741" s="7">
        <v>57.199999999999996</v>
      </c>
      <c r="I741" s="7">
        <f t="shared" si="24"/>
        <v>7.8000000000000043</v>
      </c>
      <c r="J741" t="s">
        <v>40</v>
      </c>
      <c r="K741" s="11">
        <v>2.6</v>
      </c>
    </row>
    <row r="742" spans="1:11" x14ac:dyDescent="0.25">
      <c r="B742" t="s">
        <v>301</v>
      </c>
      <c r="C742" t="s">
        <v>338</v>
      </c>
      <c r="D742" t="s">
        <v>342</v>
      </c>
      <c r="E742" t="s">
        <v>302</v>
      </c>
      <c r="F742" t="s">
        <v>425</v>
      </c>
      <c r="G742" s="7">
        <v>0</v>
      </c>
      <c r="H742" s="7">
        <v>0</v>
      </c>
      <c r="I742" s="7">
        <f t="shared" si="24"/>
        <v>0</v>
      </c>
      <c r="J742" t="s">
        <v>40</v>
      </c>
      <c r="K742" s="11"/>
    </row>
    <row r="743" spans="1:11" x14ac:dyDescent="0.25">
      <c r="B743" t="s">
        <v>301</v>
      </c>
      <c r="C743" t="s">
        <v>338</v>
      </c>
      <c r="D743" t="s">
        <v>38</v>
      </c>
      <c r="E743" t="s">
        <v>302</v>
      </c>
      <c r="F743" t="s">
        <v>424</v>
      </c>
      <c r="G743" s="7">
        <v>24</v>
      </c>
      <c r="H743" s="7">
        <v>21.119999999999997</v>
      </c>
      <c r="I743" s="7">
        <f t="shared" si="24"/>
        <v>2.8800000000000026</v>
      </c>
      <c r="J743" t="s">
        <v>40</v>
      </c>
      <c r="K743" s="11">
        <v>0.96</v>
      </c>
    </row>
    <row r="744" spans="1:11" x14ac:dyDescent="0.25">
      <c r="B744" t="s">
        <v>301</v>
      </c>
      <c r="C744" t="s">
        <v>37</v>
      </c>
      <c r="D744" t="s">
        <v>38</v>
      </c>
      <c r="E744" t="s">
        <v>302</v>
      </c>
      <c r="F744" t="s">
        <v>426</v>
      </c>
      <c r="G744" s="7">
        <v>20</v>
      </c>
      <c r="H744" s="7">
        <v>17.599999999999998</v>
      </c>
      <c r="I744" s="7">
        <f t="shared" si="24"/>
        <v>2.4000000000000021</v>
      </c>
      <c r="J744" t="s">
        <v>40</v>
      </c>
      <c r="K744" s="11">
        <v>0.8</v>
      </c>
    </row>
    <row r="745" spans="1:11" x14ac:dyDescent="0.25">
      <c r="B745" t="s">
        <v>738</v>
      </c>
      <c r="C745" t="s">
        <v>373</v>
      </c>
      <c r="D745" t="s">
        <v>38</v>
      </c>
      <c r="E745" t="s">
        <v>737</v>
      </c>
      <c r="F745" t="s">
        <v>427</v>
      </c>
      <c r="G745" s="7">
        <v>650</v>
      </c>
      <c r="H745" s="7">
        <v>572</v>
      </c>
      <c r="I745" s="7">
        <f t="shared" si="24"/>
        <v>78</v>
      </c>
      <c r="J745" t="s">
        <v>40</v>
      </c>
      <c r="K745" s="11"/>
    </row>
    <row r="746" spans="1:11" x14ac:dyDescent="0.25">
      <c r="B746" t="s">
        <v>738</v>
      </c>
      <c r="C746" t="s">
        <v>338</v>
      </c>
      <c r="D746" t="s">
        <v>38</v>
      </c>
      <c r="E746" t="s">
        <v>737</v>
      </c>
      <c r="F746" t="s">
        <v>424</v>
      </c>
      <c r="G746" s="7">
        <v>780</v>
      </c>
      <c r="H746" s="7">
        <v>686.4</v>
      </c>
      <c r="I746" s="7">
        <f t="shared" si="24"/>
        <v>93.600000000000023</v>
      </c>
      <c r="J746" t="s">
        <v>40</v>
      </c>
      <c r="K746" s="11"/>
    </row>
    <row r="747" spans="1:11" x14ac:dyDescent="0.25">
      <c r="B747" t="s">
        <v>738</v>
      </c>
      <c r="C747" t="s">
        <v>37</v>
      </c>
      <c r="D747" t="s">
        <v>38</v>
      </c>
      <c r="E747" t="s">
        <v>737</v>
      </c>
      <c r="F747" t="s">
        <v>426</v>
      </c>
      <c r="G747" s="7">
        <v>650</v>
      </c>
      <c r="H747" s="7">
        <v>572</v>
      </c>
      <c r="I747" s="7">
        <f t="shared" si="24"/>
        <v>78</v>
      </c>
      <c r="J747" t="s">
        <v>40</v>
      </c>
      <c r="K747" s="11"/>
    </row>
    <row r="748" spans="1:11" x14ac:dyDescent="0.25">
      <c r="K748" s="11"/>
    </row>
    <row r="749" spans="1:11" x14ac:dyDescent="0.25">
      <c r="A749" t="s">
        <v>411</v>
      </c>
      <c r="E749" s="8" t="s">
        <v>412</v>
      </c>
      <c r="F749" s="8"/>
      <c r="K749" s="11"/>
    </row>
    <row r="750" spans="1:11" x14ac:dyDescent="0.25">
      <c r="B750" t="s">
        <v>303</v>
      </c>
      <c r="C750" t="s">
        <v>338</v>
      </c>
      <c r="D750" t="s">
        <v>38</v>
      </c>
      <c r="E750" t="s">
        <v>446</v>
      </c>
      <c r="F750" t="s">
        <v>424</v>
      </c>
      <c r="G750" s="7">
        <v>4.8</v>
      </c>
      <c r="H750" s="7">
        <v>4.22</v>
      </c>
      <c r="I750" s="7">
        <f>G750-H750</f>
        <v>0.58000000000000007</v>
      </c>
      <c r="J750" t="s">
        <v>40</v>
      </c>
      <c r="K750" s="11">
        <v>0.19</v>
      </c>
    </row>
    <row r="751" spans="1:11" x14ac:dyDescent="0.25">
      <c r="B751" t="s">
        <v>303</v>
      </c>
      <c r="C751" t="s">
        <v>37</v>
      </c>
      <c r="D751" t="s">
        <v>38</v>
      </c>
      <c r="E751" t="s">
        <v>446</v>
      </c>
      <c r="F751" t="s">
        <v>426</v>
      </c>
      <c r="G751" s="7">
        <v>4</v>
      </c>
      <c r="H751" s="7">
        <v>3.52</v>
      </c>
      <c r="I751" s="7">
        <f>G751-H751</f>
        <v>0.48</v>
      </c>
      <c r="J751" t="s">
        <v>40</v>
      </c>
      <c r="K751" s="11">
        <v>0.16</v>
      </c>
    </row>
    <row r="752" spans="1:11" x14ac:dyDescent="0.25">
      <c r="B752" t="s">
        <v>303</v>
      </c>
      <c r="C752" t="s">
        <v>338</v>
      </c>
      <c r="D752" t="s">
        <v>38</v>
      </c>
      <c r="E752" t="s">
        <v>819</v>
      </c>
      <c r="F752" t="s">
        <v>424</v>
      </c>
      <c r="G752" s="7">
        <v>9.6</v>
      </c>
      <c r="H752" s="7">
        <v>8.4499999999999993</v>
      </c>
      <c r="I752" s="7">
        <f t="shared" si="24"/>
        <v>1.1500000000000004</v>
      </c>
      <c r="J752" t="s">
        <v>40</v>
      </c>
      <c r="K752" s="11"/>
    </row>
    <row r="753" spans="2:11" x14ac:dyDescent="0.25">
      <c r="B753" t="s">
        <v>303</v>
      </c>
      <c r="C753" t="s">
        <v>37</v>
      </c>
      <c r="D753" t="s">
        <v>38</v>
      </c>
      <c r="E753" t="s">
        <v>819</v>
      </c>
      <c r="F753" t="s">
        <v>426</v>
      </c>
      <c r="G753" s="7">
        <v>8</v>
      </c>
      <c r="H753" s="7">
        <v>7.04</v>
      </c>
      <c r="I753" s="7">
        <f t="shared" si="24"/>
        <v>0.96</v>
      </c>
      <c r="J753" t="s">
        <v>40</v>
      </c>
      <c r="K753" s="11"/>
    </row>
    <row r="754" spans="2:11" x14ac:dyDescent="0.25">
      <c r="B754" t="s">
        <v>303</v>
      </c>
      <c r="C754" t="s">
        <v>338</v>
      </c>
      <c r="D754" t="s">
        <v>38</v>
      </c>
      <c r="E754" t="s">
        <v>820</v>
      </c>
      <c r="F754" t="s">
        <v>424</v>
      </c>
      <c r="G754" s="7">
        <v>4.8</v>
      </c>
      <c r="H754" s="7">
        <v>4.22</v>
      </c>
      <c r="I754" s="7">
        <f t="shared" si="24"/>
        <v>0.58000000000000007</v>
      </c>
      <c r="J754" t="s">
        <v>40</v>
      </c>
      <c r="K754" s="11"/>
    </row>
    <row r="755" spans="2:11" x14ac:dyDescent="0.25">
      <c r="B755" t="s">
        <v>303</v>
      </c>
      <c r="C755" t="s">
        <v>37</v>
      </c>
      <c r="D755" t="s">
        <v>38</v>
      </c>
      <c r="E755" t="s">
        <v>820</v>
      </c>
      <c r="F755" t="s">
        <v>426</v>
      </c>
      <c r="G755" s="7">
        <v>4</v>
      </c>
      <c r="H755" s="7">
        <v>3.52</v>
      </c>
      <c r="I755" s="7">
        <f t="shared" si="24"/>
        <v>0.48</v>
      </c>
      <c r="J755" t="s">
        <v>40</v>
      </c>
      <c r="K755" s="11"/>
    </row>
    <row r="756" spans="2:11" x14ac:dyDescent="0.25">
      <c r="B756" t="s">
        <v>303</v>
      </c>
      <c r="C756" t="s">
        <v>338</v>
      </c>
      <c r="D756" t="s">
        <v>38</v>
      </c>
      <c r="E756" t="s">
        <v>816</v>
      </c>
      <c r="F756" t="s">
        <v>424</v>
      </c>
      <c r="G756" s="7">
        <v>3.24</v>
      </c>
      <c r="H756" s="7">
        <v>2.85</v>
      </c>
      <c r="I756" s="7">
        <f t="shared" si="24"/>
        <v>0.39000000000000012</v>
      </c>
      <c r="J756" t="s">
        <v>40</v>
      </c>
      <c r="K756" s="11"/>
    </row>
    <row r="757" spans="2:11" x14ac:dyDescent="0.25">
      <c r="B757" t="s">
        <v>303</v>
      </c>
      <c r="C757" t="s">
        <v>37</v>
      </c>
      <c r="D757" t="s">
        <v>38</v>
      </c>
      <c r="E757" t="s">
        <v>816</v>
      </c>
      <c r="F757" t="s">
        <v>426</v>
      </c>
      <c r="G757" s="7">
        <v>2.7</v>
      </c>
      <c r="H757" s="7">
        <v>2.38</v>
      </c>
      <c r="I757" s="7">
        <f t="shared" si="24"/>
        <v>0.32000000000000028</v>
      </c>
      <c r="J757" t="s">
        <v>40</v>
      </c>
      <c r="K757" s="11"/>
    </row>
    <row r="758" spans="2:11" x14ac:dyDescent="0.25">
      <c r="B758" t="s">
        <v>303</v>
      </c>
      <c r="C758" t="s">
        <v>338</v>
      </c>
      <c r="D758" t="s">
        <v>38</v>
      </c>
      <c r="E758" t="s">
        <v>817</v>
      </c>
      <c r="F758" t="s">
        <v>424</v>
      </c>
      <c r="G758" s="7">
        <v>4.8</v>
      </c>
      <c r="H758" s="7">
        <v>4.22</v>
      </c>
      <c r="I758" s="7">
        <f t="shared" si="24"/>
        <v>0.58000000000000007</v>
      </c>
      <c r="J758" t="s">
        <v>40</v>
      </c>
      <c r="K758" s="11"/>
    </row>
    <row r="759" spans="2:11" x14ac:dyDescent="0.25">
      <c r="B759" t="s">
        <v>303</v>
      </c>
      <c r="C759" t="s">
        <v>37</v>
      </c>
      <c r="D759" t="s">
        <v>38</v>
      </c>
      <c r="E759" t="s">
        <v>817</v>
      </c>
      <c r="F759" t="s">
        <v>426</v>
      </c>
      <c r="G759" s="7">
        <v>4</v>
      </c>
      <c r="H759" s="7">
        <v>3.52</v>
      </c>
      <c r="I759" s="7">
        <f t="shared" si="24"/>
        <v>0.48</v>
      </c>
      <c r="J759" t="s">
        <v>40</v>
      </c>
      <c r="K759" s="11"/>
    </row>
    <row r="760" spans="2:11" x14ac:dyDescent="0.25">
      <c r="B760" t="s">
        <v>802</v>
      </c>
      <c r="C760" t="s">
        <v>338</v>
      </c>
      <c r="D760" t="s">
        <v>38</v>
      </c>
      <c r="E760" t="s">
        <v>803</v>
      </c>
      <c r="F760" t="s">
        <v>424</v>
      </c>
      <c r="G760" s="7">
        <v>4.2</v>
      </c>
      <c r="H760" s="7">
        <v>3.7</v>
      </c>
      <c r="I760" s="7">
        <f t="shared" si="24"/>
        <v>0.5</v>
      </c>
      <c r="J760" t="s">
        <v>40</v>
      </c>
      <c r="K760" s="11"/>
    </row>
    <row r="761" spans="2:11" x14ac:dyDescent="0.25">
      <c r="B761" t="s">
        <v>802</v>
      </c>
      <c r="C761" t="s">
        <v>37</v>
      </c>
      <c r="D761" t="s">
        <v>38</v>
      </c>
      <c r="E761" t="s">
        <v>803</v>
      </c>
      <c r="F761" t="s">
        <v>426</v>
      </c>
      <c r="G761" s="7">
        <v>3.5</v>
      </c>
      <c r="H761" s="7">
        <v>3.08</v>
      </c>
      <c r="I761" s="7">
        <f t="shared" si="24"/>
        <v>0.41999999999999993</v>
      </c>
      <c r="J761" t="s">
        <v>40</v>
      </c>
      <c r="K761" s="11"/>
    </row>
    <row r="762" spans="2:11" x14ac:dyDescent="0.25">
      <c r="B762" t="s">
        <v>818</v>
      </c>
      <c r="C762" t="s">
        <v>338</v>
      </c>
      <c r="D762" t="s">
        <v>38</v>
      </c>
      <c r="E762" t="s">
        <v>815</v>
      </c>
      <c r="F762" t="s">
        <v>424</v>
      </c>
      <c r="G762" s="7">
        <v>3.6</v>
      </c>
      <c r="H762" s="7">
        <v>3.17</v>
      </c>
      <c r="I762" s="7">
        <f t="shared" si="24"/>
        <v>0.43000000000000016</v>
      </c>
      <c r="J762" t="s">
        <v>40</v>
      </c>
      <c r="K762" s="11"/>
    </row>
    <row r="763" spans="2:11" x14ac:dyDescent="0.25">
      <c r="B763" t="s">
        <v>818</v>
      </c>
      <c r="C763" t="s">
        <v>37</v>
      </c>
      <c r="D763" t="s">
        <v>38</v>
      </c>
      <c r="E763" t="s">
        <v>815</v>
      </c>
      <c r="F763" t="s">
        <v>426</v>
      </c>
      <c r="G763" s="7">
        <v>3</v>
      </c>
      <c r="H763" s="7">
        <v>2.64</v>
      </c>
      <c r="I763" s="7">
        <f t="shared" si="24"/>
        <v>0.35999999999999988</v>
      </c>
      <c r="J763" t="s">
        <v>40</v>
      </c>
      <c r="K763" s="11"/>
    </row>
    <row r="764" spans="2:11" x14ac:dyDescent="0.25">
      <c r="B764" t="s">
        <v>822</v>
      </c>
      <c r="C764" t="s">
        <v>338</v>
      </c>
      <c r="D764" t="s">
        <v>38</v>
      </c>
      <c r="E764" t="s">
        <v>821</v>
      </c>
      <c r="F764" t="s">
        <v>424</v>
      </c>
      <c r="G764" s="7">
        <v>12</v>
      </c>
      <c r="H764" s="7">
        <v>10.56</v>
      </c>
      <c r="I764" s="7">
        <f t="shared" si="24"/>
        <v>1.4399999999999995</v>
      </c>
      <c r="J764" t="s">
        <v>40</v>
      </c>
      <c r="K764" s="11"/>
    </row>
    <row r="765" spans="2:11" x14ac:dyDescent="0.25">
      <c r="B765" t="s">
        <v>822</v>
      </c>
      <c r="C765" t="s">
        <v>37</v>
      </c>
      <c r="D765" t="s">
        <v>38</v>
      </c>
      <c r="E765" t="s">
        <v>821</v>
      </c>
      <c r="F765" t="s">
        <v>426</v>
      </c>
      <c r="G765" s="7">
        <v>10</v>
      </c>
      <c r="H765" s="7">
        <v>8.8000000000000007</v>
      </c>
      <c r="I765" s="7">
        <f t="shared" si="24"/>
        <v>1.1999999999999993</v>
      </c>
      <c r="J765" t="s">
        <v>40</v>
      </c>
      <c r="K765" s="11"/>
    </row>
    <row r="766" spans="2:11" x14ac:dyDescent="0.25">
      <c r="B766" t="s">
        <v>1115</v>
      </c>
      <c r="C766" t="s">
        <v>338</v>
      </c>
      <c r="D766" t="s">
        <v>38</v>
      </c>
      <c r="E766" t="s">
        <v>1355</v>
      </c>
      <c r="F766" t="s">
        <v>424</v>
      </c>
      <c r="G766" s="7">
        <v>5</v>
      </c>
      <c r="H766" s="7">
        <v>4.4000000000000004</v>
      </c>
      <c r="I766" s="7">
        <f t="shared" si="24"/>
        <v>0.59999999999999964</v>
      </c>
      <c r="J766" t="s">
        <v>40</v>
      </c>
      <c r="K766" s="11"/>
    </row>
    <row r="767" spans="2:11" x14ac:dyDescent="0.25">
      <c r="B767" t="s">
        <v>1115</v>
      </c>
      <c r="C767" t="s">
        <v>37</v>
      </c>
      <c r="D767" t="s">
        <v>38</v>
      </c>
      <c r="E767" t="s">
        <v>1355</v>
      </c>
      <c r="F767" t="s">
        <v>426</v>
      </c>
      <c r="G767" s="7">
        <v>6</v>
      </c>
      <c r="H767" s="7">
        <v>5.2799999999999994</v>
      </c>
      <c r="I767" s="7">
        <f t="shared" si="24"/>
        <v>0.72000000000000064</v>
      </c>
      <c r="J767" t="s">
        <v>40</v>
      </c>
      <c r="K767" s="11"/>
    </row>
    <row r="768" spans="2:11" x14ac:dyDescent="0.25">
      <c r="B768" t="s">
        <v>818</v>
      </c>
      <c r="C768" t="s">
        <v>338</v>
      </c>
      <c r="D768" t="s">
        <v>38</v>
      </c>
      <c r="E768" t="s">
        <v>815</v>
      </c>
      <c r="F768" t="s">
        <v>424</v>
      </c>
      <c r="G768" s="7">
        <v>3.6</v>
      </c>
      <c r="H768" s="7">
        <v>3.1679999999999997</v>
      </c>
      <c r="I768" s="7">
        <f t="shared" si="24"/>
        <v>0.43200000000000038</v>
      </c>
      <c r="J768" t="s">
        <v>40</v>
      </c>
      <c r="K768" s="11"/>
    </row>
    <row r="769" spans="1:11" x14ac:dyDescent="0.25">
      <c r="B769" t="s">
        <v>818</v>
      </c>
      <c r="C769" t="s">
        <v>37</v>
      </c>
      <c r="D769" t="s">
        <v>38</v>
      </c>
      <c r="E769" t="s">
        <v>815</v>
      </c>
      <c r="F769" t="s">
        <v>426</v>
      </c>
      <c r="G769" s="7">
        <v>3</v>
      </c>
      <c r="H769" s="7">
        <v>2.6399999999999997</v>
      </c>
      <c r="I769" s="7">
        <f t="shared" si="24"/>
        <v>0.36000000000000032</v>
      </c>
      <c r="J769" t="s">
        <v>40</v>
      </c>
      <c r="K769" s="11"/>
    </row>
    <row r="770" spans="1:11" x14ac:dyDescent="0.25">
      <c r="B770" t="s">
        <v>1118</v>
      </c>
      <c r="C770" t="s">
        <v>338</v>
      </c>
      <c r="D770" t="s">
        <v>38</v>
      </c>
      <c r="E770" t="s">
        <v>1356</v>
      </c>
      <c r="F770" t="s">
        <v>424</v>
      </c>
      <c r="G770" s="7">
        <v>2</v>
      </c>
      <c r="H770" s="7">
        <v>1.7599999999999998</v>
      </c>
      <c r="I770" s="7">
        <f t="shared" si="24"/>
        <v>0.24000000000000021</v>
      </c>
      <c r="J770" t="s">
        <v>40</v>
      </c>
      <c r="K770" s="11"/>
    </row>
    <row r="771" spans="1:11" x14ac:dyDescent="0.25">
      <c r="B771" t="s">
        <v>1118</v>
      </c>
      <c r="C771" t="s">
        <v>37</v>
      </c>
      <c r="D771" t="s">
        <v>38</v>
      </c>
      <c r="E771" t="s">
        <v>1356</v>
      </c>
      <c r="F771" t="s">
        <v>426</v>
      </c>
      <c r="G771" s="7">
        <v>2.4</v>
      </c>
      <c r="H771" s="7">
        <v>2.1120000000000001</v>
      </c>
      <c r="I771" s="7">
        <f t="shared" si="24"/>
        <v>0.28799999999999981</v>
      </c>
      <c r="J771" t="s">
        <v>40</v>
      </c>
      <c r="K771" s="11"/>
    </row>
    <row r="772" spans="1:11" x14ac:dyDescent="0.25">
      <c r="B772" t="s">
        <v>887</v>
      </c>
      <c r="C772" t="s">
        <v>338</v>
      </c>
      <c r="D772" t="s">
        <v>38</v>
      </c>
      <c r="E772" t="s">
        <v>886</v>
      </c>
      <c r="F772" t="s">
        <v>424</v>
      </c>
      <c r="G772" s="7">
        <v>2.4</v>
      </c>
      <c r="H772" s="7">
        <v>2.11</v>
      </c>
      <c r="I772" s="7">
        <f t="shared" si="24"/>
        <v>0.29000000000000004</v>
      </c>
      <c r="J772" t="s">
        <v>40</v>
      </c>
      <c r="K772" s="11"/>
    </row>
    <row r="773" spans="1:11" x14ac:dyDescent="0.25">
      <c r="B773" t="s">
        <v>887</v>
      </c>
      <c r="C773" t="s">
        <v>37</v>
      </c>
      <c r="D773" t="s">
        <v>38</v>
      </c>
      <c r="E773" t="s">
        <v>886</v>
      </c>
      <c r="F773" t="s">
        <v>426</v>
      </c>
      <c r="G773" s="7">
        <v>2</v>
      </c>
      <c r="H773" s="7">
        <v>1.76</v>
      </c>
      <c r="I773" s="7">
        <f t="shared" si="24"/>
        <v>0.24</v>
      </c>
      <c r="J773" t="s">
        <v>40</v>
      </c>
      <c r="K773" s="11"/>
    </row>
    <row r="774" spans="1:11" x14ac:dyDescent="0.25">
      <c r="K774" s="11"/>
    </row>
    <row r="775" spans="1:11" x14ac:dyDescent="0.25">
      <c r="A775" t="s">
        <v>413</v>
      </c>
      <c r="E775" s="8" t="s">
        <v>414</v>
      </c>
      <c r="F775" s="8"/>
      <c r="K775" s="11"/>
    </row>
    <row r="776" spans="1:11" x14ac:dyDescent="0.25">
      <c r="B776" t="s">
        <v>304</v>
      </c>
      <c r="C776" t="s">
        <v>338</v>
      </c>
      <c r="D776" t="s">
        <v>38</v>
      </c>
      <c r="E776" t="s">
        <v>305</v>
      </c>
      <c r="F776" t="s">
        <v>424</v>
      </c>
      <c r="G776" s="7">
        <v>2.4</v>
      </c>
      <c r="H776" s="7">
        <v>2.11</v>
      </c>
      <c r="I776" s="7">
        <f>G776-H776</f>
        <v>0.29000000000000004</v>
      </c>
      <c r="J776" t="s">
        <v>40</v>
      </c>
      <c r="K776" s="11">
        <v>0.1</v>
      </c>
    </row>
    <row r="777" spans="1:11" x14ac:dyDescent="0.25">
      <c r="B777" t="s">
        <v>304</v>
      </c>
      <c r="C777" t="s">
        <v>37</v>
      </c>
      <c r="D777" t="s">
        <v>38</v>
      </c>
      <c r="E777" t="s">
        <v>305</v>
      </c>
      <c r="F777" t="s">
        <v>426</v>
      </c>
      <c r="G777" s="7">
        <v>2</v>
      </c>
      <c r="H777" s="7">
        <v>1.76</v>
      </c>
      <c r="I777" s="7">
        <f t="shared" si="24"/>
        <v>0.24</v>
      </c>
      <c r="J777" t="s">
        <v>40</v>
      </c>
      <c r="K777" s="11">
        <v>0.08</v>
      </c>
    </row>
    <row r="778" spans="1:11" x14ac:dyDescent="0.25">
      <c r="B778" t="s">
        <v>306</v>
      </c>
      <c r="C778" t="s">
        <v>338</v>
      </c>
      <c r="D778" t="s">
        <v>38</v>
      </c>
      <c r="E778" t="s">
        <v>307</v>
      </c>
      <c r="F778" t="s">
        <v>424</v>
      </c>
      <c r="G778" s="7">
        <v>120</v>
      </c>
      <c r="H778" s="7">
        <v>105.6</v>
      </c>
      <c r="I778" s="7">
        <f>G778-H778</f>
        <v>14.400000000000006</v>
      </c>
      <c r="J778" t="s">
        <v>40</v>
      </c>
      <c r="K778" s="11">
        <v>4.8</v>
      </c>
    </row>
    <row r="779" spans="1:11" x14ac:dyDescent="0.25">
      <c r="B779" t="s">
        <v>306</v>
      </c>
      <c r="C779" t="s">
        <v>37</v>
      </c>
      <c r="D779" t="s">
        <v>38</v>
      </c>
      <c r="E779" t="s">
        <v>307</v>
      </c>
      <c r="F779" t="s">
        <v>426</v>
      </c>
      <c r="G779" s="7">
        <v>100</v>
      </c>
      <c r="H779" s="7">
        <v>88</v>
      </c>
      <c r="I779" s="7">
        <f t="shared" si="24"/>
        <v>12</v>
      </c>
      <c r="J779" t="s">
        <v>40</v>
      </c>
      <c r="K779" s="11">
        <v>4</v>
      </c>
    </row>
    <row r="780" spans="1:11" x14ac:dyDescent="0.25">
      <c r="K780" s="11"/>
    </row>
    <row r="781" spans="1:11" x14ac:dyDescent="0.25">
      <c r="A781" t="s">
        <v>415</v>
      </c>
      <c r="E781" s="8" t="s">
        <v>416</v>
      </c>
      <c r="F781" s="8"/>
      <c r="K781" s="11"/>
    </row>
    <row r="782" spans="1:11" x14ac:dyDescent="0.25">
      <c r="B782" t="s">
        <v>308</v>
      </c>
      <c r="C782" t="s">
        <v>338</v>
      </c>
      <c r="D782" t="s">
        <v>38</v>
      </c>
      <c r="E782" t="s">
        <v>309</v>
      </c>
      <c r="F782" t="s">
        <v>424</v>
      </c>
      <c r="G782" s="7">
        <v>120</v>
      </c>
      <c r="H782" s="7">
        <v>99</v>
      </c>
      <c r="I782" s="7">
        <f t="shared" si="24"/>
        <v>21</v>
      </c>
      <c r="J782" t="s">
        <v>40</v>
      </c>
      <c r="K782" s="11">
        <v>4.5</v>
      </c>
    </row>
    <row r="783" spans="1:11" x14ac:dyDescent="0.25">
      <c r="B783" t="s">
        <v>308</v>
      </c>
      <c r="C783" t="s">
        <v>37</v>
      </c>
      <c r="D783" t="s">
        <v>38</v>
      </c>
      <c r="E783" t="s">
        <v>309</v>
      </c>
      <c r="F783" t="s">
        <v>426</v>
      </c>
      <c r="G783" s="7">
        <v>100</v>
      </c>
      <c r="H783" s="7">
        <v>82.5</v>
      </c>
      <c r="I783" s="7">
        <f t="shared" si="24"/>
        <v>17.5</v>
      </c>
      <c r="J783" t="s">
        <v>40</v>
      </c>
      <c r="K783" s="11">
        <v>3.75</v>
      </c>
    </row>
    <row r="784" spans="1:11" x14ac:dyDescent="0.25">
      <c r="B784" t="s">
        <v>310</v>
      </c>
      <c r="C784" t="s">
        <v>338</v>
      </c>
      <c r="D784" t="s">
        <v>38</v>
      </c>
      <c r="E784" t="s">
        <v>311</v>
      </c>
      <c r="F784" t="s">
        <v>424</v>
      </c>
      <c r="G784" s="7">
        <v>18</v>
      </c>
      <c r="H784" s="7">
        <v>14.85</v>
      </c>
      <c r="I784" s="7">
        <f t="shared" si="24"/>
        <v>3.1500000000000004</v>
      </c>
      <c r="J784" t="s">
        <v>40</v>
      </c>
      <c r="K784" s="11">
        <v>0.68</v>
      </c>
    </row>
    <row r="785" spans="1:11" x14ac:dyDescent="0.25">
      <c r="B785" t="s">
        <v>310</v>
      </c>
      <c r="C785" t="s">
        <v>37</v>
      </c>
      <c r="D785" t="s">
        <v>38</v>
      </c>
      <c r="E785" t="s">
        <v>311</v>
      </c>
      <c r="F785" t="s">
        <v>426</v>
      </c>
      <c r="G785" s="7">
        <v>15</v>
      </c>
      <c r="H785" s="7">
        <v>12.375</v>
      </c>
      <c r="I785" s="7">
        <f t="shared" si="24"/>
        <v>2.625</v>
      </c>
      <c r="J785" t="s">
        <v>40</v>
      </c>
      <c r="K785" s="11">
        <v>0.56000000000000005</v>
      </c>
    </row>
    <row r="786" spans="1:11" x14ac:dyDescent="0.25">
      <c r="B786" t="s">
        <v>317</v>
      </c>
      <c r="C786" t="s">
        <v>338</v>
      </c>
      <c r="D786" t="s">
        <v>38</v>
      </c>
      <c r="E786" t="s">
        <v>318</v>
      </c>
      <c r="F786" t="s">
        <v>424</v>
      </c>
      <c r="G786" s="7">
        <v>258</v>
      </c>
      <c r="H786" s="7">
        <v>212.85</v>
      </c>
      <c r="I786" s="7">
        <f t="shared" si="24"/>
        <v>45.150000000000006</v>
      </c>
      <c r="J786" t="s">
        <v>40</v>
      </c>
      <c r="K786" s="11"/>
    </row>
    <row r="787" spans="1:11" x14ac:dyDescent="0.25">
      <c r="B787" t="s">
        <v>317</v>
      </c>
      <c r="C787" t="s">
        <v>37</v>
      </c>
      <c r="D787" t="s">
        <v>38</v>
      </c>
      <c r="E787" t="s">
        <v>318</v>
      </c>
      <c r="F787" t="s">
        <v>426</v>
      </c>
      <c r="G787" s="7">
        <v>215</v>
      </c>
      <c r="H787" s="7">
        <v>177.38</v>
      </c>
      <c r="I787" s="7">
        <f t="shared" si="24"/>
        <v>37.620000000000005</v>
      </c>
      <c r="J787" t="s">
        <v>40</v>
      </c>
      <c r="K787" s="11"/>
    </row>
    <row r="788" spans="1:11" x14ac:dyDescent="0.25">
      <c r="B788" t="s">
        <v>763</v>
      </c>
      <c r="C788" t="s">
        <v>338</v>
      </c>
      <c r="D788" t="s">
        <v>38</v>
      </c>
      <c r="E788" t="s">
        <v>762</v>
      </c>
      <c r="F788" t="s">
        <v>424</v>
      </c>
      <c r="G788" s="7">
        <v>180</v>
      </c>
      <c r="H788" s="7">
        <v>158.4</v>
      </c>
      <c r="I788" s="7">
        <f t="shared" si="24"/>
        <v>21.599999999999994</v>
      </c>
      <c r="J788" t="s">
        <v>40</v>
      </c>
      <c r="K788" s="11"/>
    </row>
    <row r="789" spans="1:11" x14ac:dyDescent="0.25">
      <c r="B789" t="s">
        <v>763</v>
      </c>
      <c r="C789" t="s">
        <v>37</v>
      </c>
      <c r="D789" t="s">
        <v>38</v>
      </c>
      <c r="E789" t="s">
        <v>762</v>
      </c>
      <c r="F789" t="s">
        <v>426</v>
      </c>
      <c r="G789" s="7">
        <v>150</v>
      </c>
      <c r="H789" s="7">
        <v>132</v>
      </c>
      <c r="I789" s="7">
        <f t="shared" si="24"/>
        <v>18</v>
      </c>
      <c r="J789" t="s">
        <v>40</v>
      </c>
      <c r="K789" s="11"/>
    </row>
    <row r="790" spans="1:11" x14ac:dyDescent="0.25">
      <c r="B790" t="s">
        <v>316</v>
      </c>
      <c r="C790" t="s">
        <v>338</v>
      </c>
      <c r="D790" t="s">
        <v>38</v>
      </c>
      <c r="E790" t="s">
        <v>719</v>
      </c>
      <c r="F790" t="s">
        <v>424</v>
      </c>
      <c r="G790" s="7">
        <v>18</v>
      </c>
      <c r="H790" s="7">
        <v>14.85</v>
      </c>
      <c r="I790" s="7">
        <f t="shared" si="24"/>
        <v>3.1500000000000004</v>
      </c>
      <c r="J790" t="s">
        <v>40</v>
      </c>
      <c r="K790" s="11"/>
    </row>
    <row r="791" spans="1:11" x14ac:dyDescent="0.25">
      <c r="B791" t="s">
        <v>316</v>
      </c>
      <c r="C791" t="s">
        <v>37</v>
      </c>
      <c r="D791" t="s">
        <v>38</v>
      </c>
      <c r="E791" t="s">
        <v>719</v>
      </c>
      <c r="F791" t="s">
        <v>426</v>
      </c>
      <c r="G791" s="7">
        <v>15</v>
      </c>
      <c r="H791" s="7">
        <v>12.38</v>
      </c>
      <c r="I791" s="7">
        <f t="shared" si="24"/>
        <v>2.6199999999999992</v>
      </c>
      <c r="J791" t="s">
        <v>40</v>
      </c>
      <c r="K791" s="11"/>
    </row>
    <row r="792" spans="1:11" x14ac:dyDescent="0.25">
      <c r="B792" t="s">
        <v>1358</v>
      </c>
      <c r="C792" t="s">
        <v>338</v>
      </c>
      <c r="D792" t="s">
        <v>38</v>
      </c>
      <c r="E792" t="s">
        <v>1357</v>
      </c>
      <c r="F792" t="s">
        <v>424</v>
      </c>
      <c r="G792" s="7">
        <v>258</v>
      </c>
      <c r="H792" s="7">
        <v>212.85</v>
      </c>
      <c r="I792" s="7">
        <f t="shared" si="24"/>
        <v>45.150000000000006</v>
      </c>
      <c r="J792" t="s">
        <v>40</v>
      </c>
      <c r="K792" s="11"/>
    </row>
    <row r="793" spans="1:11" x14ac:dyDescent="0.25">
      <c r="B793" t="s">
        <v>1358</v>
      </c>
      <c r="C793" t="s">
        <v>37</v>
      </c>
      <c r="D793" t="s">
        <v>38</v>
      </c>
      <c r="E793" t="s">
        <v>1357</v>
      </c>
      <c r="F793" t="s">
        <v>426</v>
      </c>
      <c r="G793" s="7">
        <v>215</v>
      </c>
      <c r="H793" s="7">
        <v>177.38</v>
      </c>
      <c r="I793" s="7">
        <f t="shared" si="24"/>
        <v>37.620000000000005</v>
      </c>
      <c r="J793" t="s">
        <v>40</v>
      </c>
      <c r="K793" s="11"/>
    </row>
    <row r="794" spans="1:11" x14ac:dyDescent="0.25">
      <c r="B794" t="s">
        <v>765</v>
      </c>
      <c r="C794" t="s">
        <v>338</v>
      </c>
      <c r="D794" t="s">
        <v>38</v>
      </c>
      <c r="E794" t="s">
        <v>764</v>
      </c>
      <c r="F794" t="s">
        <v>424</v>
      </c>
      <c r="G794" s="7">
        <v>6000</v>
      </c>
      <c r="H794" s="7">
        <v>5280</v>
      </c>
      <c r="I794" s="7">
        <f t="shared" si="24"/>
        <v>720</v>
      </c>
      <c r="J794" t="s">
        <v>40</v>
      </c>
      <c r="K794" s="11"/>
    </row>
    <row r="795" spans="1:11" x14ac:dyDescent="0.25">
      <c r="B795" t="s">
        <v>765</v>
      </c>
      <c r="C795" t="s">
        <v>37</v>
      </c>
      <c r="D795" t="s">
        <v>38</v>
      </c>
      <c r="E795" t="s">
        <v>764</v>
      </c>
      <c r="F795" t="s">
        <v>426</v>
      </c>
      <c r="G795" s="7">
        <v>5000</v>
      </c>
      <c r="H795" s="7">
        <v>4400</v>
      </c>
      <c r="I795" s="7">
        <f t="shared" si="24"/>
        <v>600</v>
      </c>
      <c r="J795" t="s">
        <v>40</v>
      </c>
      <c r="K795" s="11"/>
    </row>
    <row r="796" spans="1:11" x14ac:dyDescent="0.25">
      <c r="K796" s="11"/>
    </row>
    <row r="797" spans="1:11" x14ac:dyDescent="0.25">
      <c r="A797" t="s">
        <v>417</v>
      </c>
      <c r="E797" s="8" t="s">
        <v>418</v>
      </c>
      <c r="F797" s="8"/>
      <c r="K797" s="11"/>
    </row>
    <row r="798" spans="1:11" x14ac:dyDescent="0.25">
      <c r="B798" t="s">
        <v>451</v>
      </c>
      <c r="C798" t="s">
        <v>338</v>
      </c>
      <c r="D798" t="s">
        <v>38</v>
      </c>
      <c r="E798" t="s">
        <v>1359</v>
      </c>
      <c r="F798" t="s">
        <v>424</v>
      </c>
      <c r="G798" s="7">
        <v>6</v>
      </c>
      <c r="H798" s="7">
        <v>5.28</v>
      </c>
      <c r="I798" s="7">
        <f>G798-H798</f>
        <v>0.71999999999999975</v>
      </c>
      <c r="J798" t="s">
        <v>40</v>
      </c>
      <c r="K798" s="11">
        <v>0.24</v>
      </c>
    </row>
    <row r="799" spans="1:11" x14ac:dyDescent="0.25">
      <c r="B799" t="s">
        <v>451</v>
      </c>
      <c r="C799" t="s">
        <v>37</v>
      </c>
      <c r="D799" t="s">
        <v>38</v>
      </c>
      <c r="E799" t="s">
        <v>1359</v>
      </c>
      <c r="F799" t="s">
        <v>426</v>
      </c>
      <c r="G799" s="7">
        <v>5</v>
      </c>
      <c r="H799" s="7">
        <v>4.4000000000000004</v>
      </c>
      <c r="I799" s="7">
        <f>G799-H799</f>
        <v>0.59999999999999964</v>
      </c>
      <c r="J799" t="s">
        <v>40</v>
      </c>
      <c r="K799" s="11">
        <v>0.2</v>
      </c>
    </row>
    <row r="800" spans="1:11" x14ac:dyDescent="0.25">
      <c r="B800" t="s">
        <v>312</v>
      </c>
      <c r="C800" t="s">
        <v>338</v>
      </c>
      <c r="D800" t="s">
        <v>38</v>
      </c>
      <c r="E800" t="s">
        <v>313</v>
      </c>
      <c r="F800" t="s">
        <v>424</v>
      </c>
      <c r="G800" s="7">
        <v>12</v>
      </c>
      <c r="H800" s="7">
        <v>9.9</v>
      </c>
      <c r="I800" s="7">
        <f>G800-H800</f>
        <v>2.0999999999999996</v>
      </c>
      <c r="J800" t="s">
        <v>40</v>
      </c>
      <c r="K800" s="11">
        <v>0.45</v>
      </c>
    </row>
    <row r="801" spans="1:11" x14ac:dyDescent="0.25">
      <c r="B801" t="s">
        <v>312</v>
      </c>
      <c r="C801" t="s">
        <v>37</v>
      </c>
      <c r="D801" t="s">
        <v>38</v>
      </c>
      <c r="E801" t="s">
        <v>313</v>
      </c>
      <c r="F801" t="s">
        <v>426</v>
      </c>
      <c r="G801" s="7">
        <v>10</v>
      </c>
      <c r="H801" s="7">
        <v>8.25</v>
      </c>
      <c r="I801" s="7">
        <f t="shared" si="24"/>
        <v>1.75</v>
      </c>
      <c r="J801" t="s">
        <v>40</v>
      </c>
      <c r="K801" s="11">
        <v>0.38</v>
      </c>
    </row>
    <row r="802" spans="1:11" x14ac:dyDescent="0.25">
      <c r="A802" t="s">
        <v>319</v>
      </c>
      <c r="B802" t="s">
        <v>314</v>
      </c>
      <c r="C802" t="s">
        <v>338</v>
      </c>
      <c r="D802" t="s">
        <v>38</v>
      </c>
      <c r="E802" t="s">
        <v>718</v>
      </c>
      <c r="F802" t="s">
        <v>424</v>
      </c>
      <c r="G802" s="7">
        <v>24</v>
      </c>
      <c r="H802" s="7">
        <v>19.8</v>
      </c>
      <c r="I802" s="7">
        <f t="shared" si="24"/>
        <v>4.1999999999999993</v>
      </c>
      <c r="J802" t="s">
        <v>40</v>
      </c>
      <c r="K802" s="11">
        <v>0.9</v>
      </c>
    </row>
    <row r="803" spans="1:11" x14ac:dyDescent="0.25">
      <c r="B803" t="s">
        <v>314</v>
      </c>
      <c r="C803" t="s">
        <v>37</v>
      </c>
      <c r="D803" t="s">
        <v>38</v>
      </c>
      <c r="E803" t="s">
        <v>718</v>
      </c>
      <c r="F803" t="s">
        <v>426</v>
      </c>
      <c r="G803" s="7">
        <v>20</v>
      </c>
      <c r="H803" s="7">
        <v>16.5</v>
      </c>
      <c r="I803" s="7">
        <f t="shared" si="24"/>
        <v>3.5</v>
      </c>
      <c r="J803" t="s">
        <v>40</v>
      </c>
      <c r="K803" s="11">
        <v>0.75</v>
      </c>
    </row>
    <row r="804" spans="1:11" x14ac:dyDescent="0.25">
      <c r="B804" t="s">
        <v>314</v>
      </c>
      <c r="C804" t="s">
        <v>37</v>
      </c>
      <c r="D804" t="s">
        <v>38</v>
      </c>
      <c r="E804" t="s">
        <v>1360</v>
      </c>
      <c r="F804" t="s">
        <v>426</v>
      </c>
      <c r="G804" s="7">
        <v>12</v>
      </c>
      <c r="H804" s="7">
        <v>9.9</v>
      </c>
      <c r="I804" s="7">
        <f t="shared" si="24"/>
        <v>2.0999999999999996</v>
      </c>
      <c r="J804" t="s">
        <v>40</v>
      </c>
      <c r="K804" s="11"/>
    </row>
    <row r="805" spans="1:11" x14ac:dyDescent="0.25">
      <c r="K805" s="11"/>
    </row>
    <row r="806" spans="1:11" x14ac:dyDescent="0.25">
      <c r="B806" t="s">
        <v>713</v>
      </c>
      <c r="C806" t="s">
        <v>338</v>
      </c>
      <c r="D806" t="s">
        <v>38</v>
      </c>
      <c r="E806" t="s">
        <v>709</v>
      </c>
      <c r="F806" t="s">
        <v>424</v>
      </c>
      <c r="G806" s="7">
        <v>240</v>
      </c>
      <c r="H806" s="7">
        <v>211.2</v>
      </c>
      <c r="I806" s="7">
        <f>G806-H806</f>
        <v>28.800000000000011</v>
      </c>
      <c r="J806" t="s">
        <v>40</v>
      </c>
      <c r="K806" s="11"/>
    </row>
    <row r="807" spans="1:11" x14ac:dyDescent="0.25">
      <c r="B807" t="s">
        <v>713</v>
      </c>
      <c r="C807" t="s">
        <v>37</v>
      </c>
      <c r="D807" t="s">
        <v>38</v>
      </c>
      <c r="E807" t="s">
        <v>709</v>
      </c>
      <c r="F807" t="s">
        <v>426</v>
      </c>
      <c r="G807" s="7">
        <v>200</v>
      </c>
      <c r="H807" s="7">
        <v>176</v>
      </c>
      <c r="I807" s="7">
        <f>G807-H807</f>
        <v>24</v>
      </c>
      <c r="J807" t="s">
        <v>40</v>
      </c>
      <c r="K807" s="11"/>
    </row>
    <row r="808" spans="1:11" x14ac:dyDescent="0.25">
      <c r="B808" t="s">
        <v>713</v>
      </c>
      <c r="C808" t="s">
        <v>338</v>
      </c>
      <c r="D808" t="s">
        <v>38</v>
      </c>
      <c r="E808" t="s">
        <v>707</v>
      </c>
      <c r="F808" t="s">
        <v>424</v>
      </c>
      <c r="G808" s="7">
        <v>90</v>
      </c>
      <c r="H808" s="7">
        <v>79.2</v>
      </c>
      <c r="I808" s="7">
        <f t="shared" ref="I808:I817" si="25">G808-H808</f>
        <v>10.799999999999997</v>
      </c>
      <c r="J808" t="s">
        <v>40</v>
      </c>
      <c r="K808" s="11"/>
    </row>
    <row r="809" spans="1:11" x14ac:dyDescent="0.25">
      <c r="B809" t="s">
        <v>713</v>
      </c>
      <c r="C809" t="s">
        <v>37</v>
      </c>
      <c r="D809" t="s">
        <v>38</v>
      </c>
      <c r="E809" t="s">
        <v>707</v>
      </c>
      <c r="F809" t="s">
        <v>426</v>
      </c>
      <c r="G809" s="7">
        <v>75</v>
      </c>
      <c r="H809" s="7">
        <v>66</v>
      </c>
      <c r="I809" s="7">
        <f t="shared" si="25"/>
        <v>9</v>
      </c>
      <c r="J809" t="s">
        <v>40</v>
      </c>
      <c r="K809" s="11"/>
    </row>
    <row r="810" spans="1:11" x14ac:dyDescent="0.25">
      <c r="B810" t="s">
        <v>713</v>
      </c>
      <c r="C810" t="s">
        <v>338</v>
      </c>
      <c r="D810" t="s">
        <v>38</v>
      </c>
      <c r="E810" t="s">
        <v>708</v>
      </c>
      <c r="F810" t="s">
        <v>424</v>
      </c>
      <c r="G810" s="7">
        <v>60</v>
      </c>
      <c r="H810" s="7">
        <v>52.8</v>
      </c>
      <c r="I810" s="7">
        <f t="shared" si="25"/>
        <v>7.2000000000000028</v>
      </c>
      <c r="J810" t="s">
        <v>40</v>
      </c>
      <c r="K810" s="11"/>
    </row>
    <row r="811" spans="1:11" x14ac:dyDescent="0.25">
      <c r="B811" t="s">
        <v>713</v>
      </c>
      <c r="C811" t="s">
        <v>37</v>
      </c>
      <c r="D811" t="s">
        <v>38</v>
      </c>
      <c r="E811" t="s">
        <v>708</v>
      </c>
      <c r="F811" t="s">
        <v>426</v>
      </c>
      <c r="G811" s="7">
        <v>50</v>
      </c>
      <c r="H811" s="7">
        <v>44</v>
      </c>
      <c r="I811" s="7">
        <f t="shared" si="25"/>
        <v>6</v>
      </c>
      <c r="J811" t="s">
        <v>40</v>
      </c>
      <c r="K811" s="11"/>
    </row>
    <row r="812" spans="1:11" x14ac:dyDescent="0.25">
      <c r="B812" t="s">
        <v>713</v>
      </c>
      <c r="C812" t="s">
        <v>338</v>
      </c>
      <c r="D812" t="s">
        <v>38</v>
      </c>
      <c r="E812" t="s">
        <v>711</v>
      </c>
      <c r="F812" t="s">
        <v>424</v>
      </c>
      <c r="G812" s="7">
        <v>90</v>
      </c>
      <c r="H812" s="7">
        <v>79.2</v>
      </c>
      <c r="I812" s="7">
        <f>G812-H812</f>
        <v>10.799999999999997</v>
      </c>
      <c r="J812" t="s">
        <v>40</v>
      </c>
      <c r="K812" s="11"/>
    </row>
    <row r="813" spans="1:11" x14ac:dyDescent="0.25">
      <c r="B813" t="s">
        <v>713</v>
      </c>
      <c r="C813" t="s">
        <v>37</v>
      </c>
      <c r="D813" t="s">
        <v>38</v>
      </c>
      <c r="E813" t="s">
        <v>711</v>
      </c>
      <c r="F813" t="s">
        <v>426</v>
      </c>
      <c r="G813" s="7">
        <v>75</v>
      </c>
      <c r="H813" s="7">
        <v>66</v>
      </c>
      <c r="I813" s="7">
        <f t="shared" si="25"/>
        <v>9</v>
      </c>
      <c r="J813" t="s">
        <v>40</v>
      </c>
      <c r="K813" s="11"/>
    </row>
    <row r="814" spans="1:11" x14ac:dyDescent="0.25">
      <c r="B814" t="s">
        <v>713</v>
      </c>
      <c r="C814" t="s">
        <v>338</v>
      </c>
      <c r="D814" t="s">
        <v>38</v>
      </c>
      <c r="E814" t="s">
        <v>710</v>
      </c>
      <c r="F814" t="s">
        <v>424</v>
      </c>
      <c r="G814" s="7">
        <v>45</v>
      </c>
      <c r="H814" s="7">
        <v>36.9</v>
      </c>
      <c r="I814" s="7">
        <f>G814-H814</f>
        <v>8.1000000000000014</v>
      </c>
      <c r="J814" t="s">
        <v>40</v>
      </c>
      <c r="K814" s="11"/>
    </row>
    <row r="815" spans="1:11" x14ac:dyDescent="0.25">
      <c r="B815" t="s">
        <v>713</v>
      </c>
      <c r="C815" t="s">
        <v>37</v>
      </c>
      <c r="D815" t="s">
        <v>38</v>
      </c>
      <c r="E815" t="s">
        <v>710</v>
      </c>
      <c r="F815" t="s">
        <v>426</v>
      </c>
      <c r="G815" s="7">
        <v>37.5</v>
      </c>
      <c r="H815" s="7">
        <v>33</v>
      </c>
      <c r="I815" s="7">
        <f>G815-H815</f>
        <v>4.5</v>
      </c>
      <c r="J815" t="s">
        <v>40</v>
      </c>
      <c r="K815" s="11"/>
    </row>
    <row r="816" spans="1:11" x14ac:dyDescent="0.25">
      <c r="B816" t="s">
        <v>713</v>
      </c>
      <c r="C816" t="s">
        <v>338</v>
      </c>
      <c r="D816" t="s">
        <v>38</v>
      </c>
      <c r="E816" t="s">
        <v>712</v>
      </c>
      <c r="F816" t="s">
        <v>424</v>
      </c>
      <c r="G816" s="7">
        <v>30</v>
      </c>
      <c r="H816" s="7">
        <v>26.4</v>
      </c>
      <c r="I816" s="7">
        <f t="shared" si="25"/>
        <v>3.6000000000000014</v>
      </c>
      <c r="J816" t="s">
        <v>40</v>
      </c>
      <c r="K816" s="11"/>
    </row>
    <row r="817" spans="2:11" x14ac:dyDescent="0.25">
      <c r="B817" t="s">
        <v>713</v>
      </c>
      <c r="C817" t="s">
        <v>37</v>
      </c>
      <c r="D817" t="s">
        <v>38</v>
      </c>
      <c r="E817" t="s">
        <v>712</v>
      </c>
      <c r="F817" t="s">
        <v>426</v>
      </c>
      <c r="G817" s="7">
        <v>25</v>
      </c>
      <c r="H817" s="7">
        <v>22</v>
      </c>
      <c r="I817" s="7">
        <f t="shared" si="25"/>
        <v>3</v>
      </c>
      <c r="J817" t="s">
        <v>40</v>
      </c>
      <c r="K817" s="11"/>
    </row>
    <row r="818" spans="2:11" x14ac:dyDescent="0.25">
      <c r="K818" s="11"/>
    </row>
    <row r="819" spans="2:11" x14ac:dyDescent="0.25">
      <c r="B819" t="s">
        <v>315</v>
      </c>
      <c r="C819" t="s">
        <v>338</v>
      </c>
      <c r="D819" t="s">
        <v>38</v>
      </c>
      <c r="E819" t="s">
        <v>1361</v>
      </c>
      <c r="F819" t="s">
        <v>424</v>
      </c>
      <c r="G819" s="7">
        <v>60</v>
      </c>
      <c r="H819" s="7">
        <v>49.5</v>
      </c>
      <c r="I819" s="7">
        <f>G819-H819</f>
        <v>10.5</v>
      </c>
      <c r="J819" t="s">
        <v>40</v>
      </c>
      <c r="K819" s="11"/>
    </row>
    <row r="820" spans="2:11" x14ac:dyDescent="0.25">
      <c r="B820" t="s">
        <v>315</v>
      </c>
      <c r="C820" t="s">
        <v>37</v>
      </c>
      <c r="D820" t="s">
        <v>38</v>
      </c>
      <c r="E820" t="s">
        <v>1361</v>
      </c>
      <c r="F820" t="s">
        <v>426</v>
      </c>
      <c r="G820" s="7">
        <v>50</v>
      </c>
      <c r="H820" s="7">
        <v>41.25</v>
      </c>
      <c r="I820" s="7">
        <f>G820-H820</f>
        <v>8.75</v>
      </c>
      <c r="J820" t="s">
        <v>40</v>
      </c>
      <c r="K820" s="11"/>
    </row>
    <row r="821" spans="2:11" x14ac:dyDescent="0.25">
      <c r="K821" s="11"/>
    </row>
    <row r="822" spans="2:11" x14ac:dyDescent="0.25">
      <c r="B822" t="s">
        <v>320</v>
      </c>
      <c r="C822" t="s">
        <v>338</v>
      </c>
      <c r="D822" t="s">
        <v>38</v>
      </c>
      <c r="E822" t="s">
        <v>701</v>
      </c>
      <c r="F822" t="s">
        <v>424</v>
      </c>
      <c r="G822" s="7">
        <v>600</v>
      </c>
      <c r="H822" s="7">
        <v>594</v>
      </c>
      <c r="I822" s="7">
        <f t="shared" si="24"/>
        <v>6</v>
      </c>
      <c r="J822" t="s">
        <v>40</v>
      </c>
      <c r="K822" s="11"/>
    </row>
    <row r="823" spans="2:11" x14ac:dyDescent="0.25">
      <c r="B823" t="s">
        <v>320</v>
      </c>
      <c r="C823" t="s">
        <v>37</v>
      </c>
      <c r="D823" t="s">
        <v>38</v>
      </c>
      <c r="E823" t="s">
        <v>701</v>
      </c>
      <c r="F823" t="s">
        <v>426</v>
      </c>
      <c r="G823" s="7">
        <v>500</v>
      </c>
      <c r="H823" s="7">
        <v>495</v>
      </c>
      <c r="I823" s="7">
        <f t="shared" si="24"/>
        <v>5</v>
      </c>
      <c r="J823" t="s">
        <v>40</v>
      </c>
      <c r="K823" s="11"/>
    </row>
    <row r="824" spans="2:11" x14ac:dyDescent="0.25">
      <c r="B824" t="s">
        <v>320</v>
      </c>
      <c r="C824" t="s">
        <v>338</v>
      </c>
      <c r="D824" t="s">
        <v>38</v>
      </c>
      <c r="E824" t="s">
        <v>700</v>
      </c>
      <c r="F824" t="s">
        <v>424</v>
      </c>
      <c r="G824" s="7">
        <v>450</v>
      </c>
      <c r="H824" s="7">
        <v>405</v>
      </c>
      <c r="I824" s="7">
        <f t="shared" si="24"/>
        <v>45</v>
      </c>
      <c r="J824" t="s">
        <v>40</v>
      </c>
      <c r="K824" s="11"/>
    </row>
    <row r="825" spans="2:11" x14ac:dyDescent="0.25">
      <c r="B825" t="s">
        <v>320</v>
      </c>
      <c r="C825" t="s">
        <v>37</v>
      </c>
      <c r="D825" t="s">
        <v>38</v>
      </c>
      <c r="E825" t="s">
        <v>700</v>
      </c>
      <c r="F825" t="s">
        <v>426</v>
      </c>
      <c r="G825" s="7">
        <v>375</v>
      </c>
      <c r="H825" s="7">
        <v>371.25</v>
      </c>
      <c r="I825" s="7">
        <f t="shared" si="24"/>
        <v>3.75</v>
      </c>
      <c r="J825" t="s">
        <v>40</v>
      </c>
      <c r="K825" s="11"/>
    </row>
    <row r="826" spans="2:11" x14ac:dyDescent="0.25">
      <c r="B826" t="s">
        <v>320</v>
      </c>
      <c r="C826" t="s">
        <v>338</v>
      </c>
      <c r="D826" t="s">
        <v>38</v>
      </c>
      <c r="E826" t="s">
        <v>699</v>
      </c>
      <c r="F826" t="s">
        <v>424</v>
      </c>
      <c r="G826" s="7">
        <v>300</v>
      </c>
      <c r="H826" s="7">
        <v>297</v>
      </c>
      <c r="I826" s="7">
        <f t="shared" si="24"/>
        <v>3</v>
      </c>
      <c r="J826" t="s">
        <v>40</v>
      </c>
      <c r="K826" s="11"/>
    </row>
    <row r="827" spans="2:11" x14ac:dyDescent="0.25">
      <c r="B827" t="s">
        <v>320</v>
      </c>
      <c r="C827" t="s">
        <v>37</v>
      </c>
      <c r="D827" t="s">
        <v>38</v>
      </c>
      <c r="E827" t="s">
        <v>699</v>
      </c>
      <c r="F827" t="s">
        <v>424</v>
      </c>
      <c r="G827" s="7">
        <v>250</v>
      </c>
      <c r="H827" s="7">
        <v>247.5</v>
      </c>
      <c r="I827" s="7">
        <f t="shared" si="24"/>
        <v>2.5</v>
      </c>
      <c r="J827" t="s">
        <v>40</v>
      </c>
      <c r="K827" s="11"/>
    </row>
    <row r="828" spans="2:11" x14ac:dyDescent="0.25">
      <c r="B828" s="6" t="s">
        <v>721</v>
      </c>
      <c r="C828" s="6" t="s">
        <v>338</v>
      </c>
      <c r="D828" s="6" t="s">
        <v>38</v>
      </c>
      <c r="E828" t="s">
        <v>720</v>
      </c>
      <c r="F828" t="s">
        <v>424</v>
      </c>
      <c r="G828" s="7">
        <v>48</v>
      </c>
      <c r="H828" s="7">
        <v>39.6</v>
      </c>
      <c r="I828" s="7">
        <f t="shared" si="24"/>
        <v>8.3999999999999986</v>
      </c>
      <c r="J828" t="s">
        <v>40</v>
      </c>
      <c r="K828" s="11"/>
    </row>
    <row r="829" spans="2:11" x14ac:dyDescent="0.25">
      <c r="B829" s="6" t="s">
        <v>721</v>
      </c>
      <c r="C829" s="6" t="s">
        <v>37</v>
      </c>
      <c r="D829" s="6" t="s">
        <v>38</v>
      </c>
      <c r="E829" t="s">
        <v>720</v>
      </c>
      <c r="F829" t="s">
        <v>426</v>
      </c>
      <c r="G829" s="7">
        <v>40</v>
      </c>
      <c r="H829" s="7">
        <v>33</v>
      </c>
      <c r="I829" s="7">
        <f t="shared" si="24"/>
        <v>7</v>
      </c>
      <c r="J829" t="s">
        <v>40</v>
      </c>
      <c r="K829" s="11"/>
    </row>
    <row r="830" spans="2:11" x14ac:dyDescent="0.25">
      <c r="B830" t="s">
        <v>847</v>
      </c>
      <c r="C830" t="s">
        <v>338</v>
      </c>
      <c r="D830" t="s">
        <v>342</v>
      </c>
      <c r="E830" t="s">
        <v>846</v>
      </c>
      <c r="F830" t="s">
        <v>425</v>
      </c>
      <c r="G830" s="7">
        <v>0</v>
      </c>
      <c r="H830" s="7">
        <v>0</v>
      </c>
      <c r="I830" s="7">
        <f t="shared" si="24"/>
        <v>0</v>
      </c>
      <c r="J830" t="s">
        <v>40</v>
      </c>
      <c r="K830" s="11"/>
    </row>
    <row r="831" spans="2:11" x14ac:dyDescent="0.25">
      <c r="B831" t="s">
        <v>847</v>
      </c>
      <c r="C831" t="s">
        <v>37</v>
      </c>
      <c r="D831" t="s">
        <v>38</v>
      </c>
      <c r="E831" t="s">
        <v>846</v>
      </c>
      <c r="F831" t="s">
        <v>426</v>
      </c>
      <c r="G831" s="7">
        <v>30</v>
      </c>
      <c r="H831" s="7">
        <v>24.75</v>
      </c>
      <c r="I831" s="7">
        <f t="shared" si="24"/>
        <v>5.25</v>
      </c>
      <c r="J831" t="s">
        <v>40</v>
      </c>
      <c r="K831" s="11"/>
    </row>
    <row r="832" spans="2:11" x14ac:dyDescent="0.25">
      <c r="B832" t="s">
        <v>847</v>
      </c>
      <c r="C832" t="s">
        <v>338</v>
      </c>
      <c r="D832" t="s">
        <v>38</v>
      </c>
      <c r="E832" t="s">
        <v>846</v>
      </c>
      <c r="F832" t="s">
        <v>424</v>
      </c>
      <c r="G832" s="7">
        <v>3</v>
      </c>
      <c r="H832" s="7">
        <v>2.8</v>
      </c>
      <c r="I832" s="7">
        <f t="shared" si="24"/>
        <v>0.20000000000000018</v>
      </c>
      <c r="J832" t="s">
        <v>40</v>
      </c>
      <c r="K832" s="11"/>
    </row>
    <row r="833" spans="1:11" x14ac:dyDescent="0.25">
      <c r="B833" t="s">
        <v>723</v>
      </c>
      <c r="C833" t="s">
        <v>338</v>
      </c>
      <c r="D833" s="6" t="s">
        <v>38</v>
      </c>
      <c r="E833" t="s">
        <v>722</v>
      </c>
      <c r="F833" t="s">
        <v>424</v>
      </c>
      <c r="G833" s="7">
        <v>2.4</v>
      </c>
      <c r="H833" s="7">
        <v>1.98</v>
      </c>
      <c r="I833" s="7">
        <f t="shared" si="24"/>
        <v>0.41999999999999993</v>
      </c>
      <c r="J833" t="s">
        <v>40</v>
      </c>
      <c r="K833" s="11"/>
    </row>
    <row r="834" spans="1:11" x14ac:dyDescent="0.25">
      <c r="B834" t="s">
        <v>723</v>
      </c>
      <c r="C834" t="s">
        <v>37</v>
      </c>
      <c r="D834" s="6" t="s">
        <v>38</v>
      </c>
      <c r="E834" t="s">
        <v>722</v>
      </c>
      <c r="F834" t="s">
        <v>426</v>
      </c>
      <c r="G834" s="7">
        <v>2</v>
      </c>
      <c r="H834" s="7">
        <v>1.65</v>
      </c>
      <c r="I834" s="7">
        <f t="shared" si="24"/>
        <v>0.35000000000000009</v>
      </c>
      <c r="J834" t="s">
        <v>40</v>
      </c>
      <c r="K834" s="11"/>
    </row>
    <row r="835" spans="1:11" x14ac:dyDescent="0.25">
      <c r="B835" t="s">
        <v>725</v>
      </c>
      <c r="C835" t="s">
        <v>338</v>
      </c>
      <c r="D835" s="6" t="s">
        <v>38</v>
      </c>
      <c r="E835" t="s">
        <v>724</v>
      </c>
      <c r="F835" t="s">
        <v>424</v>
      </c>
      <c r="G835" s="7">
        <v>12</v>
      </c>
      <c r="H835" s="7">
        <v>9.9</v>
      </c>
      <c r="I835" s="7">
        <f t="shared" si="24"/>
        <v>2.0999999999999996</v>
      </c>
      <c r="J835" t="s">
        <v>40</v>
      </c>
      <c r="K835" s="11"/>
    </row>
    <row r="836" spans="1:11" x14ac:dyDescent="0.25">
      <c r="B836" t="s">
        <v>725</v>
      </c>
      <c r="C836" t="s">
        <v>37</v>
      </c>
      <c r="D836" s="6" t="s">
        <v>38</v>
      </c>
      <c r="E836" t="s">
        <v>724</v>
      </c>
      <c r="F836" t="s">
        <v>426</v>
      </c>
      <c r="G836" s="7">
        <v>10</v>
      </c>
      <c r="H836" s="7">
        <v>8.25</v>
      </c>
      <c r="I836" s="7">
        <f t="shared" si="24"/>
        <v>1.75</v>
      </c>
      <c r="J836" t="s">
        <v>40</v>
      </c>
      <c r="K836" s="11"/>
    </row>
    <row r="837" spans="1:11" x14ac:dyDescent="0.25">
      <c r="K837" s="11"/>
    </row>
    <row r="838" spans="1:11" x14ac:dyDescent="0.25">
      <c r="K838" s="11"/>
    </row>
    <row r="839" spans="1:11" x14ac:dyDescent="0.25">
      <c r="A839" t="s">
        <v>419</v>
      </c>
      <c r="E839" s="8" t="s">
        <v>420</v>
      </c>
      <c r="F839" s="8"/>
      <c r="K839" s="11"/>
    </row>
    <row r="840" spans="1:11" x14ac:dyDescent="0.25">
      <c r="B840" t="s">
        <v>324</v>
      </c>
      <c r="C840" t="s">
        <v>338</v>
      </c>
      <c r="D840" t="s">
        <v>38</v>
      </c>
      <c r="E840" t="s">
        <v>325</v>
      </c>
      <c r="F840" t="s">
        <v>424</v>
      </c>
      <c r="G840" s="7">
        <v>1200</v>
      </c>
      <c r="H840" s="7">
        <v>1056</v>
      </c>
      <c r="I840" s="7">
        <f>G840-H840</f>
        <v>144</v>
      </c>
      <c r="J840" t="s">
        <v>40</v>
      </c>
      <c r="K840" s="11">
        <v>48</v>
      </c>
    </row>
    <row r="841" spans="1:11" x14ac:dyDescent="0.25">
      <c r="B841" t="s">
        <v>324</v>
      </c>
      <c r="C841" t="s">
        <v>37</v>
      </c>
      <c r="D841" t="s">
        <v>38</v>
      </c>
      <c r="E841" t="s">
        <v>325</v>
      </c>
      <c r="F841" t="s">
        <v>426</v>
      </c>
      <c r="G841" s="7">
        <v>1000</v>
      </c>
      <c r="H841" s="7">
        <v>880</v>
      </c>
      <c r="I841" s="7">
        <f t="shared" si="24"/>
        <v>120</v>
      </c>
      <c r="J841" t="s">
        <v>40</v>
      </c>
      <c r="K841" s="11">
        <v>40</v>
      </c>
    </row>
    <row r="842" spans="1:11" x14ac:dyDescent="0.25">
      <c r="B842" t="s">
        <v>326</v>
      </c>
      <c r="C842" t="s">
        <v>37</v>
      </c>
      <c r="D842" t="s">
        <v>38</v>
      </c>
      <c r="E842" t="s">
        <v>327</v>
      </c>
      <c r="F842" t="s">
        <v>426</v>
      </c>
      <c r="G842" s="7">
        <v>2</v>
      </c>
      <c r="H842" s="7">
        <v>1.76</v>
      </c>
      <c r="I842" s="7">
        <f t="shared" si="24"/>
        <v>0.24</v>
      </c>
      <c r="J842" t="s">
        <v>40</v>
      </c>
      <c r="K842" s="11">
        <v>9.6000000000000002E-2</v>
      </c>
    </row>
    <row r="843" spans="1:11" x14ac:dyDescent="0.25">
      <c r="B843" t="s">
        <v>326</v>
      </c>
      <c r="C843" t="s">
        <v>338</v>
      </c>
      <c r="D843" t="s">
        <v>38</v>
      </c>
      <c r="E843" t="s">
        <v>327</v>
      </c>
      <c r="F843" t="s">
        <v>424</v>
      </c>
      <c r="G843" s="7">
        <v>2.4</v>
      </c>
      <c r="H843" s="7">
        <v>2.11</v>
      </c>
      <c r="I843" s="7">
        <f t="shared" si="24"/>
        <v>0.29000000000000004</v>
      </c>
      <c r="J843" t="s">
        <v>40</v>
      </c>
      <c r="K843" s="11">
        <v>0.96</v>
      </c>
    </row>
    <row r="844" spans="1:11" x14ac:dyDescent="0.25">
      <c r="K844" s="11"/>
    </row>
    <row r="845" spans="1:11" x14ac:dyDescent="0.25">
      <c r="B845" t="s">
        <v>834</v>
      </c>
      <c r="C845" t="s">
        <v>338</v>
      </c>
      <c r="D845" t="s">
        <v>342</v>
      </c>
      <c r="E845" t="s">
        <v>833</v>
      </c>
      <c r="F845" t="s">
        <v>424</v>
      </c>
      <c r="G845" s="7">
        <v>0</v>
      </c>
      <c r="H845" s="7">
        <v>0</v>
      </c>
      <c r="I845" s="7">
        <v>0</v>
      </c>
      <c r="K845" s="11"/>
    </row>
    <row r="846" spans="1:11" x14ac:dyDescent="0.25">
      <c r="B846" t="s">
        <v>834</v>
      </c>
      <c r="C846" t="s">
        <v>37</v>
      </c>
      <c r="D846" t="s">
        <v>38</v>
      </c>
      <c r="E846" t="s">
        <v>833</v>
      </c>
      <c r="F846" t="s">
        <v>426</v>
      </c>
      <c r="G846" s="7">
        <v>6</v>
      </c>
      <c r="H846" s="7">
        <v>5.28</v>
      </c>
      <c r="I846" s="7">
        <f t="shared" si="24"/>
        <v>0.71999999999999975</v>
      </c>
      <c r="J846" t="s">
        <v>40</v>
      </c>
      <c r="K846" s="11">
        <v>0.48</v>
      </c>
    </row>
    <row r="847" spans="1:11" x14ac:dyDescent="0.25">
      <c r="B847" t="s">
        <v>449</v>
      </c>
      <c r="C847" t="s">
        <v>338</v>
      </c>
      <c r="D847" t="s">
        <v>38</v>
      </c>
      <c r="E847" t="s">
        <v>1362</v>
      </c>
      <c r="F847" t="s">
        <v>424</v>
      </c>
      <c r="G847" s="7">
        <v>6000</v>
      </c>
      <c r="H847" s="7">
        <v>5280</v>
      </c>
      <c r="I847" s="7">
        <f t="shared" si="24"/>
        <v>720</v>
      </c>
      <c r="J847" t="s">
        <v>40</v>
      </c>
      <c r="K847" s="11">
        <v>240</v>
      </c>
    </row>
    <row r="848" spans="1:11" x14ac:dyDescent="0.25">
      <c r="B848" t="s">
        <v>449</v>
      </c>
      <c r="C848" t="s">
        <v>37</v>
      </c>
      <c r="D848" t="s">
        <v>38</v>
      </c>
      <c r="E848" t="s">
        <v>1362</v>
      </c>
      <c r="F848" t="s">
        <v>426</v>
      </c>
      <c r="G848" s="7">
        <v>5000</v>
      </c>
      <c r="H848" s="7">
        <v>4400</v>
      </c>
      <c r="I848" s="7">
        <f t="shared" si="24"/>
        <v>600</v>
      </c>
      <c r="J848" t="s">
        <v>40</v>
      </c>
      <c r="K848" s="11">
        <v>200</v>
      </c>
    </row>
    <row r="849" spans="2:11" x14ac:dyDescent="0.25">
      <c r="B849" t="s">
        <v>449</v>
      </c>
      <c r="C849" t="s">
        <v>338</v>
      </c>
      <c r="D849" t="s">
        <v>38</v>
      </c>
      <c r="E849" t="s">
        <v>450</v>
      </c>
      <c r="F849" t="s">
        <v>424</v>
      </c>
      <c r="G849" s="7">
        <v>4.8</v>
      </c>
      <c r="H849" s="7">
        <v>4.22</v>
      </c>
      <c r="I849" s="7">
        <f t="shared" si="24"/>
        <v>0.58000000000000007</v>
      </c>
      <c r="J849" t="s">
        <v>40</v>
      </c>
      <c r="K849" s="11">
        <v>0.19</v>
      </c>
    </row>
    <row r="850" spans="2:11" x14ac:dyDescent="0.25">
      <c r="B850" t="s">
        <v>449</v>
      </c>
      <c r="C850" t="s">
        <v>37</v>
      </c>
      <c r="D850" t="s">
        <v>38</v>
      </c>
      <c r="E850" t="s">
        <v>450</v>
      </c>
      <c r="F850" t="s">
        <v>426</v>
      </c>
      <c r="G850" s="7">
        <v>4</v>
      </c>
      <c r="H850" s="7">
        <v>3.52</v>
      </c>
      <c r="I850" s="7">
        <f t="shared" si="24"/>
        <v>0.48</v>
      </c>
      <c r="J850" t="s">
        <v>40</v>
      </c>
      <c r="K850" s="11">
        <v>0.16</v>
      </c>
    </row>
    <row r="851" spans="2:11" x14ac:dyDescent="0.25">
      <c r="B851" t="s">
        <v>328</v>
      </c>
      <c r="C851" t="s">
        <v>338</v>
      </c>
      <c r="D851" t="s">
        <v>38</v>
      </c>
      <c r="E851" t="s">
        <v>329</v>
      </c>
      <c r="F851" t="s">
        <v>424</v>
      </c>
      <c r="G851" s="7">
        <v>4.8</v>
      </c>
      <c r="H851" s="7">
        <v>4.22</v>
      </c>
      <c r="I851" s="7">
        <f t="shared" si="24"/>
        <v>0.58000000000000007</v>
      </c>
      <c r="J851" t="s">
        <v>40</v>
      </c>
      <c r="K851" s="11">
        <v>0.19</v>
      </c>
    </row>
    <row r="852" spans="2:11" x14ac:dyDescent="0.25">
      <c r="B852" t="s">
        <v>328</v>
      </c>
      <c r="C852" t="s">
        <v>37</v>
      </c>
      <c r="D852" t="s">
        <v>38</v>
      </c>
      <c r="E852" t="s">
        <v>329</v>
      </c>
      <c r="F852" t="s">
        <v>426</v>
      </c>
      <c r="G852" s="7">
        <v>4</v>
      </c>
      <c r="H852" s="7">
        <v>3.52</v>
      </c>
      <c r="I852" s="7">
        <f t="shared" si="24"/>
        <v>0.48</v>
      </c>
      <c r="J852" t="s">
        <v>40</v>
      </c>
      <c r="K852" s="11">
        <v>0.16</v>
      </c>
    </row>
    <row r="853" spans="2:11" x14ac:dyDescent="0.25">
      <c r="B853" t="s">
        <v>454</v>
      </c>
      <c r="C853" t="s">
        <v>338</v>
      </c>
      <c r="D853" t="s">
        <v>38</v>
      </c>
      <c r="E853" t="s">
        <v>453</v>
      </c>
      <c r="F853" t="s">
        <v>424</v>
      </c>
      <c r="G853" s="7">
        <v>4.8</v>
      </c>
      <c r="H853" s="7">
        <v>4.22</v>
      </c>
      <c r="I853" s="7">
        <f t="shared" si="24"/>
        <v>0.58000000000000007</v>
      </c>
      <c r="J853" t="s">
        <v>40</v>
      </c>
      <c r="K853" s="11">
        <v>0.19</v>
      </c>
    </row>
    <row r="854" spans="2:11" x14ac:dyDescent="0.25">
      <c r="B854" t="s">
        <v>454</v>
      </c>
      <c r="C854" t="s">
        <v>37</v>
      </c>
      <c r="D854" t="s">
        <v>38</v>
      </c>
      <c r="E854" t="s">
        <v>453</v>
      </c>
      <c r="F854" t="s">
        <v>426</v>
      </c>
      <c r="G854" s="7">
        <v>4</v>
      </c>
      <c r="H854" s="7">
        <v>3.52</v>
      </c>
      <c r="I854" s="7">
        <f t="shared" si="24"/>
        <v>0.48</v>
      </c>
      <c r="J854" t="s">
        <v>40</v>
      </c>
      <c r="K854" s="11">
        <v>0.16</v>
      </c>
    </row>
    <row r="855" spans="2:11" x14ac:dyDescent="0.25">
      <c r="B855" t="s">
        <v>836</v>
      </c>
      <c r="C855" t="s">
        <v>338</v>
      </c>
      <c r="D855" t="s">
        <v>38</v>
      </c>
      <c r="E855" t="s">
        <v>835</v>
      </c>
      <c r="F855" t="s">
        <v>424</v>
      </c>
      <c r="G855" s="7">
        <v>14.4</v>
      </c>
      <c r="H855" s="7">
        <v>12.67</v>
      </c>
      <c r="I855" s="7">
        <f t="shared" si="24"/>
        <v>1.7300000000000004</v>
      </c>
      <c r="J855" t="s">
        <v>40</v>
      </c>
      <c r="K855" s="11"/>
    </row>
    <row r="856" spans="2:11" x14ac:dyDescent="0.25">
      <c r="B856" t="s">
        <v>836</v>
      </c>
      <c r="C856" t="s">
        <v>37</v>
      </c>
      <c r="D856" t="s">
        <v>38</v>
      </c>
      <c r="E856" t="s">
        <v>835</v>
      </c>
      <c r="F856" t="s">
        <v>426</v>
      </c>
      <c r="G856" s="7">
        <v>12</v>
      </c>
      <c r="H856" s="7">
        <v>10.56</v>
      </c>
      <c r="I856" s="7">
        <f t="shared" si="24"/>
        <v>1.4399999999999995</v>
      </c>
      <c r="J856" t="s">
        <v>40</v>
      </c>
      <c r="K856" s="11"/>
    </row>
    <row r="857" spans="2:11" x14ac:dyDescent="0.25">
      <c r="B857" t="s">
        <v>1363</v>
      </c>
      <c r="C857" t="s">
        <v>37</v>
      </c>
      <c r="D857" t="s">
        <v>38</v>
      </c>
      <c r="E857" t="s">
        <v>1364</v>
      </c>
      <c r="F857" t="s">
        <v>426</v>
      </c>
      <c r="G857" s="7">
        <v>2</v>
      </c>
      <c r="H857" s="7">
        <v>1.76</v>
      </c>
      <c r="I857" s="7">
        <f t="shared" si="24"/>
        <v>0.24</v>
      </c>
      <c r="J857" t="s">
        <v>40</v>
      </c>
      <c r="K857" s="11"/>
    </row>
    <row r="858" spans="2:11" x14ac:dyDescent="0.25">
      <c r="K858" s="11"/>
    </row>
    <row r="859" spans="2:11" x14ac:dyDescent="0.25">
      <c r="E859" s="8" t="s">
        <v>421</v>
      </c>
      <c r="F859" s="8"/>
      <c r="K859" s="11"/>
    </row>
    <row r="860" spans="2:11" x14ac:dyDescent="0.25">
      <c r="B860" t="s">
        <v>330</v>
      </c>
      <c r="C860" t="s">
        <v>338</v>
      </c>
      <c r="D860" t="s">
        <v>38</v>
      </c>
      <c r="E860" t="s">
        <v>452</v>
      </c>
      <c r="F860" t="s">
        <v>424</v>
      </c>
      <c r="G860" s="7">
        <v>4.8</v>
      </c>
      <c r="H860" s="7">
        <v>4.22</v>
      </c>
      <c r="I860" s="7">
        <f>G860-H860</f>
        <v>0.58000000000000007</v>
      </c>
      <c r="J860" t="s">
        <v>40</v>
      </c>
      <c r="K860" s="11">
        <v>0.19</v>
      </c>
    </row>
    <row r="861" spans="2:11" x14ac:dyDescent="0.25">
      <c r="B861" t="s">
        <v>330</v>
      </c>
      <c r="C861" t="s">
        <v>37</v>
      </c>
      <c r="D861" t="s">
        <v>38</v>
      </c>
      <c r="E861" t="s">
        <v>452</v>
      </c>
      <c r="F861" t="s">
        <v>426</v>
      </c>
      <c r="G861" s="7">
        <v>4</v>
      </c>
      <c r="H861" s="7">
        <v>3.52</v>
      </c>
      <c r="I861" s="7">
        <f>G861-H861</f>
        <v>0.48</v>
      </c>
      <c r="J861" t="s">
        <v>40</v>
      </c>
      <c r="K861" s="11">
        <v>0.16</v>
      </c>
    </row>
    <row r="862" spans="2:11" x14ac:dyDescent="0.25">
      <c r="B862" t="s">
        <v>330</v>
      </c>
      <c r="C862" t="s">
        <v>338</v>
      </c>
      <c r="D862" t="s">
        <v>38</v>
      </c>
      <c r="E862" t="s">
        <v>331</v>
      </c>
      <c r="F862" t="s">
        <v>424</v>
      </c>
      <c r="G862" s="7">
        <v>30</v>
      </c>
      <c r="H862" s="7">
        <v>26.4</v>
      </c>
      <c r="I862" s="7">
        <f>G862-H862</f>
        <v>3.6000000000000014</v>
      </c>
      <c r="J862" t="s">
        <v>40</v>
      </c>
      <c r="K862" s="11">
        <v>1.2</v>
      </c>
    </row>
    <row r="863" spans="2:11" x14ac:dyDescent="0.25">
      <c r="B863" t="s">
        <v>330</v>
      </c>
      <c r="C863" t="s">
        <v>37</v>
      </c>
      <c r="D863" t="s">
        <v>38</v>
      </c>
      <c r="E863" t="s">
        <v>331</v>
      </c>
      <c r="F863" t="s">
        <v>426</v>
      </c>
      <c r="G863" s="7">
        <v>25</v>
      </c>
      <c r="H863" s="7">
        <v>22</v>
      </c>
      <c r="I863" s="7">
        <f t="shared" ref="I863:I873" si="26">G863-H863</f>
        <v>3</v>
      </c>
      <c r="J863" t="s">
        <v>40</v>
      </c>
      <c r="K863" s="11">
        <v>1</v>
      </c>
    </row>
    <row r="864" spans="2:11" x14ac:dyDescent="0.25">
      <c r="B864" t="s">
        <v>330</v>
      </c>
      <c r="C864" t="s">
        <v>338</v>
      </c>
      <c r="D864" t="s">
        <v>38</v>
      </c>
      <c r="E864" t="s">
        <v>332</v>
      </c>
      <c r="F864" t="s">
        <v>424</v>
      </c>
      <c r="G864" s="7">
        <v>360</v>
      </c>
      <c r="H864" s="7">
        <v>316.8</v>
      </c>
      <c r="I864" s="7">
        <f>G864-H864</f>
        <v>43.199999999999989</v>
      </c>
      <c r="J864" t="s">
        <v>40</v>
      </c>
      <c r="K864" s="11">
        <v>24</v>
      </c>
    </row>
    <row r="865" spans="2:11" x14ac:dyDescent="0.25">
      <c r="B865" t="s">
        <v>330</v>
      </c>
      <c r="C865" t="s">
        <v>37</v>
      </c>
      <c r="D865" t="s">
        <v>38</v>
      </c>
      <c r="E865" t="s">
        <v>332</v>
      </c>
      <c r="F865" t="s">
        <v>426</v>
      </c>
      <c r="G865" s="7">
        <v>300</v>
      </c>
      <c r="H865" s="7">
        <v>264</v>
      </c>
      <c r="I865" s="7">
        <f t="shared" si="26"/>
        <v>36</v>
      </c>
      <c r="J865" t="s">
        <v>40</v>
      </c>
      <c r="K865" s="11">
        <v>20</v>
      </c>
    </row>
    <row r="866" spans="2:11" x14ac:dyDescent="0.25">
      <c r="K866" s="11"/>
    </row>
    <row r="867" spans="2:11" x14ac:dyDescent="0.25">
      <c r="B867" t="s">
        <v>333</v>
      </c>
      <c r="C867" t="s">
        <v>373</v>
      </c>
      <c r="D867" t="s">
        <v>38</v>
      </c>
      <c r="E867" t="s">
        <v>334</v>
      </c>
      <c r="F867" t="s">
        <v>427</v>
      </c>
      <c r="G867" s="7">
        <v>250</v>
      </c>
      <c r="H867" s="7">
        <v>192.5</v>
      </c>
      <c r="I867" s="7">
        <f t="shared" si="26"/>
        <v>57.5</v>
      </c>
      <c r="J867" t="s">
        <v>40</v>
      </c>
      <c r="K867" s="11">
        <v>8.75</v>
      </c>
    </row>
    <row r="868" spans="2:11" x14ac:dyDescent="0.25">
      <c r="B868" t="s">
        <v>333</v>
      </c>
      <c r="C868" t="s">
        <v>338</v>
      </c>
      <c r="D868" t="s">
        <v>38</v>
      </c>
      <c r="E868" t="s">
        <v>334</v>
      </c>
      <c r="F868" t="s">
        <v>424</v>
      </c>
      <c r="G868" s="7">
        <v>300</v>
      </c>
      <c r="H868" s="7">
        <v>231</v>
      </c>
      <c r="I868" s="7">
        <f t="shared" si="26"/>
        <v>69</v>
      </c>
      <c r="J868" t="s">
        <v>40</v>
      </c>
      <c r="K868" s="11">
        <v>10.5</v>
      </c>
    </row>
    <row r="869" spans="2:11" x14ac:dyDescent="0.25">
      <c r="B869" t="s">
        <v>333</v>
      </c>
      <c r="C869" t="s">
        <v>37</v>
      </c>
      <c r="D869" t="s">
        <v>38</v>
      </c>
      <c r="E869" t="s">
        <v>334</v>
      </c>
      <c r="F869" t="s">
        <v>426</v>
      </c>
      <c r="G869" s="7">
        <v>250</v>
      </c>
      <c r="H869" s="7">
        <v>192.5</v>
      </c>
      <c r="I869" s="7">
        <f t="shared" si="26"/>
        <v>57.5</v>
      </c>
      <c r="J869" t="s">
        <v>40</v>
      </c>
      <c r="K869" s="11">
        <v>8.75</v>
      </c>
    </row>
    <row r="870" spans="2:11" x14ac:dyDescent="0.25">
      <c r="K870" s="11"/>
    </row>
    <row r="871" spans="2:11" x14ac:dyDescent="0.25">
      <c r="B871" t="s">
        <v>333</v>
      </c>
      <c r="C871" t="s">
        <v>373</v>
      </c>
      <c r="D871" t="s">
        <v>38</v>
      </c>
      <c r="E871" t="s">
        <v>335</v>
      </c>
      <c r="F871" t="s">
        <v>427</v>
      </c>
      <c r="G871" s="7">
        <v>1500</v>
      </c>
      <c r="H871" s="7">
        <v>1155</v>
      </c>
      <c r="I871" s="7">
        <f t="shared" si="26"/>
        <v>345</v>
      </c>
      <c r="J871" t="s">
        <v>40</v>
      </c>
      <c r="K871" s="11">
        <v>52.5</v>
      </c>
    </row>
    <row r="872" spans="2:11" x14ac:dyDescent="0.25">
      <c r="B872" t="s">
        <v>333</v>
      </c>
      <c r="C872" t="s">
        <v>338</v>
      </c>
      <c r="D872" t="s">
        <v>38</v>
      </c>
      <c r="E872" t="s">
        <v>335</v>
      </c>
      <c r="F872" t="s">
        <v>424</v>
      </c>
      <c r="G872" s="7">
        <v>1800</v>
      </c>
      <c r="H872" s="7">
        <v>1386</v>
      </c>
      <c r="I872" s="7">
        <f t="shared" si="26"/>
        <v>414</v>
      </c>
      <c r="J872" t="s">
        <v>40</v>
      </c>
      <c r="K872" s="11">
        <v>63</v>
      </c>
    </row>
    <row r="873" spans="2:11" x14ac:dyDescent="0.25">
      <c r="B873" t="s">
        <v>333</v>
      </c>
      <c r="C873" t="s">
        <v>37</v>
      </c>
      <c r="D873" t="s">
        <v>38</v>
      </c>
      <c r="E873" t="s">
        <v>335</v>
      </c>
      <c r="F873" t="s">
        <v>426</v>
      </c>
      <c r="G873" s="7">
        <v>1500</v>
      </c>
      <c r="H873" s="7">
        <v>1155</v>
      </c>
      <c r="I873" s="7">
        <f t="shared" si="26"/>
        <v>345</v>
      </c>
      <c r="J873" t="s">
        <v>40</v>
      </c>
      <c r="K873" s="11">
        <v>52.5</v>
      </c>
    </row>
    <row r="874" spans="2:11" x14ac:dyDescent="0.25">
      <c r="K874" s="11"/>
    </row>
    <row r="875" spans="2:11" x14ac:dyDescent="0.25">
      <c r="B875" t="s">
        <v>440</v>
      </c>
      <c r="C875" t="s">
        <v>338</v>
      </c>
      <c r="D875" t="s">
        <v>38</v>
      </c>
      <c r="E875" t="s">
        <v>439</v>
      </c>
      <c r="F875" t="s">
        <v>424</v>
      </c>
      <c r="G875" s="7">
        <v>360</v>
      </c>
      <c r="H875" s="7">
        <v>277.2</v>
      </c>
      <c r="I875" s="7">
        <f>G875-H875</f>
        <v>82.800000000000011</v>
      </c>
      <c r="J875" t="s">
        <v>40</v>
      </c>
      <c r="K875" s="11"/>
    </row>
    <row r="876" spans="2:11" x14ac:dyDescent="0.25">
      <c r="B876" t="s">
        <v>440</v>
      </c>
      <c r="C876" t="s">
        <v>37</v>
      </c>
      <c r="D876" t="s">
        <v>38</v>
      </c>
      <c r="E876" t="s">
        <v>439</v>
      </c>
      <c r="F876" t="s">
        <v>426</v>
      </c>
      <c r="G876" s="7">
        <v>300</v>
      </c>
      <c r="H876" s="7">
        <v>231</v>
      </c>
      <c r="I876" s="7">
        <f>G876-H876</f>
        <v>69</v>
      </c>
      <c r="J876" t="s">
        <v>40</v>
      </c>
      <c r="K876" s="11"/>
    </row>
    <row r="877" spans="2:11" x14ac:dyDescent="0.25">
      <c r="K877" s="11"/>
    </row>
    <row r="878" spans="2:11" x14ac:dyDescent="0.25">
      <c r="B878" t="s">
        <v>824</v>
      </c>
      <c r="C878" t="s">
        <v>338</v>
      </c>
      <c r="D878" t="s">
        <v>38</v>
      </c>
      <c r="E878" t="s">
        <v>823</v>
      </c>
      <c r="F878" t="s">
        <v>424</v>
      </c>
      <c r="G878" s="7">
        <v>4800</v>
      </c>
      <c r="H878" s="7">
        <v>3960</v>
      </c>
      <c r="I878" s="7">
        <f>G878-H878</f>
        <v>840</v>
      </c>
      <c r="J878" t="s">
        <v>40</v>
      </c>
      <c r="K878" s="11"/>
    </row>
    <row r="879" spans="2:11" x14ac:dyDescent="0.25">
      <c r="B879" t="s">
        <v>824</v>
      </c>
      <c r="C879" t="s">
        <v>37</v>
      </c>
      <c r="D879" t="s">
        <v>38</v>
      </c>
      <c r="E879" t="s">
        <v>823</v>
      </c>
      <c r="F879" t="s">
        <v>426</v>
      </c>
      <c r="G879" s="7">
        <v>4000</v>
      </c>
      <c r="H879" s="7">
        <v>3300</v>
      </c>
      <c r="I879" s="7">
        <f>G879-H879</f>
        <v>700</v>
      </c>
      <c r="J879" t="s">
        <v>40</v>
      </c>
      <c r="K879" s="11"/>
    </row>
    <row r="880" spans="2:11" x14ac:dyDescent="0.25">
      <c r="B880" t="s">
        <v>1366</v>
      </c>
      <c r="C880" t="s">
        <v>338</v>
      </c>
      <c r="D880" t="s">
        <v>38</v>
      </c>
      <c r="E880" t="s">
        <v>1365</v>
      </c>
      <c r="F880" t="s">
        <v>424</v>
      </c>
      <c r="G880" s="7">
        <v>14400</v>
      </c>
      <c r="H880" s="7">
        <v>11880</v>
      </c>
      <c r="I880" s="7">
        <f>G880-H880</f>
        <v>2520</v>
      </c>
      <c r="J880" t="s">
        <v>40</v>
      </c>
      <c r="K880" s="11"/>
    </row>
    <row r="881" spans="2:11" x14ac:dyDescent="0.25">
      <c r="B881" t="s">
        <v>1366</v>
      </c>
      <c r="C881" t="s">
        <v>37</v>
      </c>
      <c r="D881" t="s">
        <v>38</v>
      </c>
      <c r="E881" t="s">
        <v>1365</v>
      </c>
      <c r="F881" t="s">
        <v>426</v>
      </c>
      <c r="G881" s="7">
        <v>12000</v>
      </c>
      <c r="H881" s="7">
        <v>9900</v>
      </c>
      <c r="I881" s="7">
        <f>G881-H881</f>
        <v>2100</v>
      </c>
      <c r="J881" t="s">
        <v>40</v>
      </c>
      <c r="K881" s="11"/>
    </row>
    <row r="882" spans="2:11" x14ac:dyDescent="0.25">
      <c r="K882" s="11"/>
    </row>
    <row r="883" spans="2:11" x14ac:dyDescent="0.25">
      <c r="B883" t="s">
        <v>747</v>
      </c>
      <c r="C883" t="s">
        <v>37</v>
      </c>
      <c r="D883" t="s">
        <v>38</v>
      </c>
      <c r="E883" t="s">
        <v>1367</v>
      </c>
      <c r="F883" t="s">
        <v>426</v>
      </c>
      <c r="G883" s="7">
        <v>0</v>
      </c>
      <c r="H883" s="7">
        <v>0</v>
      </c>
      <c r="I883" s="7">
        <v>0</v>
      </c>
      <c r="J883" t="s">
        <v>40</v>
      </c>
      <c r="K883" s="11"/>
    </row>
  </sheetData>
  <hyperlinks>
    <hyperlink ref="K1" location="'Incentives Guide'!A1" display="Global H2 Incentive" xr:uid="{653FE662-BD15-4993-BE65-D34460E50425}"/>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2D165-1E8F-4116-B2BB-B0A1F2D02CC6}">
  <dimension ref="A1:K642"/>
  <sheetViews>
    <sheetView topLeftCell="A616" zoomScale="80" zoomScaleNormal="80" workbookViewId="0">
      <selection activeCell="H525" sqref="H525"/>
    </sheetView>
  </sheetViews>
  <sheetFormatPr defaultRowHeight="15" x14ac:dyDescent="0.25"/>
  <cols>
    <col min="1" max="1" width="10.140625" bestFit="1" customWidth="1"/>
    <col min="2" max="2" width="36.42578125" bestFit="1" customWidth="1"/>
    <col min="3" max="3" width="13.85546875" bestFit="1" customWidth="1"/>
    <col min="4" max="4" width="10.85546875" bestFit="1" customWidth="1"/>
    <col min="5" max="5" width="90" bestFit="1" customWidth="1"/>
    <col min="6" max="6" width="30.140625" bestFit="1" customWidth="1"/>
    <col min="7" max="7" width="17" style="7" bestFit="1" customWidth="1"/>
    <col min="8" max="8" width="14.42578125" style="7" bestFit="1" customWidth="1"/>
    <col min="9" max="9" width="16.28515625" bestFit="1" customWidth="1"/>
    <col min="10" max="10" width="23.140625" bestFit="1" customWidth="1"/>
    <col min="11" max="11" width="23" bestFit="1" customWidth="1"/>
  </cols>
  <sheetData>
    <row r="1" spans="1:11" s="1" customFormat="1" x14ac:dyDescent="0.25">
      <c r="A1" s="8" t="s">
        <v>27</v>
      </c>
      <c r="B1" s="8" t="s">
        <v>28</v>
      </c>
      <c r="C1" s="8" t="s">
        <v>29</v>
      </c>
      <c r="D1" s="8" t="s">
        <v>30</v>
      </c>
      <c r="E1" s="8" t="s">
        <v>31</v>
      </c>
      <c r="F1" s="8" t="s">
        <v>423</v>
      </c>
      <c r="G1" s="9" t="s">
        <v>32</v>
      </c>
      <c r="H1" s="9" t="s">
        <v>33</v>
      </c>
      <c r="I1" s="9" t="s">
        <v>34</v>
      </c>
      <c r="J1" s="8" t="s">
        <v>35</v>
      </c>
      <c r="K1" s="8" t="s">
        <v>493</v>
      </c>
    </row>
    <row r="2" spans="1:11" s="1" customFormat="1" x14ac:dyDescent="0.25">
      <c r="A2" s="8"/>
      <c r="B2" s="8"/>
      <c r="C2" s="8"/>
      <c r="D2" s="8"/>
      <c r="E2" s="8" t="s">
        <v>336</v>
      </c>
      <c r="F2" s="8"/>
      <c r="G2" s="9"/>
      <c r="H2" s="9"/>
      <c r="I2" s="9"/>
      <c r="J2" s="8"/>
      <c r="K2" s="8"/>
    </row>
    <row r="3" spans="1:11" s="1" customFormat="1" x14ac:dyDescent="0.25">
      <c r="B3" t="s">
        <v>892</v>
      </c>
      <c r="C3" t="s">
        <v>338</v>
      </c>
      <c r="D3" t="s">
        <v>38</v>
      </c>
      <c r="E3" t="s">
        <v>893</v>
      </c>
      <c r="F3" t="s">
        <v>424</v>
      </c>
      <c r="G3" s="7">
        <v>0</v>
      </c>
      <c r="H3" s="7">
        <v>0</v>
      </c>
      <c r="I3" s="7">
        <f>G3-H3</f>
        <v>0</v>
      </c>
      <c r="J3" t="s">
        <v>894</v>
      </c>
      <c r="K3" s="85"/>
    </row>
    <row r="4" spans="1:11" s="1" customFormat="1" x14ac:dyDescent="0.25">
      <c r="B4" t="s">
        <v>892</v>
      </c>
      <c r="C4" t="s">
        <v>37</v>
      </c>
      <c r="D4" t="s">
        <v>38</v>
      </c>
      <c r="E4" t="s">
        <v>893</v>
      </c>
      <c r="F4" t="s">
        <v>426</v>
      </c>
      <c r="G4" s="7">
        <v>0</v>
      </c>
      <c r="H4" s="7">
        <v>0</v>
      </c>
      <c r="I4" s="7">
        <f t="shared" ref="I4:I261" si="0">G4-H4</f>
        <v>0</v>
      </c>
      <c r="J4" t="s">
        <v>894</v>
      </c>
      <c r="K4" s="85"/>
    </row>
    <row r="5" spans="1:11" s="1" customFormat="1" x14ac:dyDescent="0.25">
      <c r="B5" t="s">
        <v>892</v>
      </c>
      <c r="C5" t="s">
        <v>338</v>
      </c>
      <c r="D5" t="s">
        <v>38</v>
      </c>
      <c r="E5" t="s">
        <v>895</v>
      </c>
      <c r="F5" t="s">
        <v>424</v>
      </c>
      <c r="G5" s="7">
        <v>0</v>
      </c>
      <c r="H5" s="7">
        <v>0</v>
      </c>
      <c r="I5" s="7">
        <v>0</v>
      </c>
      <c r="J5" t="s">
        <v>894</v>
      </c>
      <c r="K5" s="85"/>
    </row>
    <row r="6" spans="1:11" s="1" customFormat="1" x14ac:dyDescent="0.25">
      <c r="B6" t="s">
        <v>892</v>
      </c>
      <c r="C6" t="s">
        <v>37</v>
      </c>
      <c r="D6" t="s">
        <v>38</v>
      </c>
      <c r="E6" t="s">
        <v>895</v>
      </c>
      <c r="F6" t="s">
        <v>426</v>
      </c>
      <c r="G6" s="7">
        <v>0</v>
      </c>
      <c r="H6" s="7">
        <v>0</v>
      </c>
      <c r="I6" s="7">
        <v>0</v>
      </c>
      <c r="J6" t="s">
        <v>894</v>
      </c>
      <c r="K6" s="85"/>
    </row>
    <row r="7" spans="1:11" s="1" customFormat="1" x14ac:dyDescent="0.25">
      <c r="B7" t="s">
        <v>896</v>
      </c>
      <c r="C7" t="s">
        <v>37</v>
      </c>
      <c r="D7" t="s">
        <v>38</v>
      </c>
      <c r="E7" t="s">
        <v>897</v>
      </c>
      <c r="F7" t="s">
        <v>424</v>
      </c>
      <c r="G7" s="7">
        <v>3.96</v>
      </c>
      <c r="H7" s="7">
        <v>3.49</v>
      </c>
      <c r="I7" s="7">
        <f t="shared" si="0"/>
        <v>0.46999999999999975</v>
      </c>
      <c r="J7" t="s">
        <v>894</v>
      </c>
      <c r="K7" s="85"/>
    </row>
    <row r="8" spans="1:11" s="1" customFormat="1" x14ac:dyDescent="0.25">
      <c r="B8" t="s">
        <v>896</v>
      </c>
      <c r="C8" t="s">
        <v>338</v>
      </c>
      <c r="D8" t="s">
        <v>38</v>
      </c>
      <c r="E8" t="s">
        <v>897</v>
      </c>
      <c r="F8" t="s">
        <v>426</v>
      </c>
      <c r="G8" s="7">
        <v>3.3</v>
      </c>
      <c r="H8" s="7">
        <v>2.9</v>
      </c>
      <c r="I8" s="7">
        <f t="shared" si="0"/>
        <v>0.39999999999999991</v>
      </c>
      <c r="J8" t="s">
        <v>894</v>
      </c>
      <c r="K8" s="85"/>
    </row>
    <row r="9" spans="1:11" s="1" customFormat="1" x14ac:dyDescent="0.25">
      <c r="B9" t="s">
        <v>896</v>
      </c>
      <c r="C9" t="s">
        <v>37</v>
      </c>
      <c r="D9" t="s">
        <v>38</v>
      </c>
      <c r="E9" t="s">
        <v>898</v>
      </c>
      <c r="F9" t="s">
        <v>424</v>
      </c>
      <c r="G9" s="7">
        <v>0</v>
      </c>
      <c r="H9" s="7">
        <v>0</v>
      </c>
      <c r="I9" s="7">
        <f t="shared" si="0"/>
        <v>0</v>
      </c>
      <c r="J9" t="s">
        <v>894</v>
      </c>
      <c r="K9" s="85"/>
    </row>
    <row r="10" spans="1:11" s="1" customFormat="1" x14ac:dyDescent="0.25">
      <c r="B10" t="s">
        <v>896</v>
      </c>
      <c r="C10" t="s">
        <v>338</v>
      </c>
      <c r="D10" t="s">
        <v>38</v>
      </c>
      <c r="E10" t="s">
        <v>898</v>
      </c>
      <c r="F10" t="s">
        <v>426</v>
      </c>
      <c r="G10" s="7">
        <v>0</v>
      </c>
      <c r="H10" s="7">
        <v>0</v>
      </c>
      <c r="I10" s="7">
        <v>0</v>
      </c>
      <c r="J10" t="s">
        <v>894</v>
      </c>
      <c r="K10" s="85"/>
    </row>
    <row r="11" spans="1:11" s="1" customFormat="1" x14ac:dyDescent="0.25">
      <c r="B11" t="s">
        <v>896</v>
      </c>
      <c r="C11" t="s">
        <v>338</v>
      </c>
      <c r="D11" t="s">
        <v>38</v>
      </c>
      <c r="E11" t="s">
        <v>899</v>
      </c>
      <c r="F11" t="s">
        <v>424</v>
      </c>
      <c r="G11" s="7">
        <v>3</v>
      </c>
      <c r="H11" s="7">
        <v>2.64</v>
      </c>
      <c r="I11" s="7">
        <f t="shared" si="0"/>
        <v>0.35999999999999988</v>
      </c>
      <c r="J11" t="s">
        <v>894</v>
      </c>
      <c r="K11" s="85"/>
    </row>
    <row r="12" spans="1:11" s="1" customFormat="1" x14ac:dyDescent="0.25">
      <c r="B12" t="s">
        <v>896</v>
      </c>
      <c r="C12" t="s">
        <v>37</v>
      </c>
      <c r="D12" t="s">
        <v>38</v>
      </c>
      <c r="E12" t="s">
        <v>899</v>
      </c>
      <c r="F12" t="s">
        <v>426</v>
      </c>
      <c r="G12" s="7">
        <v>2.5</v>
      </c>
      <c r="H12" s="7">
        <v>2.2000000000000002</v>
      </c>
      <c r="I12" s="7">
        <f t="shared" si="0"/>
        <v>0.29999999999999982</v>
      </c>
      <c r="J12" t="s">
        <v>894</v>
      </c>
      <c r="K12" s="85"/>
    </row>
    <row r="13" spans="1:11" s="1" customFormat="1" x14ac:dyDescent="0.25">
      <c r="B13" t="s">
        <v>900</v>
      </c>
      <c r="C13" t="s">
        <v>338</v>
      </c>
      <c r="D13" t="s">
        <v>38</v>
      </c>
      <c r="E13" t="s">
        <v>1132</v>
      </c>
      <c r="F13" t="s">
        <v>424</v>
      </c>
      <c r="G13" s="7">
        <v>9.6</v>
      </c>
      <c r="H13" s="7">
        <v>8.4499999999999993</v>
      </c>
      <c r="I13" s="7">
        <f t="shared" si="0"/>
        <v>1.1500000000000004</v>
      </c>
      <c r="J13" t="s">
        <v>894</v>
      </c>
      <c r="K13" s="85"/>
    </row>
    <row r="14" spans="1:11" s="1" customFormat="1" x14ac:dyDescent="0.25">
      <c r="B14" t="s">
        <v>900</v>
      </c>
      <c r="C14" t="s">
        <v>37</v>
      </c>
      <c r="D14" t="s">
        <v>38</v>
      </c>
      <c r="E14" t="s">
        <v>1132</v>
      </c>
      <c r="F14" t="s">
        <v>426</v>
      </c>
      <c r="G14" s="7">
        <v>8</v>
      </c>
      <c r="H14" s="7">
        <v>7.04</v>
      </c>
      <c r="I14" s="7">
        <f t="shared" si="0"/>
        <v>0.96</v>
      </c>
      <c r="J14" t="s">
        <v>894</v>
      </c>
      <c r="K14" s="85"/>
    </row>
    <row r="15" spans="1:11" s="1" customFormat="1" x14ac:dyDescent="0.25">
      <c r="B15" t="s">
        <v>900</v>
      </c>
      <c r="C15" t="s">
        <v>338</v>
      </c>
      <c r="D15" t="s">
        <v>38</v>
      </c>
      <c r="E15" t="s">
        <v>1133</v>
      </c>
      <c r="F15" t="s">
        <v>424</v>
      </c>
      <c r="G15" s="7">
        <v>7.2</v>
      </c>
      <c r="H15" s="7">
        <v>6.34</v>
      </c>
      <c r="I15" s="7">
        <f t="shared" si="0"/>
        <v>0.86000000000000032</v>
      </c>
      <c r="J15" t="s">
        <v>894</v>
      </c>
      <c r="K15" s="85"/>
    </row>
    <row r="16" spans="1:11" s="1" customFormat="1" x14ac:dyDescent="0.25">
      <c r="B16" t="s">
        <v>900</v>
      </c>
      <c r="C16" t="s">
        <v>37</v>
      </c>
      <c r="D16" t="s">
        <v>38</v>
      </c>
      <c r="E16" t="s">
        <v>1133</v>
      </c>
      <c r="F16" t="s">
        <v>426</v>
      </c>
      <c r="G16" s="7">
        <v>6</v>
      </c>
      <c r="H16" s="7">
        <v>5.28</v>
      </c>
      <c r="I16" s="7">
        <f t="shared" si="0"/>
        <v>0.71999999999999975</v>
      </c>
      <c r="J16" t="s">
        <v>894</v>
      </c>
      <c r="K16" s="85"/>
    </row>
    <row r="17" spans="2:11" s="1" customFormat="1" x14ac:dyDescent="0.25">
      <c r="B17" t="s">
        <v>900</v>
      </c>
      <c r="C17" t="s">
        <v>338</v>
      </c>
      <c r="D17" t="s">
        <v>38</v>
      </c>
      <c r="E17" t="s">
        <v>1134</v>
      </c>
      <c r="F17" t="s">
        <v>424</v>
      </c>
      <c r="G17" s="7">
        <v>9.6</v>
      </c>
      <c r="H17" s="7">
        <v>8.4499999999999993</v>
      </c>
      <c r="I17" s="7">
        <f t="shared" si="0"/>
        <v>1.1500000000000004</v>
      </c>
      <c r="J17" t="s">
        <v>894</v>
      </c>
      <c r="K17" s="85"/>
    </row>
    <row r="18" spans="2:11" s="1" customFormat="1" x14ac:dyDescent="0.25">
      <c r="B18" t="s">
        <v>900</v>
      </c>
      <c r="C18" t="s">
        <v>37</v>
      </c>
      <c r="D18" t="s">
        <v>38</v>
      </c>
      <c r="E18" t="s">
        <v>1134</v>
      </c>
      <c r="F18" t="s">
        <v>426</v>
      </c>
      <c r="G18" s="7">
        <v>8</v>
      </c>
      <c r="H18" s="7">
        <v>7.04</v>
      </c>
      <c r="I18" s="7">
        <f t="shared" si="0"/>
        <v>0.96</v>
      </c>
      <c r="J18" t="s">
        <v>894</v>
      </c>
      <c r="K18" s="85"/>
    </row>
    <row r="19" spans="2:11" s="1" customFormat="1" x14ac:dyDescent="0.25">
      <c r="B19" t="s">
        <v>900</v>
      </c>
      <c r="C19" t="s">
        <v>338</v>
      </c>
      <c r="D19" t="s">
        <v>38</v>
      </c>
      <c r="E19" t="s">
        <v>1135</v>
      </c>
      <c r="F19" t="s">
        <v>424</v>
      </c>
      <c r="G19" s="7">
        <v>0</v>
      </c>
      <c r="H19" s="7">
        <v>0</v>
      </c>
      <c r="I19" s="7">
        <f t="shared" si="0"/>
        <v>0</v>
      </c>
      <c r="J19" t="s">
        <v>894</v>
      </c>
      <c r="K19" s="85"/>
    </row>
    <row r="20" spans="2:11" s="1" customFormat="1" x14ac:dyDescent="0.25">
      <c r="B20" t="s">
        <v>900</v>
      </c>
      <c r="C20" t="s">
        <v>37</v>
      </c>
      <c r="D20" t="s">
        <v>38</v>
      </c>
      <c r="E20" t="s">
        <v>1135</v>
      </c>
      <c r="F20" t="s">
        <v>426</v>
      </c>
      <c r="G20" s="7">
        <v>0</v>
      </c>
      <c r="H20" s="7">
        <v>0</v>
      </c>
      <c r="I20" s="7">
        <f t="shared" si="0"/>
        <v>0</v>
      </c>
      <c r="J20" t="s">
        <v>894</v>
      </c>
      <c r="K20" s="85"/>
    </row>
    <row r="21" spans="2:11" s="1" customFormat="1" x14ac:dyDescent="0.25">
      <c r="B21" t="s">
        <v>900</v>
      </c>
      <c r="C21" t="s">
        <v>338</v>
      </c>
      <c r="D21" t="s">
        <v>38</v>
      </c>
      <c r="E21" t="s">
        <v>901</v>
      </c>
      <c r="F21" t="s">
        <v>424</v>
      </c>
      <c r="G21" s="7">
        <v>0</v>
      </c>
      <c r="H21" s="7">
        <v>0</v>
      </c>
      <c r="I21" s="7">
        <f>G22-H21</f>
        <v>0</v>
      </c>
      <c r="J21" t="s">
        <v>894</v>
      </c>
      <c r="K21" s="85"/>
    </row>
    <row r="22" spans="2:11" s="1" customFormat="1" x14ac:dyDescent="0.25">
      <c r="B22" t="s">
        <v>900</v>
      </c>
      <c r="C22" t="s">
        <v>37</v>
      </c>
      <c r="D22" t="s">
        <v>38</v>
      </c>
      <c r="E22" t="s">
        <v>901</v>
      </c>
      <c r="F22" t="s">
        <v>426</v>
      </c>
      <c r="G22" s="7">
        <v>0</v>
      </c>
      <c r="H22" s="7">
        <v>0</v>
      </c>
      <c r="I22" s="7">
        <v>0</v>
      </c>
      <c r="J22" t="s">
        <v>894</v>
      </c>
      <c r="K22" s="85"/>
    </row>
    <row r="23" spans="2:11" s="1" customFormat="1" x14ac:dyDescent="0.25">
      <c r="B23" t="s">
        <v>67</v>
      </c>
      <c r="C23" t="s">
        <v>338</v>
      </c>
      <c r="D23" t="s">
        <v>38</v>
      </c>
      <c r="E23" t="s">
        <v>1100</v>
      </c>
      <c r="F23" t="s">
        <v>424</v>
      </c>
      <c r="G23" s="7">
        <v>2.76</v>
      </c>
      <c r="H23" s="7">
        <v>2.4300000000000002</v>
      </c>
      <c r="I23" s="7">
        <f t="shared" si="0"/>
        <v>0.32999999999999963</v>
      </c>
      <c r="J23" t="s">
        <v>894</v>
      </c>
      <c r="K23" s="85"/>
    </row>
    <row r="24" spans="2:11" s="1" customFormat="1" x14ac:dyDescent="0.25">
      <c r="B24" t="s">
        <v>67</v>
      </c>
      <c r="C24" t="s">
        <v>37</v>
      </c>
      <c r="D24" t="s">
        <v>38</v>
      </c>
      <c r="E24" t="s">
        <v>1100</v>
      </c>
      <c r="F24" t="s">
        <v>426</v>
      </c>
      <c r="G24" s="7">
        <v>2.2999999999999998</v>
      </c>
      <c r="H24" s="7">
        <v>2.02</v>
      </c>
      <c r="I24" s="7">
        <f t="shared" si="0"/>
        <v>0.2799999999999998</v>
      </c>
      <c r="J24" t="s">
        <v>894</v>
      </c>
      <c r="K24" s="85"/>
    </row>
    <row r="25" spans="2:11" s="1" customFormat="1" x14ac:dyDescent="0.25">
      <c r="B25" t="s">
        <v>67</v>
      </c>
      <c r="C25" t="s">
        <v>338</v>
      </c>
      <c r="D25" t="s">
        <v>38</v>
      </c>
      <c r="E25" t="s">
        <v>1374</v>
      </c>
      <c r="F25" t="s">
        <v>424</v>
      </c>
      <c r="G25" s="7">
        <v>2.1</v>
      </c>
      <c r="H25" s="7">
        <v>1.85</v>
      </c>
      <c r="I25" s="7">
        <f t="shared" si="0"/>
        <v>0.25</v>
      </c>
      <c r="J25" t="s">
        <v>894</v>
      </c>
      <c r="K25" s="85"/>
    </row>
    <row r="26" spans="2:11" s="1" customFormat="1" x14ac:dyDescent="0.25">
      <c r="B26" t="s">
        <v>67</v>
      </c>
      <c r="C26" t="s">
        <v>37</v>
      </c>
      <c r="D26" t="s">
        <v>38</v>
      </c>
      <c r="E26" t="s">
        <v>1374</v>
      </c>
      <c r="F26" t="s">
        <v>426</v>
      </c>
      <c r="G26" s="7">
        <v>1.75</v>
      </c>
      <c r="H26" s="7">
        <v>1.54</v>
      </c>
      <c r="I26" s="7">
        <f t="shared" si="0"/>
        <v>0.20999999999999996</v>
      </c>
      <c r="J26" t="s">
        <v>894</v>
      </c>
      <c r="K26" s="85"/>
    </row>
    <row r="27" spans="2:11" s="1" customFormat="1" x14ac:dyDescent="0.25">
      <c r="B27" t="s">
        <v>67</v>
      </c>
      <c r="C27" t="s">
        <v>338</v>
      </c>
      <c r="D27" t="s">
        <v>38</v>
      </c>
      <c r="E27" t="s">
        <v>1375</v>
      </c>
      <c r="F27" t="s">
        <v>424</v>
      </c>
      <c r="G27" s="7">
        <v>0</v>
      </c>
      <c r="H27" s="7">
        <v>0</v>
      </c>
      <c r="I27" s="7">
        <f t="shared" si="0"/>
        <v>0</v>
      </c>
      <c r="J27" t="s">
        <v>894</v>
      </c>
      <c r="K27" s="85"/>
    </row>
    <row r="28" spans="2:11" s="1" customFormat="1" x14ac:dyDescent="0.25">
      <c r="B28" t="s">
        <v>67</v>
      </c>
      <c r="C28" t="s">
        <v>37</v>
      </c>
      <c r="D28" t="s">
        <v>38</v>
      </c>
      <c r="E28" t="s">
        <v>1375</v>
      </c>
      <c r="F28" t="s">
        <v>426</v>
      </c>
      <c r="G28" s="7">
        <v>0</v>
      </c>
      <c r="H28" s="7">
        <v>0</v>
      </c>
      <c r="I28" s="7">
        <f t="shared" si="0"/>
        <v>0</v>
      </c>
      <c r="J28" t="s">
        <v>894</v>
      </c>
      <c r="K28" s="85"/>
    </row>
    <row r="29" spans="2:11" s="1" customFormat="1" x14ac:dyDescent="0.25">
      <c r="B29" t="s">
        <v>63</v>
      </c>
      <c r="C29" t="s">
        <v>338</v>
      </c>
      <c r="D29" t="s">
        <v>38</v>
      </c>
      <c r="E29" t="s">
        <v>1136</v>
      </c>
      <c r="F29" t="s">
        <v>424</v>
      </c>
      <c r="G29" s="7">
        <v>0.24</v>
      </c>
      <c r="H29" s="7">
        <v>0.21</v>
      </c>
      <c r="I29" s="7">
        <f t="shared" si="0"/>
        <v>0.03</v>
      </c>
      <c r="J29" t="s">
        <v>894</v>
      </c>
      <c r="K29" s="85"/>
    </row>
    <row r="30" spans="2:11" s="1" customFormat="1" x14ac:dyDescent="0.25">
      <c r="B30" t="s">
        <v>63</v>
      </c>
      <c r="C30" t="s">
        <v>37</v>
      </c>
      <c r="D30" t="s">
        <v>38</v>
      </c>
      <c r="E30" t="s">
        <v>1136</v>
      </c>
      <c r="F30" t="s">
        <v>426</v>
      </c>
      <c r="G30" s="7">
        <v>0.2</v>
      </c>
      <c r="H30" s="7">
        <v>0.18</v>
      </c>
      <c r="I30" s="7">
        <f t="shared" si="0"/>
        <v>2.0000000000000018E-2</v>
      </c>
      <c r="J30" t="s">
        <v>894</v>
      </c>
      <c r="K30" s="85"/>
    </row>
    <row r="31" spans="2:11" s="1" customFormat="1" x14ac:dyDescent="0.25">
      <c r="B31"/>
      <c r="C31"/>
      <c r="D31"/>
      <c r="E31"/>
      <c r="F31"/>
      <c r="G31" s="7"/>
      <c r="H31" s="7"/>
      <c r="I31" s="7"/>
      <c r="J31"/>
      <c r="K31" s="85"/>
    </row>
    <row r="32" spans="2:11" s="1" customFormat="1" x14ac:dyDescent="0.25">
      <c r="B32" t="s">
        <v>800</v>
      </c>
      <c r="C32" t="s">
        <v>37</v>
      </c>
      <c r="D32" t="s">
        <v>38</v>
      </c>
      <c r="E32" t="s">
        <v>1102</v>
      </c>
      <c r="F32" t="s">
        <v>426</v>
      </c>
      <c r="G32" s="7">
        <v>0.7</v>
      </c>
      <c r="H32" s="7">
        <v>0.62</v>
      </c>
      <c r="I32" s="7">
        <f>G32-H32</f>
        <v>7.999999999999996E-2</v>
      </c>
      <c r="J32" t="s">
        <v>894</v>
      </c>
      <c r="K32" s="85"/>
    </row>
    <row r="33" spans="2:11" s="1" customFormat="1" x14ac:dyDescent="0.25">
      <c r="B33" t="s">
        <v>800</v>
      </c>
      <c r="C33" t="s">
        <v>338</v>
      </c>
      <c r="D33" t="s">
        <v>38</v>
      </c>
      <c r="E33" t="s">
        <v>1102</v>
      </c>
      <c r="F33" t="s">
        <v>424</v>
      </c>
      <c r="G33" s="7">
        <v>0.84</v>
      </c>
      <c r="H33" s="7">
        <v>0.74</v>
      </c>
      <c r="I33" s="7">
        <f>G33-H33</f>
        <v>9.9999999999999978E-2</v>
      </c>
      <c r="J33" t="s">
        <v>894</v>
      </c>
      <c r="K33" s="85"/>
    </row>
    <row r="34" spans="2:11" s="1" customFormat="1" x14ac:dyDescent="0.25">
      <c r="B34" t="s">
        <v>800</v>
      </c>
      <c r="C34" t="s">
        <v>37</v>
      </c>
      <c r="D34" t="s">
        <v>38</v>
      </c>
      <c r="E34" t="s">
        <v>1103</v>
      </c>
      <c r="F34" t="s">
        <v>426</v>
      </c>
      <c r="G34" s="7">
        <v>0.7</v>
      </c>
      <c r="H34" s="7">
        <v>0.62</v>
      </c>
      <c r="I34" s="7">
        <f>G34-H34</f>
        <v>7.999999999999996E-2</v>
      </c>
      <c r="J34" t="s">
        <v>894</v>
      </c>
      <c r="K34" s="85"/>
    </row>
    <row r="35" spans="2:11" s="1" customFormat="1" x14ac:dyDescent="0.25">
      <c r="B35" t="s">
        <v>800</v>
      </c>
      <c r="C35" t="s">
        <v>338</v>
      </c>
      <c r="D35" t="s">
        <v>38</v>
      </c>
      <c r="E35" t="s">
        <v>1103</v>
      </c>
      <c r="F35"/>
      <c r="G35" s="7"/>
      <c r="H35" s="7"/>
      <c r="I35" s="7"/>
      <c r="J35"/>
      <c r="K35" s="85"/>
    </row>
    <row r="36" spans="2:11" s="1" customFormat="1" x14ac:dyDescent="0.25">
      <c r="B36" t="s">
        <v>445</v>
      </c>
      <c r="C36" t="s">
        <v>338</v>
      </c>
      <c r="D36" t="s">
        <v>38</v>
      </c>
      <c r="E36" t="s">
        <v>1104</v>
      </c>
      <c r="F36" t="s">
        <v>424</v>
      </c>
      <c r="G36" s="7">
        <v>0.72</v>
      </c>
      <c r="H36" s="7">
        <v>0.64</v>
      </c>
      <c r="I36" s="7">
        <f>G36-H36</f>
        <v>7.999999999999996E-2</v>
      </c>
      <c r="J36" t="s">
        <v>894</v>
      </c>
      <c r="K36" s="85"/>
    </row>
    <row r="37" spans="2:11" s="1" customFormat="1" x14ac:dyDescent="0.25">
      <c r="B37" t="s">
        <v>445</v>
      </c>
      <c r="C37" t="s">
        <v>37</v>
      </c>
      <c r="D37" t="s">
        <v>38</v>
      </c>
      <c r="E37" t="s">
        <v>1104</v>
      </c>
      <c r="F37" t="s">
        <v>426</v>
      </c>
      <c r="G37" s="7">
        <v>0.6</v>
      </c>
      <c r="H37" s="7">
        <v>0.53</v>
      </c>
      <c r="I37" s="7">
        <f t="shared" si="0"/>
        <v>6.9999999999999951E-2</v>
      </c>
      <c r="J37" t="s">
        <v>894</v>
      </c>
      <c r="K37" s="85"/>
    </row>
    <row r="38" spans="2:11" s="1" customFormat="1" hidden="1" x14ac:dyDescent="0.25">
      <c r="B38" t="s">
        <v>77</v>
      </c>
      <c r="C38" t="s">
        <v>338</v>
      </c>
      <c r="D38" t="s">
        <v>38</v>
      </c>
      <c r="E38" t="s">
        <v>902</v>
      </c>
      <c r="F38" t="s">
        <v>424</v>
      </c>
      <c r="G38" s="7">
        <v>3</v>
      </c>
      <c r="H38" s="7">
        <v>2.64</v>
      </c>
      <c r="I38" s="7">
        <f t="shared" si="0"/>
        <v>0.35999999999999988</v>
      </c>
      <c r="J38" t="s">
        <v>894</v>
      </c>
      <c r="K38" s="85"/>
    </row>
    <row r="39" spans="2:11" s="1" customFormat="1" x14ac:dyDescent="0.25">
      <c r="B39" t="s">
        <v>77</v>
      </c>
      <c r="C39" t="s">
        <v>37</v>
      </c>
      <c r="D39" t="s">
        <v>38</v>
      </c>
      <c r="E39" t="s">
        <v>902</v>
      </c>
      <c r="F39" t="s">
        <v>426</v>
      </c>
      <c r="G39" s="7">
        <v>2.5</v>
      </c>
      <c r="H39" s="7">
        <v>2.2000000000000002</v>
      </c>
      <c r="I39" s="7">
        <f t="shared" si="0"/>
        <v>0.29999999999999982</v>
      </c>
      <c r="J39" t="s">
        <v>894</v>
      </c>
      <c r="K39" s="85"/>
    </row>
    <row r="40" spans="2:11" s="1" customFormat="1" x14ac:dyDescent="0.25">
      <c r="B40" t="s">
        <v>91</v>
      </c>
      <c r="C40" t="s">
        <v>338</v>
      </c>
      <c r="D40" t="s">
        <v>38</v>
      </c>
      <c r="E40" t="s">
        <v>1105</v>
      </c>
      <c r="F40" t="s">
        <v>424</v>
      </c>
      <c r="G40" s="7">
        <v>1.32</v>
      </c>
      <c r="H40" s="7">
        <v>1.17</v>
      </c>
      <c r="I40" s="7">
        <f t="shared" si="0"/>
        <v>0.15000000000000013</v>
      </c>
      <c r="J40" t="s">
        <v>894</v>
      </c>
      <c r="K40" s="85"/>
    </row>
    <row r="41" spans="2:11" s="1" customFormat="1" x14ac:dyDescent="0.25">
      <c r="B41" t="s">
        <v>91</v>
      </c>
      <c r="C41" t="s">
        <v>37</v>
      </c>
      <c r="D41" t="s">
        <v>38</v>
      </c>
      <c r="E41" t="s">
        <v>1105</v>
      </c>
      <c r="F41" t="s">
        <v>426</v>
      </c>
      <c r="G41" s="7">
        <v>1.1000000000000001</v>
      </c>
      <c r="H41" s="7">
        <v>0.97</v>
      </c>
      <c r="I41" s="7">
        <f t="shared" si="0"/>
        <v>0.13000000000000012</v>
      </c>
      <c r="J41" t="s">
        <v>894</v>
      </c>
      <c r="K41" s="85"/>
    </row>
    <row r="42" spans="2:11" s="1" customFormat="1" x14ac:dyDescent="0.25">
      <c r="B42" t="s">
        <v>91</v>
      </c>
      <c r="C42" t="s">
        <v>338</v>
      </c>
      <c r="D42" t="s">
        <v>38</v>
      </c>
      <c r="E42" t="s">
        <v>1106</v>
      </c>
      <c r="F42" t="s">
        <v>424</v>
      </c>
      <c r="G42" s="7">
        <v>1.32</v>
      </c>
      <c r="H42" s="7">
        <v>1.17</v>
      </c>
      <c r="I42" s="7">
        <f t="shared" si="0"/>
        <v>0.15000000000000013</v>
      </c>
      <c r="J42" t="s">
        <v>894</v>
      </c>
      <c r="K42" s="85"/>
    </row>
    <row r="43" spans="2:11" s="1" customFormat="1" x14ac:dyDescent="0.25">
      <c r="B43" t="s">
        <v>91</v>
      </c>
      <c r="C43" t="s">
        <v>37</v>
      </c>
      <c r="D43" t="s">
        <v>38</v>
      </c>
      <c r="E43" t="s">
        <v>1106</v>
      </c>
      <c r="F43" t="s">
        <v>426</v>
      </c>
      <c r="G43" s="7">
        <v>1.1000000000000001</v>
      </c>
      <c r="H43" s="7">
        <v>0.97</v>
      </c>
      <c r="I43" s="7">
        <f t="shared" si="0"/>
        <v>0.13000000000000012</v>
      </c>
      <c r="J43" t="s">
        <v>894</v>
      </c>
      <c r="K43" s="85"/>
    </row>
    <row r="44" spans="2:11" s="1" customFormat="1" x14ac:dyDescent="0.25">
      <c r="B44" t="s">
        <v>85</v>
      </c>
      <c r="C44" t="s">
        <v>338</v>
      </c>
      <c r="D44" t="s">
        <v>38</v>
      </c>
      <c r="E44" t="s">
        <v>903</v>
      </c>
      <c r="F44" t="s">
        <v>424</v>
      </c>
      <c r="G44" s="7">
        <v>0</v>
      </c>
      <c r="H44" s="7">
        <v>0</v>
      </c>
      <c r="I44" s="7">
        <f t="shared" si="0"/>
        <v>0</v>
      </c>
      <c r="J44" t="s">
        <v>894</v>
      </c>
      <c r="K44" s="85"/>
    </row>
    <row r="45" spans="2:11" s="1" customFormat="1" x14ac:dyDescent="0.25">
      <c r="B45" t="s">
        <v>87</v>
      </c>
      <c r="C45" t="s">
        <v>37</v>
      </c>
      <c r="D45" t="s">
        <v>38</v>
      </c>
      <c r="E45" t="s">
        <v>903</v>
      </c>
      <c r="F45" t="s">
        <v>426</v>
      </c>
      <c r="G45" s="7">
        <v>0</v>
      </c>
      <c r="H45" s="7">
        <v>0</v>
      </c>
      <c r="I45" s="7">
        <f t="shared" si="0"/>
        <v>0</v>
      </c>
      <c r="J45" t="s">
        <v>894</v>
      </c>
      <c r="K45" s="85"/>
    </row>
    <row r="46" spans="2:11" s="1" customFormat="1" x14ac:dyDescent="0.25">
      <c r="B46" t="s">
        <v>85</v>
      </c>
      <c r="C46" t="s">
        <v>338</v>
      </c>
      <c r="D46" t="s">
        <v>38</v>
      </c>
      <c r="E46" t="s">
        <v>904</v>
      </c>
      <c r="F46" t="s">
        <v>424</v>
      </c>
      <c r="G46" s="7">
        <v>1.68</v>
      </c>
      <c r="H46" s="7">
        <v>1.47</v>
      </c>
      <c r="I46" s="7">
        <f t="shared" si="0"/>
        <v>0.20999999999999996</v>
      </c>
      <c r="J46" t="s">
        <v>894</v>
      </c>
      <c r="K46" s="85"/>
    </row>
    <row r="47" spans="2:11" s="1" customFormat="1" x14ac:dyDescent="0.25">
      <c r="B47" t="s">
        <v>85</v>
      </c>
      <c r="C47" t="s">
        <v>37</v>
      </c>
      <c r="D47" t="s">
        <v>38</v>
      </c>
      <c r="E47" t="s">
        <v>904</v>
      </c>
      <c r="F47" t="s">
        <v>426</v>
      </c>
      <c r="G47" s="7">
        <v>1.4</v>
      </c>
      <c r="H47" s="7">
        <v>1.23</v>
      </c>
      <c r="I47" s="7">
        <f t="shared" si="0"/>
        <v>0.16999999999999993</v>
      </c>
      <c r="J47" t="s">
        <v>894</v>
      </c>
      <c r="K47" s="85"/>
    </row>
    <row r="48" spans="2:11" s="1" customFormat="1" x14ac:dyDescent="0.25">
      <c r="B48" t="s">
        <v>87</v>
      </c>
      <c r="C48" t="s">
        <v>338</v>
      </c>
      <c r="D48" t="s">
        <v>38</v>
      </c>
      <c r="E48" t="s">
        <v>1376</v>
      </c>
      <c r="F48" t="s">
        <v>424</v>
      </c>
      <c r="G48" s="7">
        <v>1.5</v>
      </c>
      <c r="H48" s="7">
        <v>1.32</v>
      </c>
      <c r="I48" s="7">
        <f t="shared" si="0"/>
        <v>0.17999999999999994</v>
      </c>
      <c r="J48" t="s">
        <v>894</v>
      </c>
      <c r="K48" s="85"/>
    </row>
    <row r="49" spans="2:11" s="1" customFormat="1" x14ac:dyDescent="0.25">
      <c r="B49" t="s">
        <v>87</v>
      </c>
      <c r="C49" t="s">
        <v>37</v>
      </c>
      <c r="D49" t="s">
        <v>38</v>
      </c>
      <c r="E49" t="s">
        <v>1376</v>
      </c>
      <c r="F49" t="s">
        <v>426</v>
      </c>
      <c r="G49" s="7">
        <v>1.8</v>
      </c>
      <c r="H49" s="7">
        <v>1.58</v>
      </c>
      <c r="I49" s="7">
        <f t="shared" si="0"/>
        <v>0.21999999999999997</v>
      </c>
      <c r="J49" t="s">
        <v>894</v>
      </c>
      <c r="K49" s="85"/>
    </row>
    <row r="50" spans="2:11" s="1" customFormat="1" x14ac:dyDescent="0.25">
      <c r="B50" t="s">
        <v>85</v>
      </c>
      <c r="C50" t="s">
        <v>338</v>
      </c>
      <c r="D50" t="s">
        <v>38</v>
      </c>
      <c r="E50" t="s">
        <v>905</v>
      </c>
      <c r="F50" t="s">
        <v>424</v>
      </c>
      <c r="G50" s="7">
        <v>2.64</v>
      </c>
      <c r="H50" s="7">
        <v>2.3199999999999998</v>
      </c>
      <c r="I50" s="7">
        <f t="shared" si="0"/>
        <v>0.32000000000000028</v>
      </c>
      <c r="J50" t="s">
        <v>894</v>
      </c>
      <c r="K50" s="85"/>
    </row>
    <row r="51" spans="2:11" s="1" customFormat="1" x14ac:dyDescent="0.25">
      <c r="B51" t="s">
        <v>85</v>
      </c>
      <c r="C51" t="s">
        <v>37</v>
      </c>
      <c r="D51" t="s">
        <v>38</v>
      </c>
      <c r="E51" t="s">
        <v>905</v>
      </c>
      <c r="F51" t="s">
        <v>426</v>
      </c>
      <c r="G51" s="7">
        <v>2.2000000000000002</v>
      </c>
      <c r="H51" s="7">
        <v>1.94</v>
      </c>
      <c r="I51" s="7">
        <f t="shared" si="0"/>
        <v>0.26000000000000023</v>
      </c>
      <c r="J51" t="s">
        <v>894</v>
      </c>
      <c r="K51" s="85"/>
    </row>
    <row r="52" spans="2:11" s="1" customFormat="1" x14ac:dyDescent="0.25">
      <c r="B52" t="s">
        <v>761</v>
      </c>
      <c r="C52" t="s">
        <v>338</v>
      </c>
      <c r="D52" t="s">
        <v>38</v>
      </c>
      <c r="E52" t="s">
        <v>906</v>
      </c>
      <c r="F52" t="s">
        <v>424</v>
      </c>
      <c r="G52" s="7">
        <v>0.48</v>
      </c>
      <c r="H52" s="7">
        <v>0.42</v>
      </c>
      <c r="I52" s="7">
        <f t="shared" si="0"/>
        <v>0.06</v>
      </c>
      <c r="J52" t="s">
        <v>894</v>
      </c>
      <c r="K52" s="85"/>
    </row>
    <row r="53" spans="2:11" s="1" customFormat="1" x14ac:dyDescent="0.25">
      <c r="B53" t="s">
        <v>761</v>
      </c>
      <c r="C53" t="s">
        <v>37</v>
      </c>
      <c r="D53" t="s">
        <v>38</v>
      </c>
      <c r="E53" t="s">
        <v>906</v>
      </c>
      <c r="F53" t="s">
        <v>426</v>
      </c>
      <c r="G53" s="7">
        <v>0.4</v>
      </c>
      <c r="H53" s="7">
        <v>0.35</v>
      </c>
      <c r="I53" s="7">
        <f t="shared" si="0"/>
        <v>5.0000000000000044E-2</v>
      </c>
      <c r="J53" t="s">
        <v>894</v>
      </c>
      <c r="K53" s="85"/>
    </row>
    <row r="54" spans="2:11" s="1" customFormat="1" x14ac:dyDescent="0.25">
      <c r="B54" t="s">
        <v>761</v>
      </c>
      <c r="C54" t="s">
        <v>338</v>
      </c>
      <c r="D54" t="s">
        <v>38</v>
      </c>
      <c r="E54" t="s">
        <v>1107</v>
      </c>
      <c r="F54" t="s">
        <v>424</v>
      </c>
      <c r="G54" s="7">
        <v>0.72</v>
      </c>
      <c r="H54" s="7">
        <v>0.64</v>
      </c>
      <c r="I54" s="7">
        <f t="shared" si="0"/>
        <v>7.999999999999996E-2</v>
      </c>
      <c r="J54" t="s">
        <v>894</v>
      </c>
      <c r="K54" s="85"/>
    </row>
    <row r="55" spans="2:11" s="1" customFormat="1" x14ac:dyDescent="0.25">
      <c r="B55" t="s">
        <v>761</v>
      </c>
      <c r="C55" t="s">
        <v>37</v>
      </c>
      <c r="D55" t="s">
        <v>38</v>
      </c>
      <c r="E55" t="s">
        <v>1107</v>
      </c>
      <c r="F55" t="s">
        <v>426</v>
      </c>
      <c r="G55" s="7">
        <v>0.6</v>
      </c>
      <c r="H55" s="7">
        <v>0.53</v>
      </c>
      <c r="I55" s="7">
        <f t="shared" si="0"/>
        <v>6.9999999999999951E-2</v>
      </c>
      <c r="J55" t="s">
        <v>894</v>
      </c>
      <c r="K55" s="85"/>
    </row>
    <row r="56" spans="2:11" s="1" customFormat="1" x14ac:dyDescent="0.25">
      <c r="B56" t="s">
        <v>761</v>
      </c>
      <c r="C56" t="s">
        <v>338</v>
      </c>
      <c r="D56" t="s">
        <v>38</v>
      </c>
      <c r="E56" t="s">
        <v>1108</v>
      </c>
      <c r="F56" t="s">
        <v>424</v>
      </c>
      <c r="G56" s="7">
        <v>0.54</v>
      </c>
      <c r="H56" s="7">
        <v>0.47</v>
      </c>
      <c r="I56" s="7">
        <f t="shared" si="0"/>
        <v>7.0000000000000062E-2</v>
      </c>
      <c r="J56" t="s">
        <v>894</v>
      </c>
      <c r="K56" s="85"/>
    </row>
    <row r="57" spans="2:11" s="1" customFormat="1" x14ac:dyDescent="0.25">
      <c r="B57" t="s">
        <v>761</v>
      </c>
      <c r="C57" t="s">
        <v>37</v>
      </c>
      <c r="D57" t="s">
        <v>38</v>
      </c>
      <c r="E57" t="s">
        <v>1108</v>
      </c>
      <c r="F57" t="s">
        <v>426</v>
      </c>
      <c r="G57" s="7">
        <v>0.45</v>
      </c>
      <c r="H57" s="7">
        <v>0.4</v>
      </c>
      <c r="I57" s="7">
        <f t="shared" si="0"/>
        <v>4.9999999999999989E-2</v>
      </c>
      <c r="J57" t="s">
        <v>894</v>
      </c>
      <c r="K57" s="85"/>
    </row>
    <row r="58" spans="2:11" s="1" customFormat="1" x14ac:dyDescent="0.25">
      <c r="B58" t="s">
        <v>761</v>
      </c>
      <c r="C58" t="s">
        <v>338</v>
      </c>
      <c r="D58" t="s">
        <v>38</v>
      </c>
      <c r="E58" t="s">
        <v>1109</v>
      </c>
      <c r="F58" t="s">
        <v>424</v>
      </c>
      <c r="G58" s="7">
        <v>0.36</v>
      </c>
      <c r="H58" s="7">
        <v>0.32</v>
      </c>
      <c r="I58" s="7">
        <f t="shared" si="0"/>
        <v>3.999999999999998E-2</v>
      </c>
      <c r="J58" t="s">
        <v>894</v>
      </c>
      <c r="K58" s="85"/>
    </row>
    <row r="59" spans="2:11" s="1" customFormat="1" x14ac:dyDescent="0.25">
      <c r="B59" t="s">
        <v>761</v>
      </c>
      <c r="C59" t="s">
        <v>37</v>
      </c>
      <c r="D59" t="s">
        <v>38</v>
      </c>
      <c r="E59" t="s">
        <v>1109</v>
      </c>
      <c r="F59" t="s">
        <v>426</v>
      </c>
      <c r="G59" s="7">
        <v>0.3</v>
      </c>
      <c r="H59" s="7">
        <v>0.26</v>
      </c>
      <c r="I59" s="7">
        <f t="shared" si="0"/>
        <v>3.999999999999998E-2</v>
      </c>
      <c r="J59" t="s">
        <v>894</v>
      </c>
      <c r="K59" s="85"/>
    </row>
    <row r="60" spans="2:11" s="1" customFormat="1" x14ac:dyDescent="0.25">
      <c r="B60" t="s">
        <v>761</v>
      </c>
      <c r="C60" t="s">
        <v>37</v>
      </c>
      <c r="D60" t="s">
        <v>38</v>
      </c>
      <c r="E60" t="s">
        <v>1377</v>
      </c>
      <c r="F60" t="s">
        <v>424</v>
      </c>
      <c r="G60" s="7">
        <v>2.4</v>
      </c>
      <c r="H60" s="7">
        <v>2.11</v>
      </c>
      <c r="I60" s="7">
        <f t="shared" si="0"/>
        <v>0.29000000000000004</v>
      </c>
      <c r="J60" t="s">
        <v>894</v>
      </c>
      <c r="K60" s="85"/>
    </row>
    <row r="61" spans="2:11" s="1" customFormat="1" x14ac:dyDescent="0.25">
      <c r="B61" t="s">
        <v>761</v>
      </c>
      <c r="C61" t="s">
        <v>338</v>
      </c>
      <c r="D61" t="s">
        <v>38</v>
      </c>
      <c r="E61" t="s">
        <v>1377</v>
      </c>
      <c r="F61" t="s">
        <v>426</v>
      </c>
      <c r="G61" s="7">
        <v>2</v>
      </c>
      <c r="H61" s="7">
        <v>1.76</v>
      </c>
      <c r="I61" s="7">
        <f t="shared" si="0"/>
        <v>0.24</v>
      </c>
      <c r="J61" t="s">
        <v>894</v>
      </c>
      <c r="K61" s="85"/>
    </row>
    <row r="62" spans="2:11" s="1" customFormat="1" x14ac:dyDescent="0.25">
      <c r="B62" t="s">
        <v>1032</v>
      </c>
      <c r="C62" t="s">
        <v>338</v>
      </c>
      <c r="D62" t="s">
        <v>38</v>
      </c>
      <c r="E62" t="s">
        <v>1378</v>
      </c>
      <c r="F62" t="s">
        <v>424</v>
      </c>
      <c r="G62" s="7">
        <v>0</v>
      </c>
      <c r="H62" s="7">
        <v>0</v>
      </c>
      <c r="I62" s="7">
        <f t="shared" si="0"/>
        <v>0</v>
      </c>
      <c r="J62" t="s">
        <v>894</v>
      </c>
      <c r="K62" s="85"/>
    </row>
    <row r="63" spans="2:11" s="1" customFormat="1" x14ac:dyDescent="0.25">
      <c r="B63" t="s">
        <v>1032</v>
      </c>
      <c r="C63" t="s">
        <v>37</v>
      </c>
      <c r="D63" t="s">
        <v>38</v>
      </c>
      <c r="E63" t="s">
        <v>1378</v>
      </c>
      <c r="F63" t="s">
        <v>426</v>
      </c>
      <c r="G63" s="7">
        <v>0</v>
      </c>
      <c r="H63" s="7">
        <v>0</v>
      </c>
      <c r="I63" s="7">
        <v>0</v>
      </c>
      <c r="J63" t="s">
        <v>894</v>
      </c>
      <c r="K63" s="85"/>
    </row>
    <row r="64" spans="2:11" s="1" customFormat="1" x14ac:dyDescent="0.25">
      <c r="B64" t="s">
        <v>1032</v>
      </c>
      <c r="C64" t="s">
        <v>338</v>
      </c>
      <c r="D64" t="s">
        <v>38</v>
      </c>
      <c r="E64" t="s">
        <v>1379</v>
      </c>
      <c r="F64" t="s">
        <v>424</v>
      </c>
      <c r="G64" s="7">
        <v>0</v>
      </c>
      <c r="H64" s="7">
        <v>0</v>
      </c>
      <c r="I64" s="7">
        <v>0</v>
      </c>
      <c r="J64" t="s">
        <v>894</v>
      </c>
      <c r="K64" s="85"/>
    </row>
    <row r="65" spans="2:11" s="1" customFormat="1" x14ac:dyDescent="0.25">
      <c r="B65" t="s">
        <v>1032</v>
      </c>
      <c r="C65" t="s">
        <v>37</v>
      </c>
      <c r="D65" t="s">
        <v>38</v>
      </c>
      <c r="E65" t="s">
        <v>1379</v>
      </c>
      <c r="F65" t="s">
        <v>426</v>
      </c>
      <c r="G65" s="7">
        <v>0</v>
      </c>
      <c r="H65" s="7">
        <v>0</v>
      </c>
      <c r="I65" s="7">
        <v>0</v>
      </c>
      <c r="J65" t="s">
        <v>894</v>
      </c>
      <c r="K65" s="85"/>
    </row>
    <row r="66" spans="2:11" s="1" customFormat="1" x14ac:dyDescent="0.25">
      <c r="B66" t="s">
        <v>809</v>
      </c>
      <c r="C66" t="s">
        <v>338</v>
      </c>
      <c r="D66" t="s">
        <v>38</v>
      </c>
      <c r="E66" t="s">
        <v>1380</v>
      </c>
      <c r="F66" t="s">
        <v>424</v>
      </c>
      <c r="G66" s="7">
        <v>0.36</v>
      </c>
      <c r="H66" s="7">
        <v>0.32</v>
      </c>
      <c r="I66" s="7">
        <v>0</v>
      </c>
      <c r="J66" t="s">
        <v>894</v>
      </c>
      <c r="K66" s="85"/>
    </row>
    <row r="67" spans="2:11" s="1" customFormat="1" x14ac:dyDescent="0.25">
      <c r="B67" t="s">
        <v>809</v>
      </c>
      <c r="C67" t="s">
        <v>37</v>
      </c>
      <c r="D67" t="s">
        <v>38</v>
      </c>
      <c r="E67" t="s">
        <v>1380</v>
      </c>
      <c r="F67" t="s">
        <v>426</v>
      </c>
      <c r="G67" s="7">
        <v>0.3</v>
      </c>
      <c r="H67" s="7">
        <v>0.26</v>
      </c>
      <c r="I67" s="7">
        <v>0</v>
      </c>
      <c r="J67" t="s">
        <v>894</v>
      </c>
      <c r="K67" s="85"/>
    </row>
    <row r="68" spans="2:11" s="1" customFormat="1" x14ac:dyDescent="0.25">
      <c r="B68" t="s">
        <v>809</v>
      </c>
      <c r="C68" t="s">
        <v>338</v>
      </c>
      <c r="D68" t="s">
        <v>38</v>
      </c>
      <c r="E68" t="s">
        <v>1381</v>
      </c>
      <c r="F68" t="s">
        <v>424</v>
      </c>
      <c r="G68" s="7">
        <v>0.36</v>
      </c>
      <c r="H68" s="7">
        <v>0.32</v>
      </c>
      <c r="I68" s="7">
        <v>0</v>
      </c>
      <c r="J68" t="s">
        <v>894</v>
      </c>
      <c r="K68" s="85"/>
    </row>
    <row r="69" spans="2:11" s="1" customFormat="1" x14ac:dyDescent="0.25">
      <c r="B69" t="s">
        <v>809</v>
      </c>
      <c r="C69" t="s">
        <v>37</v>
      </c>
      <c r="D69" t="s">
        <v>38</v>
      </c>
      <c r="E69" t="s">
        <v>1381</v>
      </c>
      <c r="F69" t="s">
        <v>426</v>
      </c>
      <c r="G69" s="7">
        <v>0.3</v>
      </c>
      <c r="H69" s="7">
        <v>0.26</v>
      </c>
      <c r="I69" s="7">
        <v>0</v>
      </c>
      <c r="J69" t="s">
        <v>894</v>
      </c>
      <c r="K69" s="85"/>
    </row>
    <row r="70" spans="2:11" s="1" customFormat="1" x14ac:dyDescent="0.25">
      <c r="B70" t="s">
        <v>809</v>
      </c>
      <c r="C70" t="s">
        <v>338</v>
      </c>
      <c r="D70" t="s">
        <v>38</v>
      </c>
      <c r="E70" t="s">
        <v>1384</v>
      </c>
      <c r="F70" t="s">
        <v>424</v>
      </c>
      <c r="G70" s="7">
        <v>0</v>
      </c>
      <c r="H70" s="7">
        <v>0</v>
      </c>
      <c r="I70" s="7">
        <v>0</v>
      </c>
      <c r="J70" t="s">
        <v>894</v>
      </c>
      <c r="K70" s="85"/>
    </row>
    <row r="71" spans="2:11" s="1" customFormat="1" x14ac:dyDescent="0.25">
      <c r="B71" t="s">
        <v>809</v>
      </c>
      <c r="C71" t="s">
        <v>37</v>
      </c>
      <c r="D71" t="s">
        <v>38</v>
      </c>
      <c r="E71" t="s">
        <v>1384</v>
      </c>
      <c r="F71" t="s">
        <v>426</v>
      </c>
      <c r="G71" s="7">
        <v>0</v>
      </c>
      <c r="H71" s="7">
        <v>0</v>
      </c>
      <c r="I71" s="7">
        <v>0</v>
      </c>
      <c r="J71" t="s">
        <v>894</v>
      </c>
      <c r="K71" s="85"/>
    </row>
    <row r="72" spans="2:11" s="1" customFormat="1" x14ac:dyDescent="0.25">
      <c r="B72" t="s">
        <v>810</v>
      </c>
      <c r="C72" t="s">
        <v>338</v>
      </c>
      <c r="D72" t="s">
        <v>38</v>
      </c>
      <c r="E72" t="s">
        <v>1110</v>
      </c>
      <c r="F72" t="s">
        <v>424</v>
      </c>
      <c r="G72" s="7">
        <v>0.54</v>
      </c>
      <c r="H72" s="7">
        <v>0.47</v>
      </c>
      <c r="I72" s="7">
        <v>0</v>
      </c>
      <c r="J72" t="s">
        <v>894</v>
      </c>
      <c r="K72" s="85"/>
    </row>
    <row r="73" spans="2:11" s="1" customFormat="1" x14ac:dyDescent="0.25">
      <c r="B73" t="s">
        <v>810</v>
      </c>
      <c r="C73" t="s">
        <v>37</v>
      </c>
      <c r="D73" t="s">
        <v>38</v>
      </c>
      <c r="E73" t="s">
        <v>1110</v>
      </c>
      <c r="F73" t="s">
        <v>426</v>
      </c>
      <c r="G73" s="7">
        <v>0.45</v>
      </c>
      <c r="H73" s="7">
        <v>0.4</v>
      </c>
      <c r="I73" s="7">
        <v>0</v>
      </c>
      <c r="J73" t="s">
        <v>894</v>
      </c>
      <c r="K73" s="85"/>
    </row>
    <row r="74" spans="2:11" s="1" customFormat="1" x14ac:dyDescent="0.25">
      <c r="B74" t="s">
        <v>810</v>
      </c>
      <c r="C74" t="s">
        <v>338</v>
      </c>
      <c r="D74" t="s">
        <v>38</v>
      </c>
      <c r="E74" t="s">
        <v>1382</v>
      </c>
      <c r="F74" t="s">
        <v>424</v>
      </c>
      <c r="G74" s="7">
        <v>1.08</v>
      </c>
      <c r="H74" s="7">
        <v>0.95</v>
      </c>
      <c r="I74" s="7">
        <v>0</v>
      </c>
      <c r="J74" t="s">
        <v>894</v>
      </c>
      <c r="K74" s="85"/>
    </row>
    <row r="75" spans="2:11" s="1" customFormat="1" x14ac:dyDescent="0.25">
      <c r="B75" t="s">
        <v>810</v>
      </c>
      <c r="C75" t="s">
        <v>37</v>
      </c>
      <c r="D75" t="s">
        <v>38</v>
      </c>
      <c r="E75" t="s">
        <v>1382</v>
      </c>
      <c r="F75" t="s">
        <v>426</v>
      </c>
      <c r="G75" s="7">
        <v>0.9</v>
      </c>
      <c r="H75" s="7">
        <v>0.79</v>
      </c>
      <c r="I75" s="7">
        <v>0</v>
      </c>
      <c r="J75" t="s">
        <v>894</v>
      </c>
      <c r="K75" s="85"/>
    </row>
    <row r="76" spans="2:11" s="1" customFormat="1" x14ac:dyDescent="0.25">
      <c r="B76" t="s">
        <v>810</v>
      </c>
      <c r="C76" t="s">
        <v>338</v>
      </c>
      <c r="D76" t="s">
        <v>38</v>
      </c>
      <c r="E76" t="s">
        <v>1383</v>
      </c>
      <c r="F76" t="s">
        <v>424</v>
      </c>
      <c r="G76" s="7">
        <v>0</v>
      </c>
      <c r="H76" s="7">
        <v>0</v>
      </c>
      <c r="I76" s="7">
        <v>0</v>
      </c>
      <c r="J76" t="s">
        <v>894</v>
      </c>
      <c r="K76" s="85"/>
    </row>
    <row r="77" spans="2:11" s="1" customFormat="1" x14ac:dyDescent="0.25">
      <c r="B77" t="s">
        <v>810</v>
      </c>
      <c r="C77" t="s">
        <v>37</v>
      </c>
      <c r="D77" t="s">
        <v>38</v>
      </c>
      <c r="E77" t="s">
        <v>1383</v>
      </c>
      <c r="F77" t="s">
        <v>426</v>
      </c>
      <c r="G77" s="7">
        <v>0</v>
      </c>
      <c r="H77" s="7">
        <v>0</v>
      </c>
      <c r="I77" s="7">
        <v>0</v>
      </c>
      <c r="J77" t="s">
        <v>894</v>
      </c>
      <c r="K77" s="85"/>
    </row>
    <row r="78" spans="2:11" s="1" customFormat="1" x14ac:dyDescent="0.25">
      <c r="B78" t="s">
        <v>810</v>
      </c>
      <c r="C78" t="s">
        <v>338</v>
      </c>
      <c r="D78" t="s">
        <v>38</v>
      </c>
      <c r="E78" t="s">
        <v>1111</v>
      </c>
      <c r="F78" t="s">
        <v>424</v>
      </c>
      <c r="G78" s="7">
        <v>0.54</v>
      </c>
      <c r="H78" s="7">
        <v>0.47</v>
      </c>
      <c r="I78" s="7">
        <v>0</v>
      </c>
      <c r="J78" t="s">
        <v>894</v>
      </c>
      <c r="K78" s="85"/>
    </row>
    <row r="79" spans="2:11" s="1" customFormat="1" x14ac:dyDescent="0.25">
      <c r="B79" t="s">
        <v>810</v>
      </c>
      <c r="C79" t="s">
        <v>37</v>
      </c>
      <c r="D79" t="s">
        <v>38</v>
      </c>
      <c r="E79" t="s">
        <v>1111</v>
      </c>
      <c r="F79" t="s">
        <v>426</v>
      </c>
      <c r="G79" s="7">
        <v>0.45</v>
      </c>
      <c r="H79" s="7">
        <v>0.4</v>
      </c>
      <c r="I79" s="7">
        <v>0</v>
      </c>
      <c r="J79" t="s">
        <v>894</v>
      </c>
      <c r="K79" s="85"/>
    </row>
    <row r="80" spans="2:11" s="1" customFormat="1" x14ac:dyDescent="0.25">
      <c r="B80" t="s">
        <v>824</v>
      </c>
      <c r="C80" t="s">
        <v>338</v>
      </c>
      <c r="D80" t="s">
        <v>38</v>
      </c>
      <c r="E80" t="s">
        <v>1123</v>
      </c>
      <c r="F80" t="s">
        <v>424</v>
      </c>
      <c r="G80" s="87">
        <v>4800</v>
      </c>
      <c r="H80" s="7">
        <v>4800</v>
      </c>
      <c r="I80" s="7">
        <v>0</v>
      </c>
      <c r="J80" t="s">
        <v>894</v>
      </c>
      <c r="K80" s="85"/>
    </row>
    <row r="81" spans="2:11" s="1" customFormat="1" x14ac:dyDescent="0.25">
      <c r="B81" t="s">
        <v>824</v>
      </c>
      <c r="C81" t="s">
        <v>37</v>
      </c>
      <c r="D81" t="s">
        <v>38</v>
      </c>
      <c r="E81" t="s">
        <v>1123</v>
      </c>
      <c r="F81" t="s">
        <v>426</v>
      </c>
      <c r="G81" s="7">
        <v>4000</v>
      </c>
      <c r="H81" s="7">
        <v>4000</v>
      </c>
      <c r="I81" s="7">
        <v>0</v>
      </c>
      <c r="J81" t="s">
        <v>894</v>
      </c>
      <c r="K81" s="85"/>
    </row>
    <row r="82" spans="2:11" s="1" customFormat="1" x14ac:dyDescent="0.25">
      <c r="B82" t="s">
        <v>824</v>
      </c>
      <c r="C82" t="s">
        <v>373</v>
      </c>
      <c r="D82" t="s">
        <v>38</v>
      </c>
      <c r="E82" t="s">
        <v>1123</v>
      </c>
      <c r="F82" t="s">
        <v>703</v>
      </c>
      <c r="G82" s="7">
        <v>4000</v>
      </c>
      <c r="H82" s="7">
        <v>4000</v>
      </c>
      <c r="I82" s="7">
        <v>0</v>
      </c>
      <c r="J82" t="s">
        <v>894</v>
      </c>
      <c r="K82" s="85"/>
    </row>
    <row r="83" spans="2:11" s="1" customFormat="1" x14ac:dyDescent="0.25">
      <c r="B83" t="s">
        <v>824</v>
      </c>
      <c r="C83" t="s">
        <v>338</v>
      </c>
      <c r="D83" t="s">
        <v>38</v>
      </c>
      <c r="E83" t="s">
        <v>1124</v>
      </c>
      <c r="F83" t="s">
        <v>424</v>
      </c>
      <c r="G83" s="7">
        <v>4800</v>
      </c>
      <c r="H83" s="7">
        <v>4800</v>
      </c>
      <c r="I83" s="7">
        <v>0</v>
      </c>
      <c r="J83" t="s">
        <v>894</v>
      </c>
      <c r="K83" s="85"/>
    </row>
    <row r="84" spans="2:11" s="1" customFormat="1" x14ac:dyDescent="0.25">
      <c r="B84" t="s">
        <v>824</v>
      </c>
      <c r="C84" t="s">
        <v>373</v>
      </c>
      <c r="D84" t="s">
        <v>38</v>
      </c>
      <c r="E84" t="s">
        <v>1124</v>
      </c>
      <c r="F84" t="s">
        <v>703</v>
      </c>
      <c r="G84" s="7">
        <v>4000</v>
      </c>
      <c r="H84" s="7">
        <v>4000</v>
      </c>
      <c r="I84" s="7">
        <v>0</v>
      </c>
      <c r="J84" t="s">
        <v>894</v>
      </c>
      <c r="K84" s="85"/>
    </row>
    <row r="85" spans="2:11" s="1" customFormat="1" x14ac:dyDescent="0.25">
      <c r="B85" t="s">
        <v>824</v>
      </c>
      <c r="C85" t="s">
        <v>37</v>
      </c>
      <c r="D85" t="s">
        <v>38</v>
      </c>
      <c r="E85" t="s">
        <v>1124</v>
      </c>
      <c r="F85" t="s">
        <v>426</v>
      </c>
      <c r="G85" s="7">
        <v>4000</v>
      </c>
      <c r="H85" s="7">
        <v>4000</v>
      </c>
      <c r="I85" s="7">
        <v>0</v>
      </c>
      <c r="J85" t="s">
        <v>894</v>
      </c>
      <c r="K85" s="85"/>
    </row>
    <row r="86" spans="2:11" s="1" customFormat="1" x14ac:dyDescent="0.25">
      <c r="B86"/>
      <c r="C86"/>
      <c r="D86"/>
      <c r="E86"/>
      <c r="F86"/>
      <c r="G86" s="86"/>
      <c r="H86" s="86"/>
      <c r="I86" s="7"/>
      <c r="J86"/>
      <c r="K86" s="85"/>
    </row>
    <row r="87" spans="2:11" s="1" customFormat="1" x14ac:dyDescent="0.25">
      <c r="B87"/>
      <c r="C87"/>
      <c r="D87"/>
      <c r="E87" s="8" t="s">
        <v>361</v>
      </c>
      <c r="F87" s="85"/>
      <c r="G87" s="85"/>
      <c r="H87" s="85"/>
      <c r="I87" s="7"/>
      <c r="J87"/>
      <c r="K87" s="85"/>
    </row>
    <row r="88" spans="2:11" s="1" customFormat="1" x14ac:dyDescent="0.25">
      <c r="B88" t="s">
        <v>907</v>
      </c>
      <c r="C88" t="s">
        <v>338</v>
      </c>
      <c r="D88" t="s">
        <v>38</v>
      </c>
      <c r="E88" t="s">
        <v>908</v>
      </c>
      <c r="F88" t="s">
        <v>424</v>
      </c>
      <c r="G88" s="7">
        <v>2.33</v>
      </c>
      <c r="H88" s="7">
        <v>2.0499999999999998</v>
      </c>
      <c r="I88" s="7">
        <f t="shared" si="0"/>
        <v>0.28000000000000025</v>
      </c>
      <c r="J88" t="s">
        <v>894</v>
      </c>
      <c r="K88" s="85"/>
    </row>
    <row r="89" spans="2:11" s="1" customFormat="1" x14ac:dyDescent="0.25">
      <c r="B89" t="s">
        <v>907</v>
      </c>
      <c r="C89" t="s">
        <v>37</v>
      </c>
      <c r="D89" t="s">
        <v>38</v>
      </c>
      <c r="E89" t="s">
        <v>908</v>
      </c>
      <c r="F89" t="s">
        <v>426</v>
      </c>
      <c r="G89" s="7">
        <v>1.94</v>
      </c>
      <c r="H89" s="7">
        <v>1.71</v>
      </c>
      <c r="I89" s="7">
        <f t="shared" si="0"/>
        <v>0.22999999999999998</v>
      </c>
      <c r="J89" t="s">
        <v>894</v>
      </c>
      <c r="K89" s="85"/>
    </row>
    <row r="90" spans="2:11" s="1" customFormat="1" x14ac:dyDescent="0.25">
      <c r="B90" t="s">
        <v>907</v>
      </c>
      <c r="C90" t="s">
        <v>338</v>
      </c>
      <c r="D90" t="s">
        <v>38</v>
      </c>
      <c r="E90" t="s">
        <v>909</v>
      </c>
      <c r="F90" t="s">
        <v>424</v>
      </c>
      <c r="G90" s="7">
        <v>2.33</v>
      </c>
      <c r="H90" s="7">
        <v>2.0499999999999998</v>
      </c>
      <c r="I90" s="7">
        <f t="shared" si="0"/>
        <v>0.28000000000000025</v>
      </c>
      <c r="J90" t="s">
        <v>894</v>
      </c>
      <c r="K90" s="85"/>
    </row>
    <row r="91" spans="2:11" s="1" customFormat="1" x14ac:dyDescent="0.25">
      <c r="B91" t="s">
        <v>907</v>
      </c>
      <c r="C91" t="s">
        <v>37</v>
      </c>
      <c r="D91" t="s">
        <v>38</v>
      </c>
      <c r="E91" t="s">
        <v>909</v>
      </c>
      <c r="F91" t="s">
        <v>426</v>
      </c>
      <c r="G91" s="7">
        <v>1.94</v>
      </c>
      <c r="H91" s="7">
        <v>1.71</v>
      </c>
      <c r="I91" s="7">
        <f t="shared" si="0"/>
        <v>0.22999999999999998</v>
      </c>
      <c r="J91" t="s">
        <v>894</v>
      </c>
      <c r="K91" s="85"/>
    </row>
    <row r="92" spans="2:11" s="1" customFormat="1" x14ac:dyDescent="0.25">
      <c r="B92" t="s">
        <v>907</v>
      </c>
      <c r="C92" t="s">
        <v>37</v>
      </c>
      <c r="D92" t="s">
        <v>38</v>
      </c>
      <c r="E92" t="s">
        <v>910</v>
      </c>
      <c r="F92" t="s">
        <v>424</v>
      </c>
      <c r="G92" s="7">
        <v>0</v>
      </c>
      <c r="H92" s="7">
        <v>0</v>
      </c>
      <c r="I92" s="7">
        <f t="shared" si="0"/>
        <v>0</v>
      </c>
      <c r="J92" t="s">
        <v>894</v>
      </c>
      <c r="K92" s="85"/>
    </row>
    <row r="93" spans="2:11" s="1" customFormat="1" x14ac:dyDescent="0.25">
      <c r="B93" t="s">
        <v>907</v>
      </c>
      <c r="C93" t="s">
        <v>338</v>
      </c>
      <c r="D93" t="s">
        <v>38</v>
      </c>
      <c r="E93" t="s">
        <v>910</v>
      </c>
      <c r="F93" t="s">
        <v>426</v>
      </c>
      <c r="G93" s="7">
        <v>0</v>
      </c>
      <c r="H93" s="7">
        <v>0</v>
      </c>
      <c r="I93" s="7">
        <v>0</v>
      </c>
      <c r="J93" t="s">
        <v>894</v>
      </c>
      <c r="K93" s="85"/>
    </row>
    <row r="94" spans="2:11" s="1" customFormat="1" x14ac:dyDescent="0.25">
      <c r="B94" t="s">
        <v>911</v>
      </c>
      <c r="C94" t="s">
        <v>338</v>
      </c>
      <c r="D94" t="s">
        <v>38</v>
      </c>
      <c r="E94" t="s">
        <v>912</v>
      </c>
      <c r="F94" t="s">
        <v>424</v>
      </c>
      <c r="G94" s="7">
        <v>3.96</v>
      </c>
      <c r="H94" s="7">
        <v>3.49</v>
      </c>
      <c r="I94" s="7">
        <f t="shared" si="0"/>
        <v>0.46999999999999975</v>
      </c>
      <c r="J94" t="s">
        <v>894</v>
      </c>
      <c r="K94" s="85"/>
    </row>
    <row r="95" spans="2:11" s="1" customFormat="1" x14ac:dyDescent="0.25">
      <c r="B95" t="s">
        <v>911</v>
      </c>
      <c r="C95" t="s">
        <v>37</v>
      </c>
      <c r="D95" t="s">
        <v>38</v>
      </c>
      <c r="E95" t="s">
        <v>912</v>
      </c>
      <c r="F95" t="s">
        <v>426</v>
      </c>
      <c r="G95" s="7">
        <v>3.3</v>
      </c>
      <c r="H95" s="7">
        <v>2.9</v>
      </c>
      <c r="I95" s="7">
        <f t="shared" si="0"/>
        <v>0.39999999999999991</v>
      </c>
      <c r="J95" t="s">
        <v>894</v>
      </c>
      <c r="K95" s="85"/>
    </row>
    <row r="96" spans="2:11" s="1" customFormat="1" x14ac:dyDescent="0.25">
      <c r="B96" t="s">
        <v>911</v>
      </c>
      <c r="C96" t="s">
        <v>338</v>
      </c>
      <c r="D96" t="s">
        <v>38</v>
      </c>
      <c r="E96" t="s">
        <v>913</v>
      </c>
      <c r="F96" t="s">
        <v>424</v>
      </c>
      <c r="G96" s="7">
        <v>3.96</v>
      </c>
      <c r="H96" s="7">
        <v>3.49</v>
      </c>
      <c r="I96" s="7">
        <f t="shared" si="0"/>
        <v>0.46999999999999975</v>
      </c>
      <c r="J96" t="s">
        <v>894</v>
      </c>
      <c r="K96" s="85"/>
    </row>
    <row r="97" spans="2:11" s="1" customFormat="1" x14ac:dyDescent="0.25">
      <c r="B97" t="s">
        <v>911</v>
      </c>
      <c r="C97" t="s">
        <v>37</v>
      </c>
      <c r="D97" t="s">
        <v>38</v>
      </c>
      <c r="E97" t="s">
        <v>913</v>
      </c>
      <c r="F97" t="s">
        <v>426</v>
      </c>
      <c r="G97" s="7">
        <v>3.3</v>
      </c>
      <c r="H97" s="7">
        <v>2.9</v>
      </c>
      <c r="I97" s="7">
        <f t="shared" si="0"/>
        <v>0.39999999999999991</v>
      </c>
      <c r="J97" t="s">
        <v>894</v>
      </c>
      <c r="K97" s="85"/>
    </row>
    <row r="98" spans="2:11" s="1" customFormat="1" x14ac:dyDescent="0.25">
      <c r="B98" t="s">
        <v>911</v>
      </c>
      <c r="C98" t="s">
        <v>338</v>
      </c>
      <c r="D98" t="s">
        <v>38</v>
      </c>
      <c r="E98" t="s">
        <v>914</v>
      </c>
      <c r="F98" t="s">
        <v>424</v>
      </c>
      <c r="G98" s="7">
        <v>0</v>
      </c>
      <c r="H98" s="7">
        <v>0</v>
      </c>
      <c r="I98" s="7">
        <f t="shared" si="0"/>
        <v>0</v>
      </c>
      <c r="J98" t="s">
        <v>894</v>
      </c>
      <c r="K98" s="85"/>
    </row>
    <row r="99" spans="2:11" s="1" customFormat="1" x14ac:dyDescent="0.25">
      <c r="B99" t="s">
        <v>911</v>
      </c>
      <c r="C99" t="s">
        <v>37</v>
      </c>
      <c r="D99" t="s">
        <v>38</v>
      </c>
      <c r="E99" t="s">
        <v>914</v>
      </c>
      <c r="F99" t="s">
        <v>426</v>
      </c>
      <c r="G99" s="7">
        <v>0</v>
      </c>
      <c r="H99" s="7">
        <v>0</v>
      </c>
      <c r="I99" s="7">
        <f t="shared" si="0"/>
        <v>0</v>
      </c>
      <c r="J99" t="s">
        <v>894</v>
      </c>
      <c r="K99" s="85"/>
    </row>
    <row r="100" spans="2:11" s="1" customFormat="1" x14ac:dyDescent="0.25">
      <c r="B100" t="s">
        <v>915</v>
      </c>
      <c r="C100" t="s">
        <v>338</v>
      </c>
      <c r="D100" t="s">
        <v>38</v>
      </c>
      <c r="E100" t="s">
        <v>916</v>
      </c>
      <c r="F100" t="s">
        <v>424</v>
      </c>
      <c r="G100" s="7">
        <v>6.96</v>
      </c>
      <c r="H100" s="7">
        <v>6.13</v>
      </c>
      <c r="I100" s="7">
        <f t="shared" si="0"/>
        <v>0.83000000000000007</v>
      </c>
      <c r="J100" t="s">
        <v>894</v>
      </c>
      <c r="K100" s="85"/>
    </row>
    <row r="101" spans="2:11" s="1" customFormat="1" x14ac:dyDescent="0.25">
      <c r="B101" t="s">
        <v>915</v>
      </c>
      <c r="C101" t="s">
        <v>37</v>
      </c>
      <c r="D101" t="s">
        <v>38</v>
      </c>
      <c r="E101" t="s">
        <v>916</v>
      </c>
      <c r="F101" t="s">
        <v>426</v>
      </c>
      <c r="G101" s="7">
        <v>5.8</v>
      </c>
      <c r="H101" s="7">
        <v>5.0999999999999996</v>
      </c>
      <c r="I101" s="7">
        <f t="shared" si="0"/>
        <v>0.70000000000000018</v>
      </c>
      <c r="J101" t="s">
        <v>894</v>
      </c>
      <c r="K101" s="85"/>
    </row>
    <row r="102" spans="2:11" s="1" customFormat="1" x14ac:dyDescent="0.25">
      <c r="B102" t="s">
        <v>915</v>
      </c>
      <c r="C102" t="s">
        <v>338</v>
      </c>
      <c r="D102" t="s">
        <v>38</v>
      </c>
      <c r="E102" t="s">
        <v>917</v>
      </c>
      <c r="F102" t="s">
        <v>424</v>
      </c>
      <c r="G102" s="7">
        <v>5.16</v>
      </c>
      <c r="H102" s="7">
        <v>4.54</v>
      </c>
      <c r="I102" s="7">
        <f t="shared" si="0"/>
        <v>0.62000000000000011</v>
      </c>
      <c r="J102" t="s">
        <v>894</v>
      </c>
      <c r="K102" s="85"/>
    </row>
    <row r="103" spans="2:11" s="1" customFormat="1" x14ac:dyDescent="0.25">
      <c r="B103" t="s">
        <v>915</v>
      </c>
      <c r="C103" t="s">
        <v>37</v>
      </c>
      <c r="D103" t="s">
        <v>38</v>
      </c>
      <c r="E103" t="s">
        <v>917</v>
      </c>
      <c r="F103" t="s">
        <v>426</v>
      </c>
      <c r="G103" s="7">
        <v>4.3</v>
      </c>
      <c r="H103" s="7">
        <v>3.78</v>
      </c>
      <c r="I103" s="7">
        <f t="shared" si="0"/>
        <v>0.52</v>
      </c>
      <c r="J103" t="s">
        <v>894</v>
      </c>
      <c r="K103" s="85"/>
    </row>
    <row r="104" spans="2:11" s="1" customFormat="1" x14ac:dyDescent="0.25">
      <c r="B104" t="s">
        <v>915</v>
      </c>
      <c r="C104" t="s">
        <v>338</v>
      </c>
      <c r="D104" t="s">
        <v>38</v>
      </c>
      <c r="E104" t="s">
        <v>918</v>
      </c>
      <c r="F104" t="s">
        <v>424</v>
      </c>
      <c r="G104" s="7">
        <v>0</v>
      </c>
      <c r="H104" s="7">
        <v>0</v>
      </c>
      <c r="I104" s="7">
        <f t="shared" si="0"/>
        <v>0</v>
      </c>
      <c r="J104" t="s">
        <v>894</v>
      </c>
      <c r="K104" s="85"/>
    </row>
    <row r="105" spans="2:11" s="1" customFormat="1" x14ac:dyDescent="0.25">
      <c r="B105" t="s">
        <v>915</v>
      </c>
      <c r="C105" t="s">
        <v>37</v>
      </c>
      <c r="D105" t="s">
        <v>38</v>
      </c>
      <c r="E105" t="s">
        <v>918</v>
      </c>
      <c r="F105" t="s">
        <v>426</v>
      </c>
      <c r="G105" s="7">
        <v>0</v>
      </c>
      <c r="H105" s="7">
        <v>0</v>
      </c>
      <c r="I105" s="7">
        <f t="shared" si="0"/>
        <v>0</v>
      </c>
      <c r="J105" t="s">
        <v>894</v>
      </c>
      <c r="K105" s="85"/>
    </row>
    <row r="106" spans="2:11" s="1" customFormat="1" x14ac:dyDescent="0.25">
      <c r="B106" t="s">
        <v>915</v>
      </c>
      <c r="C106" t="s">
        <v>338</v>
      </c>
      <c r="D106" t="s">
        <v>38</v>
      </c>
      <c r="E106" t="s">
        <v>1093</v>
      </c>
      <c r="F106" t="s">
        <v>424</v>
      </c>
      <c r="G106" s="7">
        <v>6.96</v>
      </c>
      <c r="H106" s="7">
        <v>6.13</v>
      </c>
      <c r="I106" s="7">
        <f t="shared" si="0"/>
        <v>0.83000000000000007</v>
      </c>
      <c r="J106" t="s">
        <v>894</v>
      </c>
      <c r="K106" s="85"/>
    </row>
    <row r="107" spans="2:11" s="1" customFormat="1" x14ac:dyDescent="0.25">
      <c r="B107" t="s">
        <v>915</v>
      </c>
      <c r="C107" t="s">
        <v>37</v>
      </c>
      <c r="D107" t="s">
        <v>38</v>
      </c>
      <c r="E107" t="s">
        <v>1093</v>
      </c>
      <c r="F107" t="s">
        <v>426</v>
      </c>
      <c r="G107" s="7">
        <v>5.8</v>
      </c>
      <c r="H107" s="7">
        <v>5.0999999999999996</v>
      </c>
      <c r="I107" s="7">
        <f t="shared" si="0"/>
        <v>0.70000000000000018</v>
      </c>
      <c r="J107" t="s">
        <v>894</v>
      </c>
      <c r="K107" s="85"/>
    </row>
    <row r="108" spans="2:11" s="1" customFormat="1" x14ac:dyDescent="0.25">
      <c r="B108" t="s">
        <v>915</v>
      </c>
      <c r="C108" t="s">
        <v>338</v>
      </c>
      <c r="D108" t="s">
        <v>38</v>
      </c>
      <c r="E108" t="s">
        <v>1385</v>
      </c>
      <c r="F108" t="s">
        <v>424</v>
      </c>
      <c r="G108" s="7">
        <v>5.16</v>
      </c>
      <c r="H108" s="7">
        <v>4.54</v>
      </c>
      <c r="I108" s="7">
        <f t="shared" si="0"/>
        <v>0.62000000000000011</v>
      </c>
      <c r="J108" t="s">
        <v>894</v>
      </c>
      <c r="K108" s="85"/>
    </row>
    <row r="109" spans="2:11" s="1" customFormat="1" x14ac:dyDescent="0.25">
      <c r="B109" t="s">
        <v>915</v>
      </c>
      <c r="C109" t="s">
        <v>37</v>
      </c>
      <c r="D109" t="s">
        <v>38</v>
      </c>
      <c r="E109" t="s">
        <v>1385</v>
      </c>
      <c r="F109" t="s">
        <v>426</v>
      </c>
      <c r="G109" s="7">
        <v>4.3</v>
      </c>
      <c r="H109" s="7">
        <v>3.78</v>
      </c>
      <c r="I109" s="7">
        <f t="shared" si="0"/>
        <v>0.52</v>
      </c>
      <c r="J109" t="s">
        <v>894</v>
      </c>
      <c r="K109" s="85"/>
    </row>
    <row r="110" spans="2:11" s="1" customFormat="1" x14ac:dyDescent="0.25">
      <c r="B110" t="s">
        <v>919</v>
      </c>
      <c r="C110" t="s">
        <v>338</v>
      </c>
      <c r="D110" t="s">
        <v>38</v>
      </c>
      <c r="E110" t="s">
        <v>1094</v>
      </c>
      <c r="F110" t="s">
        <v>424</v>
      </c>
      <c r="G110" s="7">
        <v>9.6</v>
      </c>
      <c r="H110" s="7">
        <v>8.4499999999999993</v>
      </c>
      <c r="I110" s="7">
        <f t="shared" si="0"/>
        <v>1.1500000000000004</v>
      </c>
      <c r="J110" t="s">
        <v>894</v>
      </c>
      <c r="K110" s="85"/>
    </row>
    <row r="111" spans="2:11" s="1" customFormat="1" x14ac:dyDescent="0.25">
      <c r="B111" t="s">
        <v>919</v>
      </c>
      <c r="C111" t="s">
        <v>37</v>
      </c>
      <c r="D111" t="s">
        <v>38</v>
      </c>
      <c r="E111" t="s">
        <v>1094</v>
      </c>
      <c r="F111" t="s">
        <v>426</v>
      </c>
      <c r="G111" s="7">
        <v>8</v>
      </c>
      <c r="H111" s="7">
        <v>7.04</v>
      </c>
      <c r="I111" s="7">
        <f t="shared" si="0"/>
        <v>0.96</v>
      </c>
      <c r="J111" t="s">
        <v>894</v>
      </c>
      <c r="K111" s="85"/>
    </row>
    <row r="112" spans="2:11" s="1" customFormat="1" x14ac:dyDescent="0.25">
      <c r="B112" t="s">
        <v>919</v>
      </c>
      <c r="C112" t="s">
        <v>338</v>
      </c>
      <c r="D112" t="s">
        <v>38</v>
      </c>
      <c r="E112" t="s">
        <v>1095</v>
      </c>
      <c r="F112" t="s">
        <v>424</v>
      </c>
      <c r="G112" s="7">
        <v>12.96</v>
      </c>
      <c r="H112" s="7">
        <v>11.41</v>
      </c>
      <c r="I112" s="7">
        <f t="shared" si="0"/>
        <v>1.5500000000000007</v>
      </c>
      <c r="J112" t="s">
        <v>894</v>
      </c>
      <c r="K112" s="85"/>
    </row>
    <row r="113" spans="2:11" s="1" customFormat="1" x14ac:dyDescent="0.25">
      <c r="B113" t="s">
        <v>919</v>
      </c>
      <c r="C113" t="s">
        <v>37</v>
      </c>
      <c r="D113" t="s">
        <v>38</v>
      </c>
      <c r="E113" t="s">
        <v>1095</v>
      </c>
      <c r="F113" t="s">
        <v>426</v>
      </c>
      <c r="G113" s="7">
        <v>10.8</v>
      </c>
      <c r="H113" s="7">
        <v>9.5</v>
      </c>
      <c r="I113" s="7">
        <f t="shared" si="0"/>
        <v>1.3000000000000007</v>
      </c>
      <c r="J113" t="s">
        <v>894</v>
      </c>
      <c r="K113" s="85"/>
    </row>
    <row r="114" spans="2:11" s="1" customFormat="1" ht="14.25" customHeight="1" x14ac:dyDescent="0.25">
      <c r="B114" t="s">
        <v>919</v>
      </c>
      <c r="C114" t="s">
        <v>338</v>
      </c>
      <c r="D114" t="s">
        <v>38</v>
      </c>
      <c r="E114" t="s">
        <v>920</v>
      </c>
      <c r="F114" t="s">
        <v>424</v>
      </c>
      <c r="G114" s="7">
        <v>12.96</v>
      </c>
      <c r="H114" s="7">
        <v>11.41</v>
      </c>
      <c r="I114" s="7">
        <f t="shared" si="0"/>
        <v>1.5500000000000007</v>
      </c>
      <c r="J114" t="s">
        <v>894</v>
      </c>
      <c r="K114" s="85"/>
    </row>
    <row r="115" spans="2:11" s="1" customFormat="1" x14ac:dyDescent="0.25">
      <c r="B115" t="s">
        <v>919</v>
      </c>
      <c r="C115" t="s">
        <v>37</v>
      </c>
      <c r="D115" t="s">
        <v>38</v>
      </c>
      <c r="E115" t="s">
        <v>920</v>
      </c>
      <c r="F115" t="s">
        <v>426</v>
      </c>
      <c r="G115" s="7">
        <v>10.8</v>
      </c>
      <c r="H115" s="7">
        <v>9.5</v>
      </c>
      <c r="I115" s="7">
        <f t="shared" si="0"/>
        <v>1.3000000000000007</v>
      </c>
      <c r="J115" t="s">
        <v>894</v>
      </c>
      <c r="K115" s="85"/>
    </row>
    <row r="116" spans="2:11" s="1" customFormat="1" x14ac:dyDescent="0.25">
      <c r="B116" t="s">
        <v>919</v>
      </c>
      <c r="C116" t="s">
        <v>338</v>
      </c>
      <c r="D116" t="s">
        <v>38</v>
      </c>
      <c r="E116" t="s">
        <v>1387</v>
      </c>
      <c r="F116" t="s">
        <v>424</v>
      </c>
      <c r="G116" s="7">
        <v>9.6</v>
      </c>
      <c r="H116" s="7">
        <v>8.4499999999999993</v>
      </c>
      <c r="I116" s="7">
        <f t="shared" si="0"/>
        <v>1.1500000000000004</v>
      </c>
      <c r="J116" t="s">
        <v>894</v>
      </c>
      <c r="K116" s="85"/>
    </row>
    <row r="117" spans="2:11" s="1" customFormat="1" x14ac:dyDescent="0.25">
      <c r="B117" t="s">
        <v>919</v>
      </c>
      <c r="C117" t="s">
        <v>37</v>
      </c>
      <c r="D117" t="s">
        <v>38</v>
      </c>
      <c r="E117" t="s">
        <v>1387</v>
      </c>
      <c r="F117" t="s">
        <v>426</v>
      </c>
      <c r="G117" s="7">
        <v>8</v>
      </c>
      <c r="H117" s="7">
        <v>7.04</v>
      </c>
      <c r="I117" s="7">
        <f t="shared" si="0"/>
        <v>0.96</v>
      </c>
      <c r="J117" t="s">
        <v>894</v>
      </c>
      <c r="K117" s="85"/>
    </row>
    <row r="118" spans="2:11" s="1" customFormat="1" x14ac:dyDescent="0.25">
      <c r="B118" t="s">
        <v>921</v>
      </c>
      <c r="C118" t="s">
        <v>338</v>
      </c>
      <c r="D118" t="s">
        <v>38</v>
      </c>
      <c r="E118" t="s">
        <v>922</v>
      </c>
      <c r="F118" t="s">
        <v>424</v>
      </c>
      <c r="G118" s="7">
        <v>0</v>
      </c>
      <c r="H118" s="7">
        <v>0</v>
      </c>
      <c r="I118" s="7">
        <f t="shared" si="0"/>
        <v>0</v>
      </c>
      <c r="J118" t="s">
        <v>894</v>
      </c>
      <c r="K118" s="85"/>
    </row>
    <row r="119" spans="2:11" s="1" customFormat="1" x14ac:dyDescent="0.25">
      <c r="B119" t="s">
        <v>921</v>
      </c>
      <c r="C119" t="s">
        <v>37</v>
      </c>
      <c r="D119" t="s">
        <v>38</v>
      </c>
      <c r="E119" t="s">
        <v>922</v>
      </c>
      <c r="F119" t="s">
        <v>426</v>
      </c>
      <c r="G119" s="7">
        <v>0</v>
      </c>
      <c r="H119" s="7">
        <v>0</v>
      </c>
      <c r="I119" s="7">
        <f t="shared" si="0"/>
        <v>0</v>
      </c>
      <c r="J119" t="s">
        <v>894</v>
      </c>
      <c r="K119" s="85"/>
    </row>
    <row r="120" spans="2:11" s="1" customFormat="1" x14ac:dyDescent="0.25">
      <c r="B120" t="s">
        <v>921</v>
      </c>
      <c r="C120" t="s">
        <v>338</v>
      </c>
      <c r="D120" t="s">
        <v>38</v>
      </c>
      <c r="E120" t="s">
        <v>923</v>
      </c>
      <c r="F120" t="s">
        <v>424</v>
      </c>
      <c r="G120" s="7">
        <v>3.96</v>
      </c>
      <c r="H120" s="7">
        <v>3.49</v>
      </c>
      <c r="I120" s="7">
        <f t="shared" si="0"/>
        <v>0.46999999999999975</v>
      </c>
      <c r="J120" t="s">
        <v>894</v>
      </c>
      <c r="K120" s="85"/>
    </row>
    <row r="121" spans="2:11" s="1" customFormat="1" x14ac:dyDescent="0.25">
      <c r="B121" t="s">
        <v>921</v>
      </c>
      <c r="C121" t="s">
        <v>37</v>
      </c>
      <c r="D121" t="s">
        <v>38</v>
      </c>
      <c r="E121" t="s">
        <v>923</v>
      </c>
      <c r="F121" t="s">
        <v>426</v>
      </c>
      <c r="G121" s="7">
        <v>3.3</v>
      </c>
      <c r="H121" s="7">
        <v>2.9</v>
      </c>
      <c r="I121" s="7">
        <f t="shared" si="0"/>
        <v>0.39999999999999991</v>
      </c>
      <c r="J121" t="s">
        <v>894</v>
      </c>
      <c r="K121" s="85"/>
    </row>
    <row r="122" spans="2:11" s="1" customFormat="1" x14ac:dyDescent="0.25">
      <c r="B122" t="s">
        <v>921</v>
      </c>
      <c r="C122" t="s">
        <v>338</v>
      </c>
      <c r="D122" t="s">
        <v>38</v>
      </c>
      <c r="E122" t="s">
        <v>1386</v>
      </c>
      <c r="F122" t="s">
        <v>424</v>
      </c>
      <c r="G122" s="7">
        <v>3.36</v>
      </c>
      <c r="H122" s="7">
        <v>2.96</v>
      </c>
      <c r="I122" s="7">
        <f t="shared" si="0"/>
        <v>0.39999999999999991</v>
      </c>
      <c r="J122" t="s">
        <v>894</v>
      </c>
      <c r="K122" s="85"/>
    </row>
    <row r="123" spans="2:11" s="1" customFormat="1" x14ac:dyDescent="0.25">
      <c r="B123" t="s">
        <v>921</v>
      </c>
      <c r="C123" t="s">
        <v>37</v>
      </c>
      <c r="D123" t="s">
        <v>38</v>
      </c>
      <c r="E123" t="s">
        <v>1386</v>
      </c>
      <c r="F123" t="s">
        <v>426</v>
      </c>
      <c r="G123" s="7">
        <v>2.8</v>
      </c>
      <c r="H123" s="7">
        <v>2.46</v>
      </c>
      <c r="I123" s="7">
        <f t="shared" si="0"/>
        <v>0.33999999999999986</v>
      </c>
      <c r="J123" t="s">
        <v>894</v>
      </c>
      <c r="K123" s="85"/>
    </row>
    <row r="124" spans="2:11" s="1" customFormat="1" x14ac:dyDescent="0.25">
      <c r="B124" t="s">
        <v>921</v>
      </c>
      <c r="C124" t="s">
        <v>338</v>
      </c>
      <c r="D124" t="s">
        <v>38</v>
      </c>
      <c r="E124" t="s">
        <v>922</v>
      </c>
      <c r="F124" t="s">
        <v>424</v>
      </c>
      <c r="G124" s="7">
        <v>0</v>
      </c>
      <c r="H124" s="7">
        <v>0</v>
      </c>
      <c r="I124" s="7">
        <f t="shared" si="0"/>
        <v>0</v>
      </c>
      <c r="J124" t="s">
        <v>894</v>
      </c>
      <c r="K124" s="85"/>
    </row>
    <row r="125" spans="2:11" s="1" customFormat="1" x14ac:dyDescent="0.25">
      <c r="B125" t="s">
        <v>921</v>
      </c>
      <c r="C125" t="s">
        <v>37</v>
      </c>
      <c r="D125" t="s">
        <v>38</v>
      </c>
      <c r="E125" t="s">
        <v>922</v>
      </c>
      <c r="F125" t="s">
        <v>426</v>
      </c>
      <c r="G125" s="7">
        <v>0</v>
      </c>
      <c r="H125" s="7">
        <v>0</v>
      </c>
      <c r="I125" s="7">
        <f t="shared" si="0"/>
        <v>0</v>
      </c>
      <c r="J125" t="s">
        <v>894</v>
      </c>
      <c r="K125" s="85"/>
    </row>
    <row r="126" spans="2:11" s="1" customFormat="1" x14ac:dyDescent="0.25">
      <c r="B126" t="s">
        <v>132</v>
      </c>
      <c r="C126" t="s">
        <v>338</v>
      </c>
      <c r="D126" t="s">
        <v>38</v>
      </c>
      <c r="E126" t="s">
        <v>924</v>
      </c>
      <c r="F126" t="s">
        <v>424</v>
      </c>
      <c r="G126" s="7">
        <v>1.8</v>
      </c>
      <c r="H126" s="7">
        <v>1.58</v>
      </c>
      <c r="I126" s="7">
        <f t="shared" si="0"/>
        <v>0.21999999999999997</v>
      </c>
      <c r="J126" t="s">
        <v>894</v>
      </c>
      <c r="K126" s="85"/>
    </row>
    <row r="127" spans="2:11" s="1" customFormat="1" x14ac:dyDescent="0.25">
      <c r="B127" t="s">
        <v>132</v>
      </c>
      <c r="C127" t="s">
        <v>37</v>
      </c>
      <c r="D127" t="s">
        <v>38</v>
      </c>
      <c r="E127" t="s">
        <v>924</v>
      </c>
      <c r="F127" t="s">
        <v>426</v>
      </c>
      <c r="G127" s="7">
        <v>1.5</v>
      </c>
      <c r="H127" s="7">
        <v>1.32</v>
      </c>
      <c r="I127" s="7">
        <f t="shared" si="0"/>
        <v>0.17999999999999994</v>
      </c>
      <c r="J127" t="s">
        <v>894</v>
      </c>
      <c r="K127" s="85"/>
    </row>
    <row r="128" spans="2:11" s="1" customFormat="1" x14ac:dyDescent="0.25">
      <c r="B128" t="s">
        <v>132</v>
      </c>
      <c r="C128" t="s">
        <v>338</v>
      </c>
      <c r="D128" t="s">
        <v>38</v>
      </c>
      <c r="E128" t="s">
        <v>924</v>
      </c>
      <c r="F128" t="s">
        <v>424</v>
      </c>
      <c r="G128" s="7">
        <v>1.36</v>
      </c>
      <c r="H128" s="7">
        <v>1.19</v>
      </c>
      <c r="I128" s="7">
        <f t="shared" si="0"/>
        <v>0.17000000000000015</v>
      </c>
      <c r="J128" t="s">
        <v>894</v>
      </c>
      <c r="K128" s="85"/>
    </row>
    <row r="129" spans="2:11" s="1" customFormat="1" x14ac:dyDescent="0.25">
      <c r="B129" t="s">
        <v>132</v>
      </c>
      <c r="C129" t="s">
        <v>37</v>
      </c>
      <c r="D129" t="s">
        <v>38</v>
      </c>
      <c r="E129" t="s">
        <v>924</v>
      </c>
      <c r="F129" t="s">
        <v>426</v>
      </c>
      <c r="G129" s="7">
        <v>1.1299999999999999</v>
      </c>
      <c r="H129" s="7">
        <v>0.99</v>
      </c>
      <c r="I129" s="7">
        <f t="shared" si="0"/>
        <v>0.1399999999999999</v>
      </c>
      <c r="J129" t="s">
        <v>894</v>
      </c>
      <c r="K129" s="85"/>
    </row>
    <row r="130" spans="2:11" s="1" customFormat="1" x14ac:dyDescent="0.25">
      <c r="B130" t="s">
        <v>1097</v>
      </c>
      <c r="C130" t="s">
        <v>338</v>
      </c>
      <c r="D130" t="s">
        <v>38</v>
      </c>
      <c r="E130" t="s">
        <v>1096</v>
      </c>
      <c r="F130" t="s">
        <v>424</v>
      </c>
      <c r="G130" s="7">
        <v>3.72</v>
      </c>
      <c r="H130" s="7">
        <v>3.28</v>
      </c>
      <c r="I130" s="7">
        <f t="shared" si="0"/>
        <v>0.44000000000000039</v>
      </c>
      <c r="J130" t="s">
        <v>894</v>
      </c>
      <c r="K130" s="85"/>
    </row>
    <row r="131" spans="2:11" s="1" customFormat="1" x14ac:dyDescent="0.25">
      <c r="B131" t="s">
        <v>1097</v>
      </c>
      <c r="C131" t="s">
        <v>37</v>
      </c>
      <c r="D131" t="s">
        <v>38</v>
      </c>
      <c r="E131" t="s">
        <v>1096</v>
      </c>
      <c r="F131" t="s">
        <v>426</v>
      </c>
      <c r="G131" s="7">
        <v>3.1</v>
      </c>
      <c r="H131" s="7">
        <v>2.73</v>
      </c>
      <c r="I131" s="7">
        <f t="shared" si="0"/>
        <v>0.37000000000000011</v>
      </c>
      <c r="J131" t="s">
        <v>894</v>
      </c>
      <c r="K131" s="85"/>
    </row>
    <row r="132" spans="2:11" s="1" customFormat="1" x14ac:dyDescent="0.25">
      <c r="B132" t="s">
        <v>1097</v>
      </c>
      <c r="C132" t="s">
        <v>338</v>
      </c>
      <c r="D132" t="s">
        <v>38</v>
      </c>
      <c r="E132" t="s">
        <v>1388</v>
      </c>
      <c r="F132" t="s">
        <v>424</v>
      </c>
      <c r="G132" s="7">
        <v>3</v>
      </c>
      <c r="H132" s="7">
        <v>2.64</v>
      </c>
      <c r="I132" s="7">
        <f t="shared" si="0"/>
        <v>0.35999999999999988</v>
      </c>
      <c r="J132" t="s">
        <v>894</v>
      </c>
      <c r="K132" s="85"/>
    </row>
    <row r="133" spans="2:11" s="1" customFormat="1" x14ac:dyDescent="0.25">
      <c r="B133" t="s">
        <v>1097</v>
      </c>
      <c r="C133" t="s">
        <v>37</v>
      </c>
      <c r="D133" t="s">
        <v>38</v>
      </c>
      <c r="E133" t="s">
        <v>1388</v>
      </c>
      <c r="F133" t="s">
        <v>426</v>
      </c>
      <c r="G133" s="7">
        <v>2.5</v>
      </c>
      <c r="H133" s="7">
        <v>2.2000000000000002</v>
      </c>
      <c r="I133" s="7">
        <f t="shared" si="0"/>
        <v>0.29999999999999982</v>
      </c>
      <c r="J133" t="s">
        <v>894</v>
      </c>
      <c r="K133" s="85"/>
    </row>
    <row r="134" spans="2:11" s="1" customFormat="1" x14ac:dyDescent="0.25">
      <c r="B134" t="s">
        <v>81</v>
      </c>
      <c r="C134" t="s">
        <v>338</v>
      </c>
      <c r="D134" t="s">
        <v>38</v>
      </c>
      <c r="E134" t="s">
        <v>1101</v>
      </c>
      <c r="F134" t="s">
        <v>424</v>
      </c>
      <c r="G134" s="7">
        <v>2.4</v>
      </c>
      <c r="H134" s="7">
        <v>2.11</v>
      </c>
      <c r="I134" s="7">
        <f t="shared" si="0"/>
        <v>0.29000000000000004</v>
      </c>
      <c r="J134" t="s">
        <v>894</v>
      </c>
      <c r="K134" s="85"/>
    </row>
    <row r="135" spans="2:11" s="1" customFormat="1" x14ac:dyDescent="0.25">
      <c r="B135" t="s">
        <v>81</v>
      </c>
      <c r="C135" t="s">
        <v>37</v>
      </c>
      <c r="D135" t="s">
        <v>38</v>
      </c>
      <c r="E135" t="s">
        <v>1101</v>
      </c>
      <c r="F135" t="s">
        <v>426</v>
      </c>
      <c r="G135" s="7">
        <v>2</v>
      </c>
      <c r="H135" s="7">
        <v>1.76</v>
      </c>
      <c r="I135" s="7">
        <f t="shared" si="0"/>
        <v>0.24</v>
      </c>
      <c r="J135" t="s">
        <v>894</v>
      </c>
      <c r="K135" s="85"/>
    </row>
    <row r="136" spans="2:11" s="1" customFormat="1" x14ac:dyDescent="0.25">
      <c r="B136" t="s">
        <v>81</v>
      </c>
      <c r="C136" t="s">
        <v>338</v>
      </c>
      <c r="D136" t="s">
        <v>38</v>
      </c>
      <c r="E136" t="s">
        <v>1389</v>
      </c>
      <c r="F136" t="s">
        <v>424</v>
      </c>
      <c r="G136" s="7">
        <v>1.92</v>
      </c>
      <c r="H136" s="7">
        <v>1.69</v>
      </c>
      <c r="I136" s="7">
        <f t="shared" si="0"/>
        <v>0.22999999999999998</v>
      </c>
      <c r="J136" t="s">
        <v>894</v>
      </c>
      <c r="K136" s="85"/>
    </row>
    <row r="137" spans="2:11" s="1" customFormat="1" x14ac:dyDescent="0.25">
      <c r="B137" t="s">
        <v>81</v>
      </c>
      <c r="C137" t="s">
        <v>37</v>
      </c>
      <c r="D137" t="s">
        <v>38</v>
      </c>
      <c r="E137" t="s">
        <v>1389</v>
      </c>
      <c r="F137" t="s">
        <v>426</v>
      </c>
      <c r="G137" s="7">
        <v>1.6</v>
      </c>
      <c r="H137" s="7">
        <v>1.41</v>
      </c>
      <c r="I137" s="7">
        <f t="shared" si="0"/>
        <v>0.19000000000000017</v>
      </c>
      <c r="J137" t="s">
        <v>894</v>
      </c>
      <c r="K137" s="85"/>
    </row>
    <row r="138" spans="2:11" s="1" customFormat="1" x14ac:dyDescent="0.25">
      <c r="B138" t="s">
        <v>1099</v>
      </c>
      <c r="C138" t="s">
        <v>338</v>
      </c>
      <c r="D138" t="s">
        <v>38</v>
      </c>
      <c r="E138" t="s">
        <v>1098</v>
      </c>
      <c r="F138" t="s">
        <v>424</v>
      </c>
      <c r="G138" s="7">
        <v>0</v>
      </c>
      <c r="H138" s="7">
        <v>0</v>
      </c>
      <c r="I138" s="7">
        <f t="shared" si="0"/>
        <v>0</v>
      </c>
      <c r="J138" t="s">
        <v>894</v>
      </c>
      <c r="K138" s="85"/>
    </row>
    <row r="139" spans="2:11" s="1" customFormat="1" x14ac:dyDescent="0.25">
      <c r="B139" t="s">
        <v>1099</v>
      </c>
      <c r="C139" t="s">
        <v>37</v>
      </c>
      <c r="D139" t="s">
        <v>38</v>
      </c>
      <c r="E139" t="s">
        <v>1098</v>
      </c>
      <c r="F139" t="s">
        <v>426</v>
      </c>
      <c r="G139" s="7">
        <v>0</v>
      </c>
      <c r="H139" s="7">
        <v>0</v>
      </c>
      <c r="I139" s="7">
        <f t="shared" si="0"/>
        <v>0</v>
      </c>
      <c r="J139" t="s">
        <v>894</v>
      </c>
      <c r="K139" s="85"/>
    </row>
    <row r="140" spans="2:11" s="1" customFormat="1" x14ac:dyDescent="0.25">
      <c r="B140"/>
      <c r="C140"/>
      <c r="D140"/>
      <c r="G140" s="86"/>
      <c r="H140" s="86"/>
      <c r="I140" s="7"/>
      <c r="J140"/>
      <c r="K140" s="85"/>
    </row>
    <row r="141" spans="2:11" s="1" customFormat="1" x14ac:dyDescent="0.25">
      <c r="B141"/>
      <c r="C141"/>
      <c r="D141"/>
      <c r="E141" s="8" t="s">
        <v>356</v>
      </c>
      <c r="G141" s="86"/>
      <c r="H141" s="86"/>
      <c r="I141" s="7"/>
      <c r="J141"/>
      <c r="K141" s="85"/>
    </row>
    <row r="142" spans="2:11" s="1" customFormat="1" x14ac:dyDescent="0.25">
      <c r="B142" t="s">
        <v>129</v>
      </c>
      <c r="C142" t="s">
        <v>338</v>
      </c>
      <c r="D142" t="s">
        <v>38</v>
      </c>
      <c r="E142" t="s">
        <v>925</v>
      </c>
      <c r="F142" t="s">
        <v>424</v>
      </c>
      <c r="G142" s="7">
        <v>7.2</v>
      </c>
      <c r="H142" s="7">
        <v>6.34</v>
      </c>
      <c r="I142" s="7">
        <f>G142-H142</f>
        <v>0.86000000000000032</v>
      </c>
      <c r="J142" t="s">
        <v>894</v>
      </c>
      <c r="K142" s="85"/>
    </row>
    <row r="143" spans="2:11" s="1" customFormat="1" x14ac:dyDescent="0.25">
      <c r="B143" t="s">
        <v>129</v>
      </c>
      <c r="C143" t="s">
        <v>37</v>
      </c>
      <c r="D143" t="s">
        <v>38</v>
      </c>
      <c r="E143" t="s">
        <v>925</v>
      </c>
      <c r="F143" t="s">
        <v>426</v>
      </c>
      <c r="G143" s="7">
        <v>6</v>
      </c>
      <c r="H143" s="7">
        <v>5.28</v>
      </c>
      <c r="I143" s="7">
        <f t="shared" si="0"/>
        <v>0.71999999999999975</v>
      </c>
      <c r="J143" t="s">
        <v>894</v>
      </c>
      <c r="K143" s="85"/>
    </row>
    <row r="144" spans="2:11" s="1" customFormat="1" x14ac:dyDescent="0.25">
      <c r="B144" t="s">
        <v>129</v>
      </c>
      <c r="C144" t="s">
        <v>338</v>
      </c>
      <c r="D144" t="s">
        <v>38</v>
      </c>
      <c r="E144" t="s">
        <v>1390</v>
      </c>
      <c r="F144" t="s">
        <v>424</v>
      </c>
      <c r="G144" s="7">
        <v>7.2</v>
      </c>
      <c r="H144" s="7">
        <v>6.34</v>
      </c>
      <c r="I144" s="7">
        <f t="shared" si="0"/>
        <v>0.86000000000000032</v>
      </c>
      <c r="J144" t="s">
        <v>894</v>
      </c>
      <c r="K144" s="85"/>
    </row>
    <row r="145" spans="2:11" s="1" customFormat="1" x14ac:dyDescent="0.25">
      <c r="B145" t="s">
        <v>129</v>
      </c>
      <c r="C145" t="s">
        <v>37</v>
      </c>
      <c r="D145" t="s">
        <v>38</v>
      </c>
      <c r="E145" t="s">
        <v>1390</v>
      </c>
      <c r="F145" t="s">
        <v>426</v>
      </c>
      <c r="G145" s="7">
        <v>6</v>
      </c>
      <c r="H145" s="7">
        <v>5.28</v>
      </c>
      <c r="I145" s="7">
        <f t="shared" si="0"/>
        <v>0.71999999999999975</v>
      </c>
      <c r="J145" t="s">
        <v>894</v>
      </c>
      <c r="K145" s="85"/>
    </row>
    <row r="146" spans="2:11" s="1" customFormat="1" x14ac:dyDescent="0.25">
      <c r="B146" t="s">
        <v>129</v>
      </c>
      <c r="C146" t="s">
        <v>338</v>
      </c>
      <c r="D146" t="s">
        <v>38</v>
      </c>
      <c r="E146" t="s">
        <v>1126</v>
      </c>
      <c r="F146" t="s">
        <v>424</v>
      </c>
      <c r="G146" s="7">
        <v>14.4</v>
      </c>
      <c r="H146" s="7">
        <v>12.67</v>
      </c>
      <c r="I146" s="7">
        <f t="shared" si="0"/>
        <v>1.7300000000000004</v>
      </c>
      <c r="J146" t="s">
        <v>894</v>
      </c>
      <c r="K146" s="85"/>
    </row>
    <row r="147" spans="2:11" s="1" customFormat="1" x14ac:dyDescent="0.25">
      <c r="B147" t="s">
        <v>129</v>
      </c>
      <c r="C147" t="s">
        <v>37</v>
      </c>
      <c r="D147" t="s">
        <v>38</v>
      </c>
      <c r="E147" t="s">
        <v>1126</v>
      </c>
      <c r="F147" t="s">
        <v>426</v>
      </c>
      <c r="G147" s="7">
        <v>12</v>
      </c>
      <c r="H147" s="7">
        <v>10.56</v>
      </c>
      <c r="I147" s="7">
        <f t="shared" si="0"/>
        <v>1.4399999999999995</v>
      </c>
      <c r="J147" t="s">
        <v>894</v>
      </c>
      <c r="K147" s="85"/>
    </row>
    <row r="148" spans="2:11" s="1" customFormat="1" x14ac:dyDescent="0.25">
      <c r="B148" t="s">
        <v>129</v>
      </c>
      <c r="C148" t="s">
        <v>338</v>
      </c>
      <c r="D148" t="s">
        <v>38</v>
      </c>
      <c r="E148" t="s">
        <v>1392</v>
      </c>
      <c r="F148" t="s">
        <v>424</v>
      </c>
      <c r="G148" s="7">
        <v>14.4</v>
      </c>
      <c r="H148" s="7">
        <v>12.67</v>
      </c>
      <c r="I148" s="7">
        <f t="shared" si="0"/>
        <v>1.7300000000000004</v>
      </c>
      <c r="J148" t="s">
        <v>894</v>
      </c>
      <c r="K148" s="85"/>
    </row>
    <row r="149" spans="2:11" s="1" customFormat="1" x14ac:dyDescent="0.25">
      <c r="B149" t="s">
        <v>129</v>
      </c>
      <c r="C149" t="s">
        <v>37</v>
      </c>
      <c r="D149" t="s">
        <v>38</v>
      </c>
      <c r="E149" t="s">
        <v>1392</v>
      </c>
      <c r="F149" t="s">
        <v>426</v>
      </c>
      <c r="G149" s="7">
        <v>12</v>
      </c>
      <c r="H149" s="7">
        <v>10.56</v>
      </c>
      <c r="I149" s="7">
        <f t="shared" si="0"/>
        <v>1.4399999999999995</v>
      </c>
      <c r="J149" t="s">
        <v>894</v>
      </c>
      <c r="K149" s="85"/>
    </row>
    <row r="150" spans="2:11" s="1" customFormat="1" x14ac:dyDescent="0.25">
      <c r="B150" t="s">
        <v>826</v>
      </c>
      <c r="C150" t="s">
        <v>338</v>
      </c>
      <c r="D150" t="s">
        <v>38</v>
      </c>
      <c r="E150" t="s">
        <v>1125</v>
      </c>
      <c r="F150" t="s">
        <v>424</v>
      </c>
      <c r="G150" s="7">
        <v>28.8</v>
      </c>
      <c r="H150" s="7">
        <v>25.34</v>
      </c>
      <c r="I150" s="7">
        <f t="shared" si="0"/>
        <v>3.4600000000000009</v>
      </c>
      <c r="J150" t="s">
        <v>894</v>
      </c>
      <c r="K150" s="85"/>
    </row>
    <row r="151" spans="2:11" s="1" customFormat="1" x14ac:dyDescent="0.25">
      <c r="B151" t="s">
        <v>826</v>
      </c>
      <c r="C151" t="s">
        <v>37</v>
      </c>
      <c r="D151" t="s">
        <v>38</v>
      </c>
      <c r="E151" t="s">
        <v>1125</v>
      </c>
      <c r="F151" t="s">
        <v>426</v>
      </c>
      <c r="G151" s="7">
        <v>24</v>
      </c>
      <c r="H151" s="7">
        <v>21.12</v>
      </c>
      <c r="I151" s="7">
        <f t="shared" si="0"/>
        <v>2.879999999999999</v>
      </c>
      <c r="J151" t="s">
        <v>894</v>
      </c>
      <c r="K151" s="85"/>
    </row>
    <row r="152" spans="2:11" s="1" customFormat="1" x14ac:dyDescent="0.25">
      <c r="B152" t="s">
        <v>826</v>
      </c>
      <c r="C152" t="s">
        <v>338</v>
      </c>
      <c r="D152" t="s">
        <v>38</v>
      </c>
      <c r="E152" t="s">
        <v>1391</v>
      </c>
      <c r="F152" t="s">
        <v>424</v>
      </c>
      <c r="G152" s="7">
        <v>28.8</v>
      </c>
      <c r="H152" s="7">
        <v>25.34</v>
      </c>
      <c r="I152" s="7">
        <f t="shared" si="0"/>
        <v>3.4600000000000009</v>
      </c>
      <c r="J152" t="s">
        <v>894</v>
      </c>
      <c r="K152" s="85"/>
    </row>
    <row r="153" spans="2:11" s="1" customFormat="1" x14ac:dyDescent="0.25">
      <c r="B153" t="s">
        <v>826</v>
      </c>
      <c r="C153" t="s">
        <v>37</v>
      </c>
      <c r="D153" t="s">
        <v>38</v>
      </c>
      <c r="E153" t="s">
        <v>1391</v>
      </c>
      <c r="F153" t="s">
        <v>426</v>
      </c>
      <c r="G153" s="7">
        <v>24</v>
      </c>
      <c r="H153" s="7">
        <v>21.12</v>
      </c>
      <c r="I153" s="7">
        <f t="shared" si="0"/>
        <v>2.879999999999999</v>
      </c>
      <c r="J153" t="s">
        <v>894</v>
      </c>
      <c r="K153" s="85"/>
    </row>
    <row r="154" spans="2:11" s="1" customFormat="1" x14ac:dyDescent="0.25">
      <c r="B154" t="s">
        <v>926</v>
      </c>
      <c r="C154" t="s">
        <v>338</v>
      </c>
      <c r="D154" t="s">
        <v>38</v>
      </c>
      <c r="E154" t="s">
        <v>927</v>
      </c>
      <c r="F154" t="s">
        <v>424</v>
      </c>
      <c r="G154" s="7">
        <v>0</v>
      </c>
      <c r="H154" s="7">
        <v>0</v>
      </c>
      <c r="I154" s="7">
        <f t="shared" si="0"/>
        <v>0</v>
      </c>
      <c r="J154" t="s">
        <v>894</v>
      </c>
      <c r="K154" s="85"/>
    </row>
    <row r="155" spans="2:11" s="1" customFormat="1" x14ac:dyDescent="0.25">
      <c r="B155" t="s">
        <v>926</v>
      </c>
      <c r="C155" t="s">
        <v>37</v>
      </c>
      <c r="D155" t="s">
        <v>38</v>
      </c>
      <c r="E155" t="s">
        <v>927</v>
      </c>
      <c r="F155" t="s">
        <v>426</v>
      </c>
      <c r="G155" s="7">
        <v>0</v>
      </c>
      <c r="H155" s="7">
        <v>0</v>
      </c>
      <c r="I155" s="7">
        <f t="shared" si="0"/>
        <v>0</v>
      </c>
      <c r="J155" t="s">
        <v>894</v>
      </c>
      <c r="K155" s="85"/>
    </row>
    <row r="156" spans="2:11" s="1" customFormat="1" x14ac:dyDescent="0.25">
      <c r="B156" t="s">
        <v>926</v>
      </c>
      <c r="C156" t="s">
        <v>338</v>
      </c>
      <c r="D156" t="s">
        <v>38</v>
      </c>
      <c r="E156" t="s">
        <v>1393</v>
      </c>
      <c r="F156" t="s">
        <v>424</v>
      </c>
      <c r="G156" s="7">
        <v>0</v>
      </c>
      <c r="H156" s="7">
        <v>0</v>
      </c>
      <c r="I156" s="7">
        <f t="shared" si="0"/>
        <v>0</v>
      </c>
      <c r="J156" t="s">
        <v>894</v>
      </c>
      <c r="K156" s="85"/>
    </row>
    <row r="157" spans="2:11" s="1" customFormat="1" x14ac:dyDescent="0.25">
      <c r="B157" t="s">
        <v>926</v>
      </c>
      <c r="C157" t="s">
        <v>37</v>
      </c>
      <c r="D157" t="s">
        <v>38</v>
      </c>
      <c r="E157" t="s">
        <v>1393</v>
      </c>
      <c r="F157" t="s">
        <v>426</v>
      </c>
      <c r="G157" s="7">
        <v>0</v>
      </c>
      <c r="H157" s="7">
        <v>0</v>
      </c>
      <c r="I157" s="7">
        <f t="shared" si="0"/>
        <v>0</v>
      </c>
      <c r="J157" t="s">
        <v>894</v>
      </c>
      <c r="K157" s="85"/>
    </row>
    <row r="158" spans="2:11" s="1" customFormat="1" x14ac:dyDescent="0.25">
      <c r="B158" t="s">
        <v>128</v>
      </c>
      <c r="C158" t="s">
        <v>338</v>
      </c>
      <c r="D158" t="s">
        <v>38</v>
      </c>
      <c r="E158" t="s">
        <v>928</v>
      </c>
      <c r="F158" t="s">
        <v>424</v>
      </c>
      <c r="G158" s="7">
        <v>3.6</v>
      </c>
      <c r="H158" s="7">
        <v>3.17</v>
      </c>
      <c r="I158" s="7">
        <f t="shared" si="0"/>
        <v>0.43000000000000016</v>
      </c>
      <c r="J158" t="s">
        <v>894</v>
      </c>
      <c r="K158" s="85"/>
    </row>
    <row r="159" spans="2:11" s="1" customFormat="1" x14ac:dyDescent="0.25">
      <c r="B159" t="s">
        <v>128</v>
      </c>
      <c r="C159" t="s">
        <v>37</v>
      </c>
      <c r="D159" t="s">
        <v>38</v>
      </c>
      <c r="E159" t="s">
        <v>928</v>
      </c>
      <c r="F159" t="s">
        <v>426</v>
      </c>
      <c r="G159" s="7">
        <v>3</v>
      </c>
      <c r="H159" s="7">
        <v>2.64</v>
      </c>
      <c r="I159" s="7">
        <f t="shared" si="0"/>
        <v>0.35999999999999988</v>
      </c>
      <c r="J159" t="s">
        <v>894</v>
      </c>
      <c r="K159" s="85"/>
    </row>
    <row r="160" spans="2:11" s="1" customFormat="1" x14ac:dyDescent="0.25">
      <c r="B160" t="s">
        <v>128</v>
      </c>
      <c r="C160" t="s">
        <v>338</v>
      </c>
      <c r="D160" t="s">
        <v>38</v>
      </c>
      <c r="E160" t="s">
        <v>1394</v>
      </c>
      <c r="F160" t="s">
        <v>424</v>
      </c>
      <c r="G160" s="7">
        <v>2.76</v>
      </c>
      <c r="H160" s="7">
        <v>2.4300000000000002</v>
      </c>
      <c r="I160" s="7">
        <f t="shared" si="0"/>
        <v>0.32999999999999963</v>
      </c>
      <c r="J160" t="s">
        <v>894</v>
      </c>
      <c r="K160" s="85"/>
    </row>
    <row r="161" spans="2:11" s="1" customFormat="1" x14ac:dyDescent="0.25">
      <c r="B161" t="s">
        <v>128</v>
      </c>
      <c r="C161" t="s">
        <v>37</v>
      </c>
      <c r="D161" t="s">
        <v>38</v>
      </c>
      <c r="E161" t="s">
        <v>1394</v>
      </c>
      <c r="F161" t="s">
        <v>426</v>
      </c>
      <c r="G161" s="7">
        <v>2.2999999999999998</v>
      </c>
      <c r="H161" s="7">
        <v>2.02</v>
      </c>
      <c r="I161" s="7">
        <f t="shared" si="0"/>
        <v>0.2799999999999998</v>
      </c>
      <c r="J161" t="s">
        <v>894</v>
      </c>
      <c r="K161" s="85"/>
    </row>
    <row r="162" spans="2:11" s="1" customFormat="1" x14ac:dyDescent="0.25">
      <c r="B162" t="s">
        <v>831</v>
      </c>
      <c r="C162" t="s">
        <v>338</v>
      </c>
      <c r="D162" t="s">
        <v>38</v>
      </c>
      <c r="E162" t="s">
        <v>1127</v>
      </c>
      <c r="F162" t="s">
        <v>424</v>
      </c>
      <c r="G162" s="7">
        <v>2.76</v>
      </c>
      <c r="H162" s="7">
        <v>2.4300000000000002</v>
      </c>
      <c r="I162" s="7">
        <f t="shared" si="0"/>
        <v>0.32999999999999963</v>
      </c>
      <c r="J162" t="s">
        <v>894</v>
      </c>
      <c r="K162" s="85"/>
    </row>
    <row r="163" spans="2:11" s="1" customFormat="1" x14ac:dyDescent="0.25">
      <c r="B163" t="s">
        <v>831</v>
      </c>
      <c r="C163" t="s">
        <v>37</v>
      </c>
      <c r="D163" t="s">
        <v>38</v>
      </c>
      <c r="E163" t="s">
        <v>1127</v>
      </c>
      <c r="F163" t="s">
        <v>426</v>
      </c>
      <c r="G163" s="7">
        <v>2.2999999999999998</v>
      </c>
      <c r="H163" s="7">
        <v>2.02</v>
      </c>
      <c r="I163" s="7">
        <f t="shared" si="0"/>
        <v>0.2799999999999998</v>
      </c>
      <c r="J163" t="s">
        <v>894</v>
      </c>
      <c r="K163" s="85"/>
    </row>
    <row r="164" spans="2:11" s="1" customFormat="1" x14ac:dyDescent="0.25">
      <c r="B164" t="s">
        <v>831</v>
      </c>
      <c r="C164" t="s">
        <v>338</v>
      </c>
      <c r="D164" t="s">
        <v>38</v>
      </c>
      <c r="E164" t="s">
        <v>930</v>
      </c>
      <c r="F164" t="s">
        <v>424</v>
      </c>
      <c r="G164" s="7">
        <v>3.6</v>
      </c>
      <c r="H164" s="7">
        <v>3.17</v>
      </c>
      <c r="I164" s="7">
        <f t="shared" si="0"/>
        <v>0.43000000000000016</v>
      </c>
      <c r="J164" t="s">
        <v>894</v>
      </c>
      <c r="K164" s="85"/>
    </row>
    <row r="165" spans="2:11" s="1" customFormat="1" x14ac:dyDescent="0.25">
      <c r="B165" t="s">
        <v>831</v>
      </c>
      <c r="C165" t="s">
        <v>37</v>
      </c>
      <c r="D165" t="s">
        <v>38</v>
      </c>
      <c r="E165" t="s">
        <v>930</v>
      </c>
      <c r="F165" t="s">
        <v>426</v>
      </c>
      <c r="G165" s="7">
        <v>3</v>
      </c>
      <c r="H165" s="7">
        <v>2.64</v>
      </c>
      <c r="I165" s="7">
        <f t="shared" si="0"/>
        <v>0.35999999999999988</v>
      </c>
      <c r="J165" t="s">
        <v>894</v>
      </c>
      <c r="K165" s="85"/>
    </row>
    <row r="166" spans="2:11" s="1" customFormat="1" x14ac:dyDescent="0.25">
      <c r="B166" t="s">
        <v>134</v>
      </c>
      <c r="C166" t="s">
        <v>338</v>
      </c>
      <c r="D166" t="s">
        <v>38</v>
      </c>
      <c r="E166" t="s">
        <v>1395</v>
      </c>
      <c r="F166" t="s">
        <v>1030</v>
      </c>
      <c r="G166" s="7">
        <v>2.88</v>
      </c>
      <c r="H166" s="7">
        <v>2.5299999999999998</v>
      </c>
      <c r="I166" s="7">
        <f t="shared" si="0"/>
        <v>0.35000000000000009</v>
      </c>
      <c r="J166" t="s">
        <v>894</v>
      </c>
      <c r="K166" s="85"/>
    </row>
    <row r="167" spans="2:11" s="1" customFormat="1" x14ac:dyDescent="0.25">
      <c r="B167" t="s">
        <v>134</v>
      </c>
      <c r="C167" t="s">
        <v>37</v>
      </c>
      <c r="D167" t="s">
        <v>38</v>
      </c>
      <c r="E167" t="s">
        <v>1395</v>
      </c>
      <c r="F167" t="s">
        <v>426</v>
      </c>
      <c r="G167" s="7">
        <v>2.4</v>
      </c>
      <c r="H167" s="7">
        <v>2.11</v>
      </c>
      <c r="I167" s="7">
        <f t="shared" si="0"/>
        <v>0.29000000000000004</v>
      </c>
      <c r="J167" t="s">
        <v>894</v>
      </c>
      <c r="K167" s="85"/>
    </row>
    <row r="168" spans="2:11" s="1" customFormat="1" x14ac:dyDescent="0.25">
      <c r="B168" t="s">
        <v>134</v>
      </c>
      <c r="C168" t="s">
        <v>338</v>
      </c>
      <c r="D168" t="s">
        <v>38</v>
      </c>
      <c r="E168" t="s">
        <v>1396</v>
      </c>
      <c r="F168" t="s">
        <v>1030</v>
      </c>
      <c r="G168" s="7">
        <v>2.16</v>
      </c>
      <c r="H168" s="7">
        <v>1.9</v>
      </c>
      <c r="I168" s="7">
        <f t="shared" si="0"/>
        <v>0.26000000000000023</v>
      </c>
      <c r="J168" t="s">
        <v>894</v>
      </c>
      <c r="K168" s="85"/>
    </row>
    <row r="169" spans="2:11" s="1" customFormat="1" x14ac:dyDescent="0.25">
      <c r="B169" t="s">
        <v>134</v>
      </c>
      <c r="C169" t="s">
        <v>37</v>
      </c>
      <c r="D169" t="s">
        <v>38</v>
      </c>
      <c r="E169" t="s">
        <v>1396</v>
      </c>
      <c r="F169" t="s">
        <v>426</v>
      </c>
      <c r="G169" s="7">
        <v>1.8</v>
      </c>
      <c r="H169" s="7">
        <v>1.58</v>
      </c>
      <c r="I169" s="7">
        <f t="shared" si="0"/>
        <v>0.21999999999999997</v>
      </c>
      <c r="J169" t="s">
        <v>894</v>
      </c>
      <c r="K169" s="85"/>
    </row>
    <row r="170" spans="2:11" s="1" customFormat="1" x14ac:dyDescent="0.25">
      <c r="B170"/>
      <c r="C170"/>
      <c r="D170"/>
      <c r="E170"/>
      <c r="G170" s="86"/>
      <c r="H170" s="7"/>
      <c r="I170" s="7"/>
      <c r="J170"/>
      <c r="K170" s="85"/>
    </row>
    <row r="171" spans="2:11" s="1" customFormat="1" x14ac:dyDescent="0.25">
      <c r="B171"/>
      <c r="C171"/>
      <c r="D171"/>
      <c r="E171" s="8" t="s">
        <v>350</v>
      </c>
      <c r="G171" s="86"/>
      <c r="H171" s="86"/>
      <c r="I171" s="7"/>
      <c r="J171"/>
      <c r="K171" s="85"/>
    </row>
    <row r="172" spans="2:11" s="1" customFormat="1" x14ac:dyDescent="0.25">
      <c r="B172" t="s">
        <v>108</v>
      </c>
      <c r="C172" t="s">
        <v>338</v>
      </c>
      <c r="D172" t="s">
        <v>38</v>
      </c>
      <c r="E172" t="s">
        <v>1397</v>
      </c>
      <c r="F172" t="s">
        <v>1030</v>
      </c>
      <c r="G172" s="7">
        <v>3</v>
      </c>
      <c r="H172" s="7">
        <v>2.5</v>
      </c>
      <c r="I172" s="7">
        <f>G172-H172</f>
        <v>0.5</v>
      </c>
      <c r="J172" t="s">
        <v>894</v>
      </c>
      <c r="K172" s="85"/>
    </row>
    <row r="173" spans="2:11" s="1" customFormat="1" x14ac:dyDescent="0.25">
      <c r="B173" t="s">
        <v>108</v>
      </c>
      <c r="C173" t="s">
        <v>37</v>
      </c>
      <c r="D173" t="s">
        <v>38</v>
      </c>
      <c r="E173" t="s">
        <v>1397</v>
      </c>
      <c r="F173" t="s">
        <v>426</v>
      </c>
      <c r="G173" s="7">
        <v>2.64</v>
      </c>
      <c r="H173" s="7">
        <v>2.2000000000000002</v>
      </c>
      <c r="I173" s="7">
        <f>G173-H173</f>
        <v>0.43999999999999995</v>
      </c>
      <c r="J173" t="s">
        <v>894</v>
      </c>
      <c r="K173" s="85"/>
    </row>
    <row r="174" spans="2:11" s="1" customFormat="1" x14ac:dyDescent="0.25">
      <c r="B174" t="s">
        <v>108</v>
      </c>
      <c r="C174" t="s">
        <v>338</v>
      </c>
      <c r="D174" t="s">
        <v>38</v>
      </c>
      <c r="E174" t="s">
        <v>1144</v>
      </c>
      <c r="F174" t="s">
        <v>1030</v>
      </c>
      <c r="G174" s="7">
        <v>5.4</v>
      </c>
      <c r="H174" s="7">
        <v>4.75</v>
      </c>
      <c r="I174" s="7">
        <f t="shared" si="0"/>
        <v>0.65000000000000036</v>
      </c>
      <c r="J174" t="s">
        <v>894</v>
      </c>
      <c r="K174" s="85"/>
    </row>
    <row r="175" spans="2:11" s="1" customFormat="1" x14ac:dyDescent="0.25">
      <c r="B175" t="s">
        <v>108</v>
      </c>
      <c r="C175" t="s">
        <v>37</v>
      </c>
      <c r="D175" t="s">
        <v>38</v>
      </c>
      <c r="E175" t="s">
        <v>1144</v>
      </c>
      <c r="F175" t="s">
        <v>426</v>
      </c>
      <c r="G175" s="7">
        <v>4.5</v>
      </c>
      <c r="H175" s="7">
        <v>3.96</v>
      </c>
      <c r="I175" s="7">
        <f t="shared" si="0"/>
        <v>0.54</v>
      </c>
      <c r="J175" t="s">
        <v>894</v>
      </c>
      <c r="K175" s="85"/>
    </row>
    <row r="176" spans="2:11" s="1" customFormat="1" x14ac:dyDescent="0.25">
      <c r="B176" t="s">
        <v>110</v>
      </c>
      <c r="C176" t="s">
        <v>338</v>
      </c>
      <c r="D176" t="s">
        <v>38</v>
      </c>
      <c r="E176" t="s">
        <v>1145</v>
      </c>
      <c r="F176" t="s">
        <v>1030</v>
      </c>
      <c r="G176" s="7">
        <v>2.76</v>
      </c>
      <c r="H176" s="7">
        <v>2.4300000000000002</v>
      </c>
      <c r="I176" s="7">
        <f t="shared" si="0"/>
        <v>0.32999999999999963</v>
      </c>
      <c r="J176" t="s">
        <v>894</v>
      </c>
      <c r="K176" s="85"/>
    </row>
    <row r="177" spans="2:11" s="1" customFormat="1" x14ac:dyDescent="0.25">
      <c r="B177" t="s">
        <v>110</v>
      </c>
      <c r="C177" t="s">
        <v>37</v>
      </c>
      <c r="D177" t="s">
        <v>38</v>
      </c>
      <c r="E177" t="s">
        <v>1145</v>
      </c>
      <c r="F177" t="s">
        <v>426</v>
      </c>
      <c r="G177" s="7">
        <v>2.2999999999999998</v>
      </c>
      <c r="H177" s="7">
        <v>2.0299999999999998</v>
      </c>
      <c r="I177" s="7">
        <f t="shared" si="0"/>
        <v>0.27</v>
      </c>
      <c r="J177" t="s">
        <v>894</v>
      </c>
      <c r="K177" s="85"/>
    </row>
    <row r="178" spans="2:11" s="1" customFormat="1" x14ac:dyDescent="0.25">
      <c r="B178" t="s">
        <v>110</v>
      </c>
      <c r="C178" t="s">
        <v>338</v>
      </c>
      <c r="D178" t="s">
        <v>38</v>
      </c>
      <c r="E178" t="s">
        <v>1398</v>
      </c>
      <c r="F178" t="s">
        <v>1030</v>
      </c>
      <c r="G178" s="7">
        <v>1.5</v>
      </c>
      <c r="H178" s="7">
        <v>1.32</v>
      </c>
      <c r="I178" s="7">
        <f t="shared" si="0"/>
        <v>0.17999999999999994</v>
      </c>
      <c r="J178" t="s">
        <v>894</v>
      </c>
      <c r="K178" s="85"/>
    </row>
    <row r="179" spans="2:11" s="1" customFormat="1" x14ac:dyDescent="0.25">
      <c r="B179" t="s">
        <v>110</v>
      </c>
      <c r="C179" t="s">
        <v>37</v>
      </c>
      <c r="D179" t="s">
        <v>38</v>
      </c>
      <c r="E179" t="s">
        <v>1398</v>
      </c>
      <c r="F179" t="s">
        <v>426</v>
      </c>
      <c r="G179" s="7">
        <v>1.25</v>
      </c>
      <c r="H179" s="7">
        <v>1.1000000000000001</v>
      </c>
      <c r="I179" s="7">
        <f t="shared" si="0"/>
        <v>0.14999999999999991</v>
      </c>
      <c r="J179" t="s">
        <v>894</v>
      </c>
      <c r="K179" s="85"/>
    </row>
    <row r="180" spans="2:11" s="1" customFormat="1" x14ac:dyDescent="0.25">
      <c r="B180" t="s">
        <v>102</v>
      </c>
      <c r="C180" t="s">
        <v>338</v>
      </c>
      <c r="D180" t="s">
        <v>38</v>
      </c>
      <c r="E180" t="s">
        <v>1146</v>
      </c>
      <c r="F180" t="s">
        <v>1030</v>
      </c>
      <c r="G180" s="7">
        <v>4797.6000000000004</v>
      </c>
      <c r="H180" s="7">
        <v>4221.8900000000003</v>
      </c>
      <c r="I180" s="7">
        <f t="shared" si="0"/>
        <v>575.71</v>
      </c>
      <c r="J180" t="s">
        <v>894</v>
      </c>
      <c r="K180" s="85"/>
    </row>
    <row r="181" spans="2:11" s="1" customFormat="1" x14ac:dyDescent="0.25">
      <c r="B181" t="s">
        <v>102</v>
      </c>
      <c r="C181" t="s">
        <v>37</v>
      </c>
      <c r="D181" t="s">
        <v>38</v>
      </c>
      <c r="E181" t="s">
        <v>1146</v>
      </c>
      <c r="F181" t="s">
        <v>426</v>
      </c>
      <c r="G181" s="7">
        <v>3998</v>
      </c>
      <c r="H181" s="7">
        <v>3518.24</v>
      </c>
      <c r="I181" s="7">
        <f t="shared" si="0"/>
        <v>479.76000000000022</v>
      </c>
      <c r="J181" t="s">
        <v>894</v>
      </c>
      <c r="K181" s="85"/>
    </row>
    <row r="182" spans="2:11" s="1" customFormat="1" x14ac:dyDescent="0.25">
      <c r="B182" t="s">
        <v>102</v>
      </c>
      <c r="C182" t="s">
        <v>338</v>
      </c>
      <c r="D182" t="s">
        <v>38</v>
      </c>
      <c r="E182" t="s">
        <v>1147</v>
      </c>
      <c r="F182" t="s">
        <v>1030</v>
      </c>
      <c r="G182" s="7">
        <v>2397.6</v>
      </c>
      <c r="H182" s="7">
        <v>2109.89</v>
      </c>
      <c r="I182" s="7">
        <f t="shared" si="0"/>
        <v>287.71000000000004</v>
      </c>
      <c r="J182" t="s">
        <v>894</v>
      </c>
      <c r="K182" s="85"/>
    </row>
    <row r="183" spans="2:11" s="1" customFormat="1" x14ac:dyDescent="0.25">
      <c r="B183" t="s">
        <v>102</v>
      </c>
      <c r="C183" t="s">
        <v>37</v>
      </c>
      <c r="D183" t="s">
        <v>38</v>
      </c>
      <c r="E183" t="s">
        <v>1147</v>
      </c>
      <c r="F183" t="s">
        <v>426</v>
      </c>
      <c r="G183" s="7">
        <v>1998</v>
      </c>
      <c r="H183" s="7">
        <v>1758.24</v>
      </c>
      <c r="I183" s="7">
        <f t="shared" si="0"/>
        <v>239.76</v>
      </c>
      <c r="J183" t="s">
        <v>894</v>
      </c>
      <c r="K183" s="85"/>
    </row>
    <row r="184" spans="2:11" s="1" customFormat="1" x14ac:dyDescent="0.25">
      <c r="B184" t="s">
        <v>102</v>
      </c>
      <c r="C184" t="s">
        <v>338</v>
      </c>
      <c r="D184" t="s">
        <v>38</v>
      </c>
      <c r="E184" t="s">
        <v>1148</v>
      </c>
      <c r="F184" t="s">
        <v>1030</v>
      </c>
      <c r="G184" s="7">
        <v>9597.6</v>
      </c>
      <c r="H184" s="7">
        <v>8445.89</v>
      </c>
      <c r="I184" s="7">
        <f t="shared" si="0"/>
        <v>1151.7100000000009</v>
      </c>
      <c r="J184" t="s">
        <v>894</v>
      </c>
      <c r="K184" s="85"/>
    </row>
    <row r="185" spans="2:11" s="1" customFormat="1" x14ac:dyDescent="0.25">
      <c r="B185" t="s">
        <v>102</v>
      </c>
      <c r="C185" t="s">
        <v>37</v>
      </c>
      <c r="D185" t="s">
        <v>38</v>
      </c>
      <c r="E185" t="s">
        <v>1148</v>
      </c>
      <c r="F185" t="s">
        <v>426</v>
      </c>
      <c r="G185" s="7">
        <v>7998</v>
      </c>
      <c r="H185" s="7">
        <v>7038.24</v>
      </c>
      <c r="I185" s="7">
        <f t="shared" si="0"/>
        <v>959.76000000000022</v>
      </c>
      <c r="J185" t="s">
        <v>894</v>
      </c>
      <c r="K185" s="85"/>
    </row>
    <row r="186" spans="2:11" s="1" customFormat="1" x14ac:dyDescent="0.25">
      <c r="B186" t="s">
        <v>102</v>
      </c>
      <c r="C186" t="s">
        <v>338</v>
      </c>
      <c r="D186" t="s">
        <v>38</v>
      </c>
      <c r="E186" t="s">
        <v>1149</v>
      </c>
      <c r="F186" t="s">
        <v>1030</v>
      </c>
      <c r="G186" s="7">
        <v>9597.6</v>
      </c>
      <c r="H186" s="7">
        <v>8445.89</v>
      </c>
      <c r="I186" s="7">
        <f t="shared" si="0"/>
        <v>1151.7100000000009</v>
      </c>
      <c r="J186" t="s">
        <v>894</v>
      </c>
      <c r="K186" s="85"/>
    </row>
    <row r="187" spans="2:11" s="1" customFormat="1" x14ac:dyDescent="0.25">
      <c r="B187" t="s">
        <v>102</v>
      </c>
      <c r="C187" t="s">
        <v>37</v>
      </c>
      <c r="D187" t="s">
        <v>38</v>
      </c>
      <c r="E187" t="s">
        <v>1149</v>
      </c>
      <c r="F187" t="s">
        <v>426</v>
      </c>
      <c r="G187" s="7">
        <v>7998</v>
      </c>
      <c r="H187" s="7">
        <v>7038.24</v>
      </c>
      <c r="I187" s="7">
        <f t="shared" si="0"/>
        <v>959.76000000000022</v>
      </c>
      <c r="J187" t="s">
        <v>894</v>
      </c>
      <c r="K187" s="85"/>
    </row>
    <row r="188" spans="2:11" s="1" customFormat="1" x14ac:dyDescent="0.25">
      <c r="B188" t="s">
        <v>102</v>
      </c>
      <c r="C188" t="s">
        <v>338</v>
      </c>
      <c r="D188" t="s">
        <v>38</v>
      </c>
      <c r="E188" t="s">
        <v>1150</v>
      </c>
      <c r="F188" t="s">
        <v>1030</v>
      </c>
      <c r="G188" s="7">
        <v>4797.6000000000004</v>
      </c>
      <c r="H188" s="7">
        <v>4221.8900000000003</v>
      </c>
      <c r="I188" s="7">
        <f t="shared" si="0"/>
        <v>575.71</v>
      </c>
      <c r="J188" t="s">
        <v>894</v>
      </c>
      <c r="K188" s="85"/>
    </row>
    <row r="189" spans="2:11" s="1" customFormat="1" x14ac:dyDescent="0.25">
      <c r="B189" t="s">
        <v>102</v>
      </c>
      <c r="C189" t="s">
        <v>37</v>
      </c>
      <c r="D189" t="s">
        <v>38</v>
      </c>
      <c r="E189" t="s">
        <v>1150</v>
      </c>
      <c r="F189" t="s">
        <v>426</v>
      </c>
      <c r="G189" s="7">
        <v>3998</v>
      </c>
      <c r="H189" s="7">
        <v>3518.24</v>
      </c>
      <c r="I189" s="7">
        <f t="shared" si="0"/>
        <v>479.76000000000022</v>
      </c>
      <c r="J189" t="s">
        <v>894</v>
      </c>
      <c r="K189" s="85"/>
    </row>
    <row r="190" spans="2:11" s="1" customFormat="1" x14ac:dyDescent="0.25">
      <c r="B190" t="s">
        <v>102</v>
      </c>
      <c r="C190" t="s">
        <v>338</v>
      </c>
      <c r="D190" t="s">
        <v>38</v>
      </c>
      <c r="E190" t="s">
        <v>1151</v>
      </c>
      <c r="F190" t="s">
        <v>1030</v>
      </c>
      <c r="G190" s="7">
        <v>2397.6</v>
      </c>
      <c r="H190" s="7">
        <v>2109.89</v>
      </c>
      <c r="I190" s="7">
        <f t="shared" si="0"/>
        <v>287.71000000000004</v>
      </c>
      <c r="J190" t="s">
        <v>894</v>
      </c>
      <c r="K190" s="85"/>
    </row>
    <row r="191" spans="2:11" s="1" customFormat="1" x14ac:dyDescent="0.25">
      <c r="B191" t="s">
        <v>102</v>
      </c>
      <c r="C191" t="s">
        <v>37</v>
      </c>
      <c r="D191" t="s">
        <v>38</v>
      </c>
      <c r="E191" t="s">
        <v>1151</v>
      </c>
      <c r="F191" t="s">
        <v>426</v>
      </c>
      <c r="G191" s="7">
        <v>1998</v>
      </c>
      <c r="H191" s="7">
        <v>1758.24</v>
      </c>
      <c r="I191" s="7">
        <f t="shared" si="0"/>
        <v>239.76</v>
      </c>
      <c r="J191" t="s">
        <v>894</v>
      </c>
      <c r="K191" s="85"/>
    </row>
    <row r="192" spans="2:11" s="1" customFormat="1" x14ac:dyDescent="0.25">
      <c r="B192" t="s">
        <v>100</v>
      </c>
      <c r="C192" t="s">
        <v>338</v>
      </c>
      <c r="D192" t="s">
        <v>38</v>
      </c>
      <c r="E192" t="s">
        <v>1152</v>
      </c>
      <c r="F192" t="s">
        <v>1030</v>
      </c>
      <c r="G192" s="7">
        <v>2.76</v>
      </c>
      <c r="H192" s="7">
        <v>2.4300000000000002</v>
      </c>
      <c r="I192" s="7">
        <f t="shared" si="0"/>
        <v>0.32999999999999963</v>
      </c>
      <c r="J192" t="s">
        <v>894</v>
      </c>
      <c r="K192" s="85"/>
    </row>
    <row r="193" spans="2:11" s="1" customFormat="1" x14ac:dyDescent="0.25">
      <c r="B193" t="s">
        <v>100</v>
      </c>
      <c r="C193" t="s">
        <v>37</v>
      </c>
      <c r="D193" t="s">
        <v>38</v>
      </c>
      <c r="E193" t="s">
        <v>1152</v>
      </c>
      <c r="F193" t="s">
        <v>426</v>
      </c>
      <c r="G193" s="7">
        <v>2.2999999999999998</v>
      </c>
      <c r="H193" s="7">
        <v>2.02</v>
      </c>
      <c r="I193" s="7">
        <f t="shared" si="0"/>
        <v>0.2799999999999998</v>
      </c>
      <c r="J193" t="s">
        <v>894</v>
      </c>
      <c r="K193" s="85"/>
    </row>
    <row r="194" spans="2:11" s="1" customFormat="1" x14ac:dyDescent="0.25">
      <c r="B194" t="s">
        <v>100</v>
      </c>
      <c r="C194" t="s">
        <v>338</v>
      </c>
      <c r="D194" t="s">
        <v>38</v>
      </c>
      <c r="E194" t="s">
        <v>1153</v>
      </c>
      <c r="F194" t="s">
        <v>1030</v>
      </c>
      <c r="G194" s="7">
        <v>1.5</v>
      </c>
      <c r="H194" s="7">
        <v>1.32</v>
      </c>
      <c r="I194" s="7">
        <f t="shared" si="0"/>
        <v>0.17999999999999994</v>
      </c>
      <c r="J194" t="s">
        <v>894</v>
      </c>
      <c r="K194" s="85"/>
    </row>
    <row r="195" spans="2:11" s="1" customFormat="1" x14ac:dyDescent="0.25">
      <c r="B195" t="s">
        <v>100</v>
      </c>
      <c r="C195" t="s">
        <v>37</v>
      </c>
      <c r="D195" t="s">
        <v>38</v>
      </c>
      <c r="E195" t="s">
        <v>1153</v>
      </c>
      <c r="F195" t="s">
        <v>426</v>
      </c>
      <c r="G195" s="7">
        <v>1.25</v>
      </c>
      <c r="H195" s="7">
        <v>1.1000000000000001</v>
      </c>
      <c r="I195" s="7">
        <f t="shared" si="0"/>
        <v>0.14999999999999991</v>
      </c>
      <c r="J195" t="s">
        <v>894</v>
      </c>
      <c r="K195" s="85"/>
    </row>
    <row r="196" spans="2:11" s="1" customFormat="1" x14ac:dyDescent="0.25">
      <c r="B196"/>
      <c r="C196"/>
      <c r="D196"/>
      <c r="G196" s="86"/>
      <c r="H196" s="86"/>
      <c r="I196" s="7"/>
      <c r="J196"/>
      <c r="K196" s="85"/>
    </row>
    <row r="197" spans="2:11" s="1" customFormat="1" x14ac:dyDescent="0.25">
      <c r="B197"/>
      <c r="C197"/>
      <c r="D197"/>
      <c r="E197" s="8" t="s">
        <v>352</v>
      </c>
      <c r="G197" s="86"/>
      <c r="H197" s="86"/>
      <c r="I197" s="7"/>
      <c r="J197"/>
      <c r="K197" s="85"/>
    </row>
    <row r="198" spans="2:11" s="1" customFormat="1" x14ac:dyDescent="0.25">
      <c r="B198" t="s">
        <v>112</v>
      </c>
      <c r="C198" t="s">
        <v>338</v>
      </c>
      <c r="D198" t="s">
        <v>38</v>
      </c>
      <c r="E198" t="s">
        <v>931</v>
      </c>
      <c r="F198" t="s">
        <v>1030</v>
      </c>
      <c r="G198" s="7">
        <v>0</v>
      </c>
      <c r="H198" s="7">
        <v>0</v>
      </c>
      <c r="I198" s="7">
        <f t="shared" si="0"/>
        <v>0</v>
      </c>
      <c r="J198" t="s">
        <v>894</v>
      </c>
      <c r="K198" s="85"/>
    </row>
    <row r="199" spans="2:11" s="1" customFormat="1" x14ac:dyDescent="0.25">
      <c r="B199" t="s">
        <v>112</v>
      </c>
      <c r="C199" t="s">
        <v>37</v>
      </c>
      <c r="D199" t="s">
        <v>38</v>
      </c>
      <c r="E199" t="s">
        <v>931</v>
      </c>
      <c r="F199" t="s">
        <v>426</v>
      </c>
      <c r="G199" s="7">
        <v>0</v>
      </c>
      <c r="H199" s="7">
        <v>0</v>
      </c>
      <c r="I199" s="7">
        <f t="shared" si="0"/>
        <v>0</v>
      </c>
      <c r="J199" t="s">
        <v>894</v>
      </c>
      <c r="K199" s="85"/>
    </row>
    <row r="200" spans="2:11" s="1" customFormat="1" x14ac:dyDescent="0.25">
      <c r="B200" t="s">
        <v>112</v>
      </c>
      <c r="C200" t="s">
        <v>338</v>
      </c>
      <c r="D200" t="s">
        <v>38</v>
      </c>
      <c r="E200" t="s">
        <v>932</v>
      </c>
      <c r="F200" t="s">
        <v>1030</v>
      </c>
      <c r="G200" s="7">
        <v>0</v>
      </c>
      <c r="H200" s="7">
        <v>0</v>
      </c>
      <c r="I200" s="7">
        <f t="shared" si="0"/>
        <v>0</v>
      </c>
      <c r="J200" t="s">
        <v>894</v>
      </c>
      <c r="K200" s="85"/>
    </row>
    <row r="201" spans="2:11" s="1" customFormat="1" x14ac:dyDescent="0.25">
      <c r="B201" t="s">
        <v>112</v>
      </c>
      <c r="C201" t="s">
        <v>37</v>
      </c>
      <c r="D201" t="s">
        <v>38</v>
      </c>
      <c r="E201" t="s">
        <v>932</v>
      </c>
      <c r="F201" t="s">
        <v>426</v>
      </c>
      <c r="G201" s="7">
        <v>0</v>
      </c>
      <c r="H201" s="7">
        <v>0</v>
      </c>
      <c r="I201" s="7">
        <f t="shared" si="0"/>
        <v>0</v>
      </c>
      <c r="J201" t="s">
        <v>894</v>
      </c>
      <c r="K201" s="85"/>
    </row>
    <row r="202" spans="2:11" s="1" customFormat="1" x14ac:dyDescent="0.25">
      <c r="B202" t="s">
        <v>116</v>
      </c>
      <c r="C202" t="s">
        <v>338</v>
      </c>
      <c r="D202" t="s">
        <v>38</v>
      </c>
      <c r="E202" t="s">
        <v>933</v>
      </c>
      <c r="F202" t="s">
        <v>1030</v>
      </c>
      <c r="G202" s="7">
        <v>5.4</v>
      </c>
      <c r="H202" s="7">
        <v>4.75</v>
      </c>
      <c r="I202" s="7">
        <f t="shared" si="0"/>
        <v>0.65000000000000036</v>
      </c>
      <c r="J202" t="s">
        <v>894</v>
      </c>
      <c r="K202" s="85"/>
    </row>
    <row r="203" spans="2:11" s="1" customFormat="1" x14ac:dyDescent="0.25">
      <c r="B203" t="s">
        <v>116</v>
      </c>
      <c r="C203" t="s">
        <v>37</v>
      </c>
      <c r="D203" t="s">
        <v>38</v>
      </c>
      <c r="E203" t="s">
        <v>933</v>
      </c>
      <c r="F203" t="s">
        <v>426</v>
      </c>
      <c r="G203" s="7">
        <v>4.5</v>
      </c>
      <c r="H203" s="7">
        <v>3.96</v>
      </c>
      <c r="I203" s="7">
        <f t="shared" si="0"/>
        <v>0.54</v>
      </c>
      <c r="J203" t="s">
        <v>894</v>
      </c>
      <c r="K203" s="85"/>
    </row>
    <row r="204" spans="2:11" s="1" customFormat="1" x14ac:dyDescent="0.25">
      <c r="B204" t="s">
        <v>116</v>
      </c>
      <c r="C204" t="s">
        <v>338</v>
      </c>
      <c r="D204" t="s">
        <v>38</v>
      </c>
      <c r="E204" t="s">
        <v>934</v>
      </c>
      <c r="F204" t="s">
        <v>1030</v>
      </c>
      <c r="G204" s="7">
        <v>7.2</v>
      </c>
      <c r="H204" s="7">
        <v>6.34</v>
      </c>
      <c r="I204" s="7">
        <f t="shared" si="0"/>
        <v>0.86000000000000032</v>
      </c>
      <c r="J204" t="s">
        <v>894</v>
      </c>
      <c r="K204" s="85"/>
    </row>
    <row r="205" spans="2:11" s="1" customFormat="1" x14ac:dyDescent="0.25">
      <c r="B205" t="s">
        <v>116</v>
      </c>
      <c r="C205" t="s">
        <v>37</v>
      </c>
      <c r="D205" t="s">
        <v>38</v>
      </c>
      <c r="E205" t="s">
        <v>934</v>
      </c>
      <c r="F205" t="s">
        <v>426</v>
      </c>
      <c r="G205" s="7">
        <v>6</v>
      </c>
      <c r="H205" s="7">
        <v>5.28</v>
      </c>
      <c r="I205" s="7">
        <f t="shared" si="0"/>
        <v>0.71999999999999975</v>
      </c>
      <c r="J205" t="s">
        <v>894</v>
      </c>
      <c r="K205" s="85"/>
    </row>
    <row r="206" spans="2:11" s="1" customFormat="1" x14ac:dyDescent="0.25">
      <c r="B206" t="s">
        <v>114</v>
      </c>
      <c r="C206" t="s">
        <v>338</v>
      </c>
      <c r="D206" t="s">
        <v>38</v>
      </c>
      <c r="E206" t="s">
        <v>935</v>
      </c>
      <c r="F206" t="s">
        <v>1030</v>
      </c>
      <c r="G206" s="7">
        <v>13.2</v>
      </c>
      <c r="H206" s="7">
        <v>11.62</v>
      </c>
      <c r="I206" s="7">
        <f t="shared" si="0"/>
        <v>1.58</v>
      </c>
      <c r="J206" t="s">
        <v>894</v>
      </c>
      <c r="K206" s="85"/>
    </row>
    <row r="207" spans="2:11" s="1" customFormat="1" x14ac:dyDescent="0.25">
      <c r="B207" t="s">
        <v>114</v>
      </c>
      <c r="C207" t="s">
        <v>37</v>
      </c>
      <c r="D207" t="s">
        <v>38</v>
      </c>
      <c r="E207" t="s">
        <v>935</v>
      </c>
      <c r="F207" t="s">
        <v>426</v>
      </c>
      <c r="G207" s="7">
        <v>11</v>
      </c>
      <c r="H207" s="7">
        <v>9.68</v>
      </c>
      <c r="I207" s="7">
        <f t="shared" si="0"/>
        <v>1.3200000000000003</v>
      </c>
      <c r="J207" t="s">
        <v>894</v>
      </c>
      <c r="K207" s="85"/>
    </row>
    <row r="208" spans="2:11" s="1" customFormat="1" x14ac:dyDescent="0.25">
      <c r="B208" t="s">
        <v>114</v>
      </c>
      <c r="C208" t="s">
        <v>338</v>
      </c>
      <c r="D208" t="s">
        <v>38</v>
      </c>
      <c r="E208" t="s">
        <v>1399</v>
      </c>
      <c r="F208" t="s">
        <v>1030</v>
      </c>
      <c r="G208" s="7">
        <v>10.199999999999999</v>
      </c>
      <c r="H208" s="7">
        <v>8.98</v>
      </c>
      <c r="I208" s="7">
        <f t="shared" si="0"/>
        <v>1.2199999999999989</v>
      </c>
      <c r="J208" t="s">
        <v>894</v>
      </c>
      <c r="K208" s="85"/>
    </row>
    <row r="209" spans="2:11" s="1" customFormat="1" x14ac:dyDescent="0.25">
      <c r="B209" t="s">
        <v>114</v>
      </c>
      <c r="C209" t="s">
        <v>37</v>
      </c>
      <c r="D209" t="s">
        <v>38</v>
      </c>
      <c r="E209" t="s">
        <v>1399</v>
      </c>
      <c r="F209" t="s">
        <v>426</v>
      </c>
      <c r="G209" s="7">
        <v>8.5</v>
      </c>
      <c r="H209" s="7">
        <v>7.48</v>
      </c>
      <c r="I209" s="7">
        <f t="shared" si="0"/>
        <v>1.0199999999999996</v>
      </c>
      <c r="J209" t="s">
        <v>894</v>
      </c>
      <c r="K209" s="85"/>
    </row>
    <row r="210" spans="2:11" s="1" customFormat="1" x14ac:dyDescent="0.25">
      <c r="B210"/>
      <c r="C210"/>
      <c r="D210"/>
      <c r="E210"/>
      <c r="G210" s="86"/>
      <c r="H210" s="86"/>
      <c r="I210" s="7"/>
      <c r="J210"/>
      <c r="K210" s="85"/>
    </row>
    <row r="211" spans="2:11" s="1" customFormat="1" x14ac:dyDescent="0.25">
      <c r="B211"/>
      <c r="C211"/>
      <c r="D211"/>
      <c r="E211" s="8" t="s">
        <v>355</v>
      </c>
      <c r="G211" s="7"/>
      <c r="H211" s="7"/>
      <c r="I211" s="7"/>
      <c r="J211"/>
      <c r="K211" s="85"/>
    </row>
    <row r="212" spans="2:11" s="1" customFormat="1" x14ac:dyDescent="0.25">
      <c r="B212" t="s">
        <v>840</v>
      </c>
      <c r="C212" t="s">
        <v>338</v>
      </c>
      <c r="D212" t="s">
        <v>38</v>
      </c>
      <c r="E212" t="s">
        <v>1400</v>
      </c>
      <c r="F212" t="s">
        <v>1030</v>
      </c>
      <c r="G212" s="7">
        <v>0.54</v>
      </c>
      <c r="H212" s="7">
        <v>0.47299999999999998</v>
      </c>
      <c r="I212" s="7">
        <f>G212-H212</f>
        <v>6.700000000000006E-2</v>
      </c>
      <c r="J212" t="s">
        <v>894</v>
      </c>
      <c r="K212" s="85"/>
    </row>
    <row r="213" spans="2:11" s="1" customFormat="1" x14ac:dyDescent="0.25">
      <c r="B213" t="s">
        <v>840</v>
      </c>
      <c r="C213" t="s">
        <v>37</v>
      </c>
      <c r="D213" t="s">
        <v>38</v>
      </c>
      <c r="E213" t="s">
        <v>1400</v>
      </c>
      <c r="F213" t="s">
        <v>426</v>
      </c>
      <c r="G213" s="7">
        <v>0.44999999999999996</v>
      </c>
      <c r="H213" s="7">
        <v>0.39600000000000002</v>
      </c>
      <c r="I213" s="7">
        <f>G213-H213</f>
        <v>5.3999999999999937E-2</v>
      </c>
      <c r="J213" t="s">
        <v>894</v>
      </c>
      <c r="K213" s="85"/>
    </row>
    <row r="214" spans="2:11" s="1" customFormat="1" x14ac:dyDescent="0.25">
      <c r="B214" t="s">
        <v>840</v>
      </c>
      <c r="C214" t="s">
        <v>338</v>
      </c>
      <c r="D214" t="s">
        <v>38</v>
      </c>
      <c r="E214" t="s">
        <v>1400</v>
      </c>
      <c r="F214" t="s">
        <v>1030</v>
      </c>
      <c r="G214" s="7">
        <v>0.45</v>
      </c>
      <c r="H214" s="7">
        <v>0.39600000000000002</v>
      </c>
      <c r="I214" s="7">
        <f t="shared" ref="I214:I217" si="1">G214-H214</f>
        <v>5.3999999999999992E-2</v>
      </c>
      <c r="J214" t="s">
        <v>894</v>
      </c>
      <c r="K214" s="85"/>
    </row>
    <row r="215" spans="2:11" s="1" customFormat="1" x14ac:dyDescent="0.25">
      <c r="B215" t="s">
        <v>840</v>
      </c>
      <c r="C215" t="s">
        <v>37</v>
      </c>
      <c r="D215" t="s">
        <v>38</v>
      </c>
      <c r="E215" t="s">
        <v>1401</v>
      </c>
      <c r="F215" t="s">
        <v>426</v>
      </c>
      <c r="G215" s="7">
        <v>0.72</v>
      </c>
      <c r="H215" s="7">
        <v>0.6379999999999999</v>
      </c>
      <c r="I215" s="7">
        <f t="shared" si="1"/>
        <v>8.2000000000000073E-2</v>
      </c>
      <c r="J215" t="s">
        <v>894</v>
      </c>
      <c r="K215" s="85"/>
    </row>
    <row r="216" spans="2:11" s="1" customFormat="1" x14ac:dyDescent="0.25">
      <c r="B216" t="s">
        <v>840</v>
      </c>
      <c r="C216" t="s">
        <v>338</v>
      </c>
      <c r="D216" t="s">
        <v>38</v>
      </c>
      <c r="E216" t="s">
        <v>1401</v>
      </c>
      <c r="F216" t="s">
        <v>1030</v>
      </c>
      <c r="G216" s="7">
        <v>0.60000000000000009</v>
      </c>
      <c r="H216" s="7">
        <v>0.52800000000000002</v>
      </c>
      <c r="I216" s="7">
        <f t="shared" si="1"/>
        <v>7.2000000000000064E-2</v>
      </c>
      <c r="J216" t="s">
        <v>894</v>
      </c>
      <c r="K216" s="85"/>
    </row>
    <row r="217" spans="2:11" s="1" customFormat="1" x14ac:dyDescent="0.25">
      <c r="B217" t="s">
        <v>840</v>
      </c>
      <c r="C217" t="s">
        <v>37</v>
      </c>
      <c r="D217" t="s">
        <v>38</v>
      </c>
      <c r="E217" t="s">
        <v>1401</v>
      </c>
      <c r="F217" t="s">
        <v>426</v>
      </c>
      <c r="G217" s="7">
        <v>0.6</v>
      </c>
      <c r="H217" s="7">
        <v>0.52800000000000002</v>
      </c>
      <c r="I217" s="7">
        <f t="shared" si="1"/>
        <v>7.1999999999999953E-2</v>
      </c>
      <c r="J217" t="s">
        <v>894</v>
      </c>
      <c r="K217" s="85"/>
    </row>
    <row r="218" spans="2:11" s="1" customFormat="1" x14ac:dyDescent="0.25">
      <c r="B218"/>
      <c r="C218"/>
      <c r="D218"/>
      <c r="E218"/>
      <c r="G218" s="86"/>
      <c r="H218" s="86"/>
      <c r="I218" s="7"/>
      <c r="J218"/>
      <c r="K218" s="85"/>
    </row>
    <row r="219" spans="2:11" s="1" customFormat="1" x14ac:dyDescent="0.25">
      <c r="B219"/>
      <c r="C219"/>
      <c r="D219"/>
      <c r="E219" s="8" t="s">
        <v>357</v>
      </c>
      <c r="G219" s="7"/>
      <c r="H219" s="7"/>
      <c r="I219" s="7"/>
      <c r="J219"/>
      <c r="K219" s="85"/>
    </row>
    <row r="220" spans="2:11" s="1" customFormat="1" x14ac:dyDescent="0.25">
      <c r="B220" t="s">
        <v>136</v>
      </c>
      <c r="C220" t="s">
        <v>338</v>
      </c>
      <c r="D220" t="s">
        <v>38</v>
      </c>
      <c r="E220" t="s">
        <v>1402</v>
      </c>
      <c r="F220" t="s">
        <v>1030</v>
      </c>
      <c r="G220" s="7">
        <v>0.9</v>
      </c>
      <c r="H220" s="7">
        <v>0.79</v>
      </c>
      <c r="I220" s="7">
        <f>G220-H220</f>
        <v>0.10999999999999999</v>
      </c>
      <c r="J220" t="s">
        <v>894</v>
      </c>
      <c r="K220" s="85"/>
    </row>
    <row r="221" spans="2:11" s="1" customFormat="1" x14ac:dyDescent="0.25">
      <c r="B221" t="s">
        <v>136</v>
      </c>
      <c r="C221" t="s">
        <v>37</v>
      </c>
      <c r="D221" t="s">
        <v>38</v>
      </c>
      <c r="E221" t="s">
        <v>1402</v>
      </c>
      <c r="F221" t="s">
        <v>426</v>
      </c>
      <c r="G221" s="7">
        <v>0.75</v>
      </c>
      <c r="H221" s="7">
        <v>0.66</v>
      </c>
      <c r="I221" s="7">
        <f>G221-H221</f>
        <v>8.9999999999999969E-2</v>
      </c>
      <c r="J221" t="s">
        <v>894</v>
      </c>
      <c r="K221" s="85"/>
    </row>
    <row r="222" spans="2:11" s="1" customFormat="1" x14ac:dyDescent="0.25">
      <c r="B222" t="s">
        <v>136</v>
      </c>
      <c r="C222" t="s">
        <v>338</v>
      </c>
      <c r="D222" t="s">
        <v>38</v>
      </c>
      <c r="E222" t="s">
        <v>1155</v>
      </c>
      <c r="F222" t="s">
        <v>1030</v>
      </c>
      <c r="G222" s="7">
        <v>1.2</v>
      </c>
      <c r="H222" s="7">
        <v>1.06</v>
      </c>
      <c r="I222" s="7">
        <f>G222-H222</f>
        <v>0.1399999999999999</v>
      </c>
      <c r="J222" t="s">
        <v>894</v>
      </c>
      <c r="K222" s="85"/>
    </row>
    <row r="223" spans="2:11" s="1" customFormat="1" x14ac:dyDescent="0.25">
      <c r="B223" t="s">
        <v>136</v>
      </c>
      <c r="C223" t="s">
        <v>37</v>
      </c>
      <c r="D223" t="s">
        <v>38</v>
      </c>
      <c r="E223" t="s">
        <v>1155</v>
      </c>
      <c r="F223" t="s">
        <v>426</v>
      </c>
      <c r="G223" s="7">
        <v>1</v>
      </c>
      <c r="H223" s="7">
        <v>0.88</v>
      </c>
      <c r="I223" s="7">
        <f t="shared" ref="I223:I227" si="2">G223-H223</f>
        <v>0.12</v>
      </c>
      <c r="J223" t="s">
        <v>894</v>
      </c>
      <c r="K223" s="85"/>
    </row>
    <row r="224" spans="2:11" s="1" customFormat="1" x14ac:dyDescent="0.25">
      <c r="B224" t="s">
        <v>138</v>
      </c>
      <c r="C224" t="s">
        <v>338</v>
      </c>
      <c r="D224" t="s">
        <v>38</v>
      </c>
      <c r="E224" t="s">
        <v>1156</v>
      </c>
      <c r="F224" t="s">
        <v>1030</v>
      </c>
      <c r="G224" s="7">
        <v>2.64</v>
      </c>
      <c r="H224" s="7">
        <v>2.3199999999999998</v>
      </c>
      <c r="I224" s="7">
        <f t="shared" si="2"/>
        <v>0.32000000000000028</v>
      </c>
      <c r="J224" t="s">
        <v>894</v>
      </c>
      <c r="K224" s="85"/>
    </row>
    <row r="225" spans="2:11" s="1" customFormat="1" x14ac:dyDescent="0.25">
      <c r="B225" t="s">
        <v>138</v>
      </c>
      <c r="C225" t="s">
        <v>37</v>
      </c>
      <c r="D225" t="s">
        <v>38</v>
      </c>
      <c r="E225" t="s">
        <v>1156</v>
      </c>
      <c r="F225" t="s">
        <v>426</v>
      </c>
      <c r="G225" s="7">
        <v>2.2000000000000002</v>
      </c>
      <c r="H225" s="7">
        <v>1.94</v>
      </c>
      <c r="I225" s="7">
        <f t="shared" si="2"/>
        <v>0.26000000000000023</v>
      </c>
      <c r="J225" t="s">
        <v>894</v>
      </c>
      <c r="K225" s="85"/>
    </row>
    <row r="226" spans="2:11" s="1" customFormat="1" x14ac:dyDescent="0.25">
      <c r="B226" t="s">
        <v>138</v>
      </c>
      <c r="C226" t="s">
        <v>338</v>
      </c>
      <c r="D226" t="s">
        <v>38</v>
      </c>
      <c r="E226" t="s">
        <v>1157</v>
      </c>
      <c r="F226" t="s">
        <v>1030</v>
      </c>
      <c r="G226" s="7">
        <v>2.04</v>
      </c>
      <c r="H226" s="7">
        <v>1.79</v>
      </c>
      <c r="I226" s="7">
        <f t="shared" si="2"/>
        <v>0.25</v>
      </c>
      <c r="J226" t="s">
        <v>894</v>
      </c>
      <c r="K226" s="85"/>
    </row>
    <row r="227" spans="2:11" s="1" customFormat="1" x14ac:dyDescent="0.25">
      <c r="B227" t="s">
        <v>138</v>
      </c>
      <c r="C227" t="s">
        <v>37</v>
      </c>
      <c r="D227" t="s">
        <v>38</v>
      </c>
      <c r="E227" t="s">
        <v>1157</v>
      </c>
      <c r="F227" t="s">
        <v>426</v>
      </c>
      <c r="G227" s="7">
        <v>1.7</v>
      </c>
      <c r="H227" s="7">
        <v>1.5</v>
      </c>
      <c r="I227" s="7">
        <f t="shared" si="2"/>
        <v>0.19999999999999996</v>
      </c>
      <c r="J227" t="s">
        <v>894</v>
      </c>
      <c r="K227" s="85"/>
    </row>
    <row r="228" spans="2:11" s="1" customFormat="1" x14ac:dyDescent="0.25">
      <c r="B228"/>
      <c r="C228"/>
      <c r="D228"/>
      <c r="E228"/>
      <c r="G228" s="86"/>
      <c r="H228" s="86"/>
      <c r="I228" s="7"/>
      <c r="J228"/>
      <c r="K228" s="85"/>
    </row>
    <row r="229" spans="2:11" x14ac:dyDescent="0.25">
      <c r="E229" s="8" t="s">
        <v>376</v>
      </c>
      <c r="I229" s="7"/>
    </row>
    <row r="230" spans="2:11" x14ac:dyDescent="0.25">
      <c r="B230" t="s">
        <v>845</v>
      </c>
      <c r="C230" t="s">
        <v>338</v>
      </c>
      <c r="D230" t="s">
        <v>38</v>
      </c>
      <c r="E230" t="s">
        <v>936</v>
      </c>
      <c r="F230" t="s">
        <v>1030</v>
      </c>
      <c r="G230" s="7">
        <v>420</v>
      </c>
      <c r="H230" s="7">
        <v>323.39999999999998</v>
      </c>
      <c r="I230" s="7">
        <f t="shared" si="0"/>
        <v>96.600000000000023</v>
      </c>
      <c r="J230" t="s">
        <v>894</v>
      </c>
    </row>
    <row r="231" spans="2:11" x14ac:dyDescent="0.25">
      <c r="B231" t="s">
        <v>845</v>
      </c>
      <c r="C231" t="s">
        <v>37</v>
      </c>
      <c r="D231" t="s">
        <v>38</v>
      </c>
      <c r="E231" t="s">
        <v>936</v>
      </c>
      <c r="F231" t="s">
        <v>426</v>
      </c>
      <c r="G231" s="7">
        <v>350</v>
      </c>
      <c r="H231" s="7">
        <v>269.5</v>
      </c>
      <c r="I231" s="7">
        <f t="shared" ref="I231" si="3">G231-H231</f>
        <v>80.5</v>
      </c>
      <c r="J231" t="s">
        <v>894</v>
      </c>
    </row>
    <row r="232" spans="2:11" x14ac:dyDescent="0.25">
      <c r="B232" t="s">
        <v>183</v>
      </c>
      <c r="C232" t="s">
        <v>338</v>
      </c>
      <c r="D232" t="s">
        <v>38</v>
      </c>
      <c r="E232" t="s">
        <v>937</v>
      </c>
      <c r="F232" t="s">
        <v>1030</v>
      </c>
      <c r="G232" s="7">
        <v>24</v>
      </c>
      <c r="H232" s="7">
        <v>18.48</v>
      </c>
      <c r="I232" s="7">
        <f t="shared" si="0"/>
        <v>5.52</v>
      </c>
      <c r="J232" t="s">
        <v>894</v>
      </c>
    </row>
    <row r="233" spans="2:11" x14ac:dyDescent="0.25">
      <c r="B233" t="s">
        <v>183</v>
      </c>
      <c r="C233" t="s">
        <v>37</v>
      </c>
      <c r="D233" t="s">
        <v>38</v>
      </c>
      <c r="E233" t="s">
        <v>937</v>
      </c>
      <c r="F233" t="s">
        <v>426</v>
      </c>
      <c r="G233" s="7">
        <v>20</v>
      </c>
      <c r="H233" s="7">
        <v>15.4</v>
      </c>
      <c r="I233" s="7">
        <f t="shared" si="0"/>
        <v>4.5999999999999996</v>
      </c>
      <c r="J233" t="s">
        <v>894</v>
      </c>
    </row>
    <row r="234" spans="2:11" x14ac:dyDescent="0.25">
      <c r="B234" t="s">
        <v>183</v>
      </c>
      <c r="C234" t="s">
        <v>338</v>
      </c>
      <c r="D234" t="s">
        <v>38</v>
      </c>
      <c r="E234" t="s">
        <v>938</v>
      </c>
      <c r="F234" t="s">
        <v>1030</v>
      </c>
      <c r="G234" s="7">
        <v>33</v>
      </c>
      <c r="H234" s="7">
        <v>25.41</v>
      </c>
      <c r="I234" s="7">
        <f t="shared" si="0"/>
        <v>7.59</v>
      </c>
      <c r="J234" t="s">
        <v>894</v>
      </c>
    </row>
    <row r="235" spans="2:11" x14ac:dyDescent="0.25">
      <c r="B235" t="s">
        <v>183</v>
      </c>
      <c r="C235" t="s">
        <v>37</v>
      </c>
      <c r="D235" t="s">
        <v>38</v>
      </c>
      <c r="E235" t="s">
        <v>938</v>
      </c>
      <c r="F235" t="s">
        <v>426</v>
      </c>
      <c r="G235" s="7">
        <v>27.5</v>
      </c>
      <c r="H235" s="7">
        <v>21.18</v>
      </c>
      <c r="I235" s="7">
        <f t="shared" si="0"/>
        <v>6.32</v>
      </c>
      <c r="J235" t="s">
        <v>894</v>
      </c>
    </row>
    <row r="236" spans="2:11" x14ac:dyDescent="0.25">
      <c r="B236" t="s">
        <v>238</v>
      </c>
      <c r="C236" t="s">
        <v>338</v>
      </c>
      <c r="D236" t="s">
        <v>38</v>
      </c>
      <c r="E236" t="s">
        <v>939</v>
      </c>
      <c r="F236" t="s">
        <v>1030</v>
      </c>
      <c r="G236" s="7">
        <v>33.6</v>
      </c>
      <c r="H236" s="7">
        <v>25.87</v>
      </c>
      <c r="I236" s="7">
        <f t="shared" si="0"/>
        <v>7.73</v>
      </c>
      <c r="J236" t="s">
        <v>894</v>
      </c>
    </row>
    <row r="237" spans="2:11" x14ac:dyDescent="0.25">
      <c r="B237" t="s">
        <v>238</v>
      </c>
      <c r="C237" t="s">
        <v>37</v>
      </c>
      <c r="D237" t="s">
        <v>38</v>
      </c>
      <c r="E237" t="s">
        <v>939</v>
      </c>
      <c r="F237" t="s">
        <v>426</v>
      </c>
      <c r="G237" s="7">
        <v>28</v>
      </c>
      <c r="H237" s="7">
        <v>21.56</v>
      </c>
      <c r="I237" s="7">
        <f t="shared" si="0"/>
        <v>6.4400000000000013</v>
      </c>
      <c r="J237" t="s">
        <v>894</v>
      </c>
    </row>
    <row r="238" spans="2:11" x14ac:dyDescent="0.25">
      <c r="B238" t="s">
        <v>185</v>
      </c>
      <c r="C238" t="s">
        <v>338</v>
      </c>
      <c r="D238" t="s">
        <v>38</v>
      </c>
      <c r="E238" t="s">
        <v>940</v>
      </c>
      <c r="F238" t="s">
        <v>1030</v>
      </c>
      <c r="G238" s="7">
        <v>36</v>
      </c>
      <c r="H238" s="7">
        <v>27.72</v>
      </c>
      <c r="I238" s="7">
        <f t="shared" si="0"/>
        <v>8.2800000000000011</v>
      </c>
      <c r="J238" t="s">
        <v>894</v>
      </c>
    </row>
    <row r="239" spans="2:11" x14ac:dyDescent="0.25">
      <c r="B239" t="s">
        <v>185</v>
      </c>
      <c r="C239" t="s">
        <v>37</v>
      </c>
      <c r="D239" t="s">
        <v>38</v>
      </c>
      <c r="E239" t="s">
        <v>940</v>
      </c>
      <c r="F239" t="s">
        <v>426</v>
      </c>
      <c r="G239" s="7">
        <v>30</v>
      </c>
      <c r="H239" s="7">
        <v>23.1</v>
      </c>
      <c r="I239" s="7">
        <f t="shared" si="0"/>
        <v>6.8999999999999986</v>
      </c>
      <c r="J239" t="s">
        <v>894</v>
      </c>
    </row>
    <row r="240" spans="2:11" x14ac:dyDescent="0.25">
      <c r="B240" t="s">
        <v>185</v>
      </c>
      <c r="C240" t="s">
        <v>338</v>
      </c>
      <c r="D240" t="s">
        <v>38</v>
      </c>
      <c r="E240" t="s">
        <v>941</v>
      </c>
      <c r="F240" t="s">
        <v>1030</v>
      </c>
      <c r="G240" s="7">
        <v>49.56</v>
      </c>
      <c r="H240" s="7">
        <v>38.159999999999997</v>
      </c>
      <c r="I240" s="7">
        <f t="shared" si="0"/>
        <v>11.400000000000006</v>
      </c>
      <c r="J240" t="s">
        <v>894</v>
      </c>
    </row>
    <row r="241" spans="2:10" x14ac:dyDescent="0.25">
      <c r="B241" t="s">
        <v>185</v>
      </c>
      <c r="C241" t="s">
        <v>37</v>
      </c>
      <c r="D241" t="s">
        <v>38</v>
      </c>
      <c r="E241" t="s">
        <v>941</v>
      </c>
      <c r="F241" t="s">
        <v>426</v>
      </c>
      <c r="G241" s="7">
        <v>41.3</v>
      </c>
      <c r="H241" s="7">
        <v>31.8</v>
      </c>
      <c r="I241" s="7">
        <f t="shared" si="0"/>
        <v>9.4999999999999964</v>
      </c>
      <c r="J241" t="s">
        <v>894</v>
      </c>
    </row>
    <row r="242" spans="2:10" x14ac:dyDescent="0.25">
      <c r="B242" t="s">
        <v>240</v>
      </c>
      <c r="C242" t="s">
        <v>338</v>
      </c>
      <c r="D242" t="s">
        <v>38</v>
      </c>
      <c r="E242" t="s">
        <v>942</v>
      </c>
      <c r="F242" t="s">
        <v>1030</v>
      </c>
      <c r="G242" s="7">
        <v>1.68</v>
      </c>
      <c r="H242" s="7">
        <v>1.3</v>
      </c>
      <c r="I242" s="7">
        <f t="shared" si="0"/>
        <v>0.37999999999999989</v>
      </c>
      <c r="J242" t="s">
        <v>894</v>
      </c>
    </row>
    <row r="243" spans="2:10" x14ac:dyDescent="0.25">
      <c r="B243" t="s">
        <v>240</v>
      </c>
      <c r="C243" t="s">
        <v>37</v>
      </c>
      <c r="D243" t="s">
        <v>38</v>
      </c>
      <c r="E243" t="s">
        <v>942</v>
      </c>
      <c r="F243" t="s">
        <v>426</v>
      </c>
      <c r="G243" s="7">
        <v>1.4</v>
      </c>
      <c r="H243" s="7">
        <v>1.08</v>
      </c>
      <c r="I243" s="7">
        <f t="shared" si="0"/>
        <v>0.31999999999999984</v>
      </c>
      <c r="J243" t="s">
        <v>894</v>
      </c>
    </row>
    <row r="244" spans="2:10" x14ac:dyDescent="0.25">
      <c r="B244" t="s">
        <v>242</v>
      </c>
      <c r="C244" t="s">
        <v>338</v>
      </c>
      <c r="D244" t="s">
        <v>38</v>
      </c>
      <c r="E244" t="s">
        <v>943</v>
      </c>
      <c r="F244" t="s">
        <v>1030</v>
      </c>
      <c r="G244" s="7">
        <v>891</v>
      </c>
      <c r="H244" s="7">
        <v>686.07</v>
      </c>
      <c r="I244" s="7">
        <f t="shared" si="0"/>
        <v>204.92999999999995</v>
      </c>
      <c r="J244" t="s">
        <v>894</v>
      </c>
    </row>
    <row r="245" spans="2:10" x14ac:dyDescent="0.25">
      <c r="B245" t="s">
        <v>242</v>
      </c>
      <c r="C245" t="s">
        <v>37</v>
      </c>
      <c r="D245" t="s">
        <v>38</v>
      </c>
      <c r="E245" t="s">
        <v>943</v>
      </c>
      <c r="F245" t="s">
        <v>426</v>
      </c>
      <c r="G245" s="7">
        <v>742.5</v>
      </c>
      <c r="H245" s="7">
        <v>571.73</v>
      </c>
      <c r="I245" s="7">
        <f t="shared" si="0"/>
        <v>170.76999999999998</v>
      </c>
      <c r="J245" t="s">
        <v>894</v>
      </c>
    </row>
    <row r="246" spans="2:10" x14ac:dyDescent="0.25">
      <c r="B246" t="s">
        <v>248</v>
      </c>
      <c r="C246" t="s">
        <v>338</v>
      </c>
      <c r="D246" t="s">
        <v>38</v>
      </c>
      <c r="E246" t="s">
        <v>944</v>
      </c>
      <c r="F246" t="s">
        <v>1030</v>
      </c>
      <c r="G246" s="7">
        <v>2673</v>
      </c>
      <c r="H246" s="7">
        <v>2058.21</v>
      </c>
      <c r="I246" s="7">
        <f t="shared" si="0"/>
        <v>614.79</v>
      </c>
      <c r="J246" t="s">
        <v>894</v>
      </c>
    </row>
    <row r="247" spans="2:10" x14ac:dyDescent="0.25">
      <c r="B247" t="s">
        <v>248</v>
      </c>
      <c r="C247" t="s">
        <v>37</v>
      </c>
      <c r="D247" t="s">
        <v>38</v>
      </c>
      <c r="E247" t="s">
        <v>944</v>
      </c>
      <c r="F247" t="s">
        <v>426</v>
      </c>
      <c r="G247" s="7">
        <v>2227.5</v>
      </c>
      <c r="H247" s="7">
        <v>1715.18</v>
      </c>
      <c r="I247" s="7">
        <f t="shared" si="0"/>
        <v>512.31999999999994</v>
      </c>
      <c r="J247" t="s">
        <v>894</v>
      </c>
    </row>
    <row r="248" spans="2:10" x14ac:dyDescent="0.25">
      <c r="B248" t="s">
        <v>736</v>
      </c>
      <c r="C248" t="s">
        <v>338</v>
      </c>
      <c r="D248" t="s">
        <v>38</v>
      </c>
      <c r="E248" t="s">
        <v>1082</v>
      </c>
      <c r="F248" t="s">
        <v>1030</v>
      </c>
      <c r="G248" s="7">
        <v>5214</v>
      </c>
      <c r="H248" s="7">
        <v>4014.78</v>
      </c>
      <c r="I248" s="7">
        <f t="shared" si="0"/>
        <v>1199.2199999999998</v>
      </c>
      <c r="J248" t="s">
        <v>894</v>
      </c>
    </row>
    <row r="249" spans="2:10" x14ac:dyDescent="0.25">
      <c r="B249" t="s">
        <v>736</v>
      </c>
      <c r="C249" t="s">
        <v>37</v>
      </c>
      <c r="D249" t="s">
        <v>38</v>
      </c>
      <c r="E249" t="s">
        <v>1082</v>
      </c>
      <c r="F249" t="s">
        <v>426</v>
      </c>
      <c r="G249" s="7">
        <v>4345</v>
      </c>
      <c r="H249" s="7">
        <v>3345.65</v>
      </c>
      <c r="I249" s="7">
        <f t="shared" si="0"/>
        <v>999.34999999999991</v>
      </c>
      <c r="J249" t="s">
        <v>894</v>
      </c>
    </row>
    <row r="250" spans="2:10" x14ac:dyDescent="0.25">
      <c r="B250" t="s">
        <v>251</v>
      </c>
      <c r="C250" t="s">
        <v>338</v>
      </c>
      <c r="D250" t="s">
        <v>38</v>
      </c>
      <c r="E250" t="s">
        <v>1083</v>
      </c>
      <c r="F250" t="s">
        <v>1030</v>
      </c>
      <c r="G250" s="7">
        <v>7920</v>
      </c>
      <c r="H250" s="7">
        <v>6098.4</v>
      </c>
      <c r="I250" s="7">
        <f t="shared" si="0"/>
        <v>1821.6000000000004</v>
      </c>
      <c r="J250" t="s">
        <v>894</v>
      </c>
    </row>
    <row r="251" spans="2:10" x14ac:dyDescent="0.25">
      <c r="B251" t="s">
        <v>251</v>
      </c>
      <c r="C251" t="s">
        <v>37</v>
      </c>
      <c r="D251" t="s">
        <v>38</v>
      </c>
      <c r="E251" t="s">
        <v>1083</v>
      </c>
      <c r="F251" t="s">
        <v>426</v>
      </c>
      <c r="G251" s="7">
        <v>6600</v>
      </c>
      <c r="H251" s="7">
        <v>5082</v>
      </c>
      <c r="I251" s="7">
        <f t="shared" si="0"/>
        <v>1518</v>
      </c>
      <c r="J251" t="s">
        <v>894</v>
      </c>
    </row>
    <row r="252" spans="2:10" x14ac:dyDescent="0.25">
      <c r="B252" t="s">
        <v>177</v>
      </c>
      <c r="C252" t="s">
        <v>338</v>
      </c>
      <c r="D252" t="s">
        <v>38</v>
      </c>
      <c r="E252" t="s">
        <v>945</v>
      </c>
      <c r="F252" t="s">
        <v>1030</v>
      </c>
      <c r="G252" s="7">
        <v>118.8</v>
      </c>
      <c r="H252" s="7">
        <v>91.48</v>
      </c>
      <c r="I252" s="7">
        <f t="shared" si="0"/>
        <v>27.319999999999993</v>
      </c>
      <c r="J252" t="s">
        <v>894</v>
      </c>
    </row>
    <row r="253" spans="2:10" x14ac:dyDescent="0.25">
      <c r="B253" t="s">
        <v>177</v>
      </c>
      <c r="C253" t="s">
        <v>37</v>
      </c>
      <c r="D253" t="s">
        <v>38</v>
      </c>
      <c r="E253" t="s">
        <v>945</v>
      </c>
      <c r="F253" t="s">
        <v>426</v>
      </c>
      <c r="G253" s="7">
        <v>99</v>
      </c>
      <c r="H253" s="7">
        <v>76.53</v>
      </c>
      <c r="I253" s="7">
        <f t="shared" si="0"/>
        <v>22.47</v>
      </c>
      <c r="J253" t="s">
        <v>894</v>
      </c>
    </row>
    <row r="254" spans="2:10" x14ac:dyDescent="0.25">
      <c r="B254" t="s">
        <v>177</v>
      </c>
      <c r="C254" t="s">
        <v>338</v>
      </c>
      <c r="D254" t="s">
        <v>38</v>
      </c>
      <c r="E254" t="s">
        <v>1090</v>
      </c>
      <c r="F254" t="s">
        <v>1030</v>
      </c>
      <c r="G254" s="7">
        <v>14.4</v>
      </c>
      <c r="H254" s="7">
        <v>11.09</v>
      </c>
      <c r="I254" s="7">
        <f t="shared" si="0"/>
        <v>3.3100000000000005</v>
      </c>
      <c r="J254" t="s">
        <v>894</v>
      </c>
    </row>
    <row r="255" spans="2:10" x14ac:dyDescent="0.25">
      <c r="B255" t="s">
        <v>177</v>
      </c>
      <c r="C255" t="s">
        <v>37</v>
      </c>
      <c r="D255" t="s">
        <v>38</v>
      </c>
      <c r="E255" t="s">
        <v>1090</v>
      </c>
      <c r="F255" t="s">
        <v>426</v>
      </c>
      <c r="G255" s="7">
        <v>12</v>
      </c>
      <c r="H255" s="7">
        <v>9.24</v>
      </c>
      <c r="I255" s="7">
        <f t="shared" si="0"/>
        <v>2.76</v>
      </c>
      <c r="J255" t="s">
        <v>894</v>
      </c>
    </row>
    <row r="256" spans="2:10" x14ac:dyDescent="0.25">
      <c r="B256" t="s">
        <v>177</v>
      </c>
      <c r="C256" t="s">
        <v>338</v>
      </c>
      <c r="D256" t="s">
        <v>38</v>
      </c>
      <c r="E256" t="s">
        <v>1089</v>
      </c>
      <c r="F256" t="s">
        <v>1030</v>
      </c>
      <c r="G256" s="7">
        <v>86.4</v>
      </c>
      <c r="H256" s="7">
        <v>66.53</v>
      </c>
      <c r="I256" s="7">
        <f t="shared" si="0"/>
        <v>19.870000000000005</v>
      </c>
      <c r="J256" t="s">
        <v>894</v>
      </c>
    </row>
    <row r="257" spans="2:10" x14ac:dyDescent="0.25">
      <c r="B257" t="s">
        <v>177</v>
      </c>
      <c r="C257" t="s">
        <v>37</v>
      </c>
      <c r="D257" t="s">
        <v>38</v>
      </c>
      <c r="E257" t="s">
        <v>1089</v>
      </c>
      <c r="F257" t="s">
        <v>426</v>
      </c>
      <c r="G257" s="7">
        <v>72</v>
      </c>
      <c r="H257" s="7">
        <v>55.4</v>
      </c>
      <c r="I257" s="7">
        <f t="shared" si="0"/>
        <v>16.600000000000001</v>
      </c>
      <c r="J257" t="s">
        <v>894</v>
      </c>
    </row>
    <row r="258" spans="2:10" x14ac:dyDescent="0.25">
      <c r="I258" s="7"/>
    </row>
    <row r="259" spans="2:10" x14ac:dyDescent="0.25">
      <c r="E259" s="8" t="s">
        <v>368</v>
      </c>
      <c r="I259" s="7"/>
    </row>
    <row r="260" spans="2:10" x14ac:dyDescent="0.25">
      <c r="E260" s="8" t="s">
        <v>370</v>
      </c>
      <c r="I260" s="7"/>
    </row>
    <row r="261" spans="2:10" x14ac:dyDescent="0.25">
      <c r="B261" t="s">
        <v>172</v>
      </c>
      <c r="C261" t="s">
        <v>338</v>
      </c>
      <c r="D261" t="s">
        <v>38</v>
      </c>
      <c r="E261" t="s">
        <v>946</v>
      </c>
      <c r="F261" t="s">
        <v>1030</v>
      </c>
      <c r="G261" s="7">
        <v>198</v>
      </c>
      <c r="H261" s="7">
        <v>152.46</v>
      </c>
      <c r="I261" s="7">
        <f t="shared" si="0"/>
        <v>45.539999999999992</v>
      </c>
      <c r="J261" t="s">
        <v>894</v>
      </c>
    </row>
    <row r="262" spans="2:10" x14ac:dyDescent="0.25">
      <c r="B262" t="s">
        <v>172</v>
      </c>
      <c r="C262" t="s">
        <v>37</v>
      </c>
      <c r="D262" t="s">
        <v>38</v>
      </c>
      <c r="E262" t="s">
        <v>946</v>
      </c>
      <c r="F262" t="s">
        <v>426</v>
      </c>
      <c r="G262" s="7">
        <v>165</v>
      </c>
      <c r="H262" s="7">
        <v>127.05</v>
      </c>
      <c r="I262" s="7">
        <f t="shared" ref="I262:I276" si="4">G262-H262</f>
        <v>37.950000000000003</v>
      </c>
      <c r="J262" t="s">
        <v>894</v>
      </c>
    </row>
    <row r="263" spans="2:10" x14ac:dyDescent="0.25">
      <c r="B263" t="s">
        <v>168</v>
      </c>
      <c r="C263" t="s">
        <v>338</v>
      </c>
      <c r="D263" t="s">
        <v>38</v>
      </c>
      <c r="E263" t="s">
        <v>947</v>
      </c>
      <c r="F263" t="s">
        <v>1030</v>
      </c>
      <c r="G263" s="7">
        <v>6.6</v>
      </c>
      <c r="H263" s="7">
        <v>5.08</v>
      </c>
      <c r="I263" s="7">
        <f t="shared" si="4"/>
        <v>1.5199999999999996</v>
      </c>
      <c r="J263" t="s">
        <v>894</v>
      </c>
    </row>
    <row r="264" spans="2:10" x14ac:dyDescent="0.25">
      <c r="B264" t="s">
        <v>168</v>
      </c>
      <c r="C264" t="s">
        <v>37</v>
      </c>
      <c r="D264" t="s">
        <v>38</v>
      </c>
      <c r="E264" t="s">
        <v>947</v>
      </c>
      <c r="F264" t="s">
        <v>426</v>
      </c>
      <c r="G264" s="7">
        <v>5.5</v>
      </c>
      <c r="H264" s="7">
        <v>4.24</v>
      </c>
      <c r="I264" s="7">
        <f t="shared" si="4"/>
        <v>1.2599999999999998</v>
      </c>
      <c r="J264" t="s">
        <v>894</v>
      </c>
    </row>
    <row r="265" spans="2:10" x14ac:dyDescent="0.25">
      <c r="B265" t="s">
        <v>168</v>
      </c>
      <c r="C265" t="s">
        <v>338</v>
      </c>
      <c r="D265" t="s">
        <v>38</v>
      </c>
      <c r="E265" t="s">
        <v>1036</v>
      </c>
      <c r="F265" t="s">
        <v>1030</v>
      </c>
      <c r="G265" s="7">
        <v>2.4</v>
      </c>
      <c r="H265" s="7">
        <v>1.85</v>
      </c>
      <c r="I265" s="7">
        <f t="shared" si="4"/>
        <v>0.54999999999999982</v>
      </c>
      <c r="J265" t="s">
        <v>894</v>
      </c>
    </row>
    <row r="266" spans="2:10" x14ac:dyDescent="0.25">
      <c r="B266" t="s">
        <v>168</v>
      </c>
      <c r="C266" t="s">
        <v>37</v>
      </c>
      <c r="D266" t="s">
        <v>38</v>
      </c>
      <c r="E266" t="s">
        <v>1036</v>
      </c>
      <c r="F266" t="s">
        <v>426</v>
      </c>
      <c r="G266" s="7">
        <v>2</v>
      </c>
      <c r="H266" s="7">
        <v>1.54</v>
      </c>
      <c r="I266" s="7">
        <f t="shared" si="4"/>
        <v>0.45999999999999996</v>
      </c>
      <c r="J266" t="s">
        <v>894</v>
      </c>
    </row>
    <row r="267" spans="2:10" x14ac:dyDescent="0.25">
      <c r="B267" t="s">
        <v>168</v>
      </c>
      <c r="C267" t="s">
        <v>338</v>
      </c>
      <c r="D267" t="s">
        <v>38</v>
      </c>
      <c r="E267" t="s">
        <v>1037</v>
      </c>
      <c r="F267" t="s">
        <v>1030</v>
      </c>
      <c r="G267" s="7">
        <v>240</v>
      </c>
      <c r="H267" s="7">
        <v>184.8</v>
      </c>
      <c r="I267" s="7">
        <f t="shared" si="4"/>
        <v>55.199999999999989</v>
      </c>
      <c r="J267" t="s">
        <v>894</v>
      </c>
    </row>
    <row r="268" spans="2:10" x14ac:dyDescent="0.25">
      <c r="B268" t="s">
        <v>168</v>
      </c>
      <c r="C268" t="s">
        <v>37</v>
      </c>
      <c r="D268" t="s">
        <v>38</v>
      </c>
      <c r="E268" t="s">
        <v>1037</v>
      </c>
      <c r="F268" t="s">
        <v>426</v>
      </c>
      <c r="G268" s="7">
        <v>200</v>
      </c>
      <c r="H268" s="7">
        <v>154</v>
      </c>
      <c r="I268" s="7">
        <f t="shared" si="4"/>
        <v>46</v>
      </c>
      <c r="J268" t="s">
        <v>894</v>
      </c>
    </row>
    <row r="269" spans="2:10" x14ac:dyDescent="0.25">
      <c r="B269" t="s">
        <v>168</v>
      </c>
      <c r="C269" t="s">
        <v>338</v>
      </c>
      <c r="D269" t="s">
        <v>38</v>
      </c>
      <c r="E269" t="s">
        <v>1038</v>
      </c>
      <c r="F269" t="s">
        <v>1030</v>
      </c>
      <c r="G269" s="7">
        <v>4.8</v>
      </c>
      <c r="H269" s="7">
        <v>3.7</v>
      </c>
      <c r="I269" s="7">
        <f t="shared" si="4"/>
        <v>1.0999999999999996</v>
      </c>
      <c r="J269" t="s">
        <v>894</v>
      </c>
    </row>
    <row r="270" spans="2:10" x14ac:dyDescent="0.25">
      <c r="B270" t="s">
        <v>168</v>
      </c>
      <c r="C270" t="s">
        <v>37</v>
      </c>
      <c r="D270" t="s">
        <v>38</v>
      </c>
      <c r="E270" t="s">
        <v>1038</v>
      </c>
      <c r="F270" t="s">
        <v>426</v>
      </c>
      <c r="G270" s="7">
        <v>4</v>
      </c>
      <c r="H270" s="7">
        <v>3.08</v>
      </c>
      <c r="I270" s="7">
        <f t="shared" si="4"/>
        <v>0.91999999999999993</v>
      </c>
      <c r="J270" t="s">
        <v>894</v>
      </c>
    </row>
    <row r="271" spans="2:10" x14ac:dyDescent="0.25">
      <c r="B271" t="s">
        <v>168</v>
      </c>
      <c r="C271" t="s">
        <v>338</v>
      </c>
      <c r="D271" t="s">
        <v>38</v>
      </c>
      <c r="E271" t="s">
        <v>1039</v>
      </c>
      <c r="F271" t="s">
        <v>1030</v>
      </c>
      <c r="G271" s="7">
        <v>3.36</v>
      </c>
      <c r="H271" s="7">
        <v>2.59</v>
      </c>
      <c r="I271" s="7">
        <f t="shared" si="4"/>
        <v>0.77</v>
      </c>
      <c r="J271" t="s">
        <v>894</v>
      </c>
    </row>
    <row r="272" spans="2:10" x14ac:dyDescent="0.25">
      <c r="B272" t="s">
        <v>168</v>
      </c>
      <c r="C272" t="s">
        <v>37</v>
      </c>
      <c r="D272" t="s">
        <v>38</v>
      </c>
      <c r="E272" t="s">
        <v>1039</v>
      </c>
      <c r="F272" t="s">
        <v>426</v>
      </c>
      <c r="G272" s="7">
        <v>2.8</v>
      </c>
      <c r="H272" s="7">
        <v>2.16</v>
      </c>
      <c r="I272" s="7">
        <f t="shared" si="4"/>
        <v>0.63999999999999968</v>
      </c>
      <c r="J272" t="s">
        <v>894</v>
      </c>
    </row>
    <row r="273" spans="2:10" x14ac:dyDescent="0.25">
      <c r="B273" t="s">
        <v>159</v>
      </c>
      <c r="C273" t="s">
        <v>338</v>
      </c>
      <c r="D273" t="s">
        <v>38</v>
      </c>
      <c r="E273" t="s">
        <v>948</v>
      </c>
      <c r="F273" t="s">
        <v>1030</v>
      </c>
      <c r="G273" s="7">
        <v>19.2</v>
      </c>
      <c r="H273" s="7">
        <v>14.78</v>
      </c>
      <c r="I273" s="7">
        <f t="shared" si="4"/>
        <v>4.42</v>
      </c>
      <c r="J273" t="s">
        <v>894</v>
      </c>
    </row>
    <row r="274" spans="2:10" x14ac:dyDescent="0.25">
      <c r="B274" t="s">
        <v>159</v>
      </c>
      <c r="C274" t="s">
        <v>37</v>
      </c>
      <c r="D274" t="s">
        <v>38</v>
      </c>
      <c r="E274" t="s">
        <v>948</v>
      </c>
      <c r="F274" t="s">
        <v>426</v>
      </c>
      <c r="G274" s="7">
        <v>16</v>
      </c>
      <c r="H274" s="7">
        <v>12.32</v>
      </c>
      <c r="I274" s="7">
        <f t="shared" si="4"/>
        <v>3.6799999999999997</v>
      </c>
      <c r="J274" t="s">
        <v>894</v>
      </c>
    </row>
    <row r="275" spans="2:10" x14ac:dyDescent="0.25">
      <c r="B275" t="s">
        <v>159</v>
      </c>
      <c r="C275" t="s">
        <v>338</v>
      </c>
      <c r="D275" t="s">
        <v>38</v>
      </c>
      <c r="E275" t="s">
        <v>1040</v>
      </c>
      <c r="F275" t="s">
        <v>1030</v>
      </c>
      <c r="G275" s="7">
        <v>26.4</v>
      </c>
      <c r="H275" s="7">
        <v>20.329999999999998</v>
      </c>
      <c r="I275" s="7">
        <f t="shared" si="4"/>
        <v>6.07</v>
      </c>
      <c r="J275" t="s">
        <v>894</v>
      </c>
    </row>
    <row r="276" spans="2:10" x14ac:dyDescent="0.25">
      <c r="B276" t="s">
        <v>159</v>
      </c>
      <c r="C276" t="s">
        <v>37</v>
      </c>
      <c r="D276" t="s">
        <v>38</v>
      </c>
      <c r="E276" t="s">
        <v>1040</v>
      </c>
      <c r="F276" t="s">
        <v>426</v>
      </c>
      <c r="G276" s="7">
        <v>22</v>
      </c>
      <c r="H276" s="7">
        <v>16.940000000000001</v>
      </c>
      <c r="I276" s="7">
        <f t="shared" si="4"/>
        <v>5.0599999999999987</v>
      </c>
      <c r="J276" t="s">
        <v>894</v>
      </c>
    </row>
    <row r="277" spans="2:10" x14ac:dyDescent="0.25">
      <c r="B277" t="s">
        <v>161</v>
      </c>
      <c r="C277" t="s">
        <v>338</v>
      </c>
      <c r="D277" t="s">
        <v>38</v>
      </c>
      <c r="E277" t="s">
        <v>949</v>
      </c>
      <c r="F277" t="s">
        <v>1030</v>
      </c>
      <c r="G277" s="7">
        <v>33.6</v>
      </c>
      <c r="H277" s="7">
        <v>25.87</v>
      </c>
      <c r="I277" s="7">
        <f t="shared" ref="I277:I527" si="5">G277-H277</f>
        <v>7.73</v>
      </c>
      <c r="J277" t="s">
        <v>894</v>
      </c>
    </row>
    <row r="278" spans="2:10" x14ac:dyDescent="0.25">
      <c r="B278" t="s">
        <v>161</v>
      </c>
      <c r="C278" t="s">
        <v>37</v>
      </c>
      <c r="D278" t="s">
        <v>38</v>
      </c>
      <c r="E278" t="s">
        <v>949</v>
      </c>
      <c r="F278" t="s">
        <v>426</v>
      </c>
      <c r="G278" s="7">
        <v>28</v>
      </c>
      <c r="H278" s="7">
        <v>21.56</v>
      </c>
      <c r="I278" s="7">
        <f t="shared" si="5"/>
        <v>6.4400000000000013</v>
      </c>
      <c r="J278" t="s">
        <v>894</v>
      </c>
    </row>
    <row r="279" spans="2:10" x14ac:dyDescent="0.25">
      <c r="B279" t="s">
        <v>161</v>
      </c>
      <c r="C279" t="s">
        <v>338</v>
      </c>
      <c r="D279" t="s">
        <v>38</v>
      </c>
      <c r="E279" t="s">
        <v>950</v>
      </c>
      <c r="F279" t="s">
        <v>1030</v>
      </c>
      <c r="G279" s="7">
        <v>46.2</v>
      </c>
      <c r="H279" s="7">
        <v>35.57</v>
      </c>
      <c r="I279" s="7">
        <f t="shared" si="5"/>
        <v>10.630000000000003</v>
      </c>
      <c r="J279" t="s">
        <v>894</v>
      </c>
    </row>
    <row r="280" spans="2:10" x14ac:dyDescent="0.25">
      <c r="B280" t="s">
        <v>161</v>
      </c>
      <c r="C280" t="s">
        <v>37</v>
      </c>
      <c r="D280" t="s">
        <v>38</v>
      </c>
      <c r="E280" t="s">
        <v>950</v>
      </c>
      <c r="F280" t="s">
        <v>426</v>
      </c>
      <c r="G280" s="7">
        <v>38.5</v>
      </c>
      <c r="H280" s="7">
        <v>29.65</v>
      </c>
      <c r="I280" s="7">
        <f t="shared" si="5"/>
        <v>8.8500000000000014</v>
      </c>
      <c r="J280" t="s">
        <v>894</v>
      </c>
    </row>
    <row r="281" spans="2:10" x14ac:dyDescent="0.25">
      <c r="B281" t="s">
        <v>167</v>
      </c>
      <c r="C281" t="s">
        <v>338</v>
      </c>
      <c r="D281" t="s">
        <v>38</v>
      </c>
      <c r="E281" t="s">
        <v>951</v>
      </c>
      <c r="F281" t="s">
        <v>1030</v>
      </c>
      <c r="G281" s="7">
        <v>0</v>
      </c>
      <c r="H281" s="7">
        <v>0</v>
      </c>
      <c r="I281" s="7">
        <f t="shared" si="5"/>
        <v>0</v>
      </c>
      <c r="J281" t="s">
        <v>894</v>
      </c>
    </row>
    <row r="282" spans="2:10" x14ac:dyDescent="0.25">
      <c r="B282" t="s">
        <v>167</v>
      </c>
      <c r="C282" t="s">
        <v>37</v>
      </c>
      <c r="D282" t="s">
        <v>38</v>
      </c>
      <c r="E282" t="s">
        <v>951</v>
      </c>
      <c r="F282" t="s">
        <v>426</v>
      </c>
      <c r="G282" s="7">
        <v>0</v>
      </c>
      <c r="H282" s="7">
        <v>0</v>
      </c>
      <c r="I282" s="7">
        <f t="shared" si="5"/>
        <v>0</v>
      </c>
      <c r="J282" t="s">
        <v>894</v>
      </c>
    </row>
    <row r="283" spans="2:10" x14ac:dyDescent="0.25">
      <c r="B283" t="s">
        <v>167</v>
      </c>
      <c r="C283" t="s">
        <v>338</v>
      </c>
      <c r="D283" t="s">
        <v>38</v>
      </c>
      <c r="E283" t="s">
        <v>952</v>
      </c>
      <c r="F283" t="s">
        <v>1030</v>
      </c>
      <c r="G283" s="7">
        <v>0</v>
      </c>
      <c r="H283" s="7">
        <v>0</v>
      </c>
      <c r="I283" s="7">
        <f t="shared" si="5"/>
        <v>0</v>
      </c>
      <c r="J283" t="s">
        <v>894</v>
      </c>
    </row>
    <row r="284" spans="2:10" x14ac:dyDescent="0.25">
      <c r="B284" t="s">
        <v>167</v>
      </c>
      <c r="C284" t="s">
        <v>37</v>
      </c>
      <c r="D284" t="s">
        <v>38</v>
      </c>
      <c r="E284" t="s">
        <v>952</v>
      </c>
      <c r="F284" t="s">
        <v>426</v>
      </c>
      <c r="G284" s="7">
        <v>0</v>
      </c>
      <c r="H284" s="7">
        <v>0</v>
      </c>
      <c r="I284" s="7">
        <f t="shared" si="5"/>
        <v>0</v>
      </c>
      <c r="J284" t="s">
        <v>894</v>
      </c>
    </row>
    <row r="285" spans="2:10" x14ac:dyDescent="0.25">
      <c r="B285" t="s">
        <v>163</v>
      </c>
      <c r="C285" t="s">
        <v>338</v>
      </c>
      <c r="D285" t="s">
        <v>38</v>
      </c>
      <c r="E285" t="s">
        <v>953</v>
      </c>
      <c r="F285" t="s">
        <v>1030</v>
      </c>
      <c r="G285" s="7">
        <v>66</v>
      </c>
      <c r="H285" s="7">
        <v>50.82</v>
      </c>
      <c r="I285" s="7">
        <f t="shared" si="5"/>
        <v>15.18</v>
      </c>
      <c r="J285" t="s">
        <v>894</v>
      </c>
    </row>
    <row r="286" spans="2:10" x14ac:dyDescent="0.25">
      <c r="B286" t="s">
        <v>163</v>
      </c>
      <c r="C286" t="s">
        <v>37</v>
      </c>
      <c r="D286" t="s">
        <v>38</v>
      </c>
      <c r="E286" t="s">
        <v>953</v>
      </c>
      <c r="F286" t="s">
        <v>426</v>
      </c>
      <c r="G286" s="7">
        <v>55</v>
      </c>
      <c r="H286" s="7">
        <v>42.35</v>
      </c>
      <c r="I286" s="7">
        <f t="shared" si="5"/>
        <v>12.649999999999999</v>
      </c>
      <c r="J286" t="s">
        <v>894</v>
      </c>
    </row>
    <row r="287" spans="2:10" x14ac:dyDescent="0.25">
      <c r="B287" t="s">
        <v>163</v>
      </c>
      <c r="C287" t="s">
        <v>338</v>
      </c>
      <c r="D287" t="s">
        <v>38</v>
      </c>
      <c r="E287" t="s">
        <v>954</v>
      </c>
      <c r="F287" t="s">
        <v>1030</v>
      </c>
      <c r="G287" s="7">
        <v>48</v>
      </c>
      <c r="H287" s="7">
        <v>36.96</v>
      </c>
      <c r="I287" s="7">
        <f t="shared" si="5"/>
        <v>11.04</v>
      </c>
      <c r="J287" t="s">
        <v>894</v>
      </c>
    </row>
    <row r="288" spans="2:10" x14ac:dyDescent="0.25">
      <c r="B288" t="s">
        <v>163</v>
      </c>
      <c r="C288" t="s">
        <v>37</v>
      </c>
      <c r="D288" t="s">
        <v>38</v>
      </c>
      <c r="E288" t="s">
        <v>954</v>
      </c>
      <c r="F288" t="s">
        <v>426</v>
      </c>
      <c r="G288" s="7">
        <v>40</v>
      </c>
      <c r="H288" s="7">
        <v>30.8</v>
      </c>
      <c r="I288" s="7">
        <f t="shared" si="5"/>
        <v>9.1999999999999993</v>
      </c>
      <c r="J288" t="s">
        <v>894</v>
      </c>
    </row>
    <row r="289" spans="2:10" x14ac:dyDescent="0.25">
      <c r="B289" t="s">
        <v>165</v>
      </c>
      <c r="C289" t="s">
        <v>338</v>
      </c>
      <c r="D289" t="s">
        <v>38</v>
      </c>
      <c r="E289" t="s">
        <v>955</v>
      </c>
      <c r="F289" t="s">
        <v>1030</v>
      </c>
      <c r="G289" s="7">
        <v>5.28</v>
      </c>
      <c r="H289" s="7">
        <v>4.07</v>
      </c>
      <c r="I289" s="7">
        <f t="shared" si="5"/>
        <v>1.21</v>
      </c>
      <c r="J289" t="s">
        <v>894</v>
      </c>
    </row>
    <row r="290" spans="2:10" x14ac:dyDescent="0.25">
      <c r="B290" t="s">
        <v>165</v>
      </c>
      <c r="C290" t="s">
        <v>37</v>
      </c>
      <c r="D290" t="s">
        <v>38</v>
      </c>
      <c r="E290" t="s">
        <v>955</v>
      </c>
      <c r="F290" t="s">
        <v>426</v>
      </c>
      <c r="G290" s="7">
        <v>4.4000000000000004</v>
      </c>
      <c r="H290" s="7">
        <v>3.39</v>
      </c>
      <c r="I290" s="7">
        <f t="shared" si="5"/>
        <v>1.0100000000000002</v>
      </c>
      <c r="J290" t="s">
        <v>894</v>
      </c>
    </row>
    <row r="291" spans="2:10" x14ac:dyDescent="0.25">
      <c r="B291" t="s">
        <v>165</v>
      </c>
      <c r="C291" t="s">
        <v>338</v>
      </c>
      <c r="D291" t="s">
        <v>38</v>
      </c>
      <c r="E291" t="s">
        <v>956</v>
      </c>
      <c r="F291" t="s">
        <v>1030</v>
      </c>
      <c r="G291" s="7">
        <v>3.84</v>
      </c>
      <c r="H291" s="7">
        <v>2.96</v>
      </c>
      <c r="I291" s="7">
        <f t="shared" si="5"/>
        <v>0.87999999999999989</v>
      </c>
      <c r="J291" t="s">
        <v>894</v>
      </c>
    </row>
    <row r="292" spans="2:10" x14ac:dyDescent="0.25">
      <c r="B292" t="s">
        <v>165</v>
      </c>
      <c r="C292" t="s">
        <v>37</v>
      </c>
      <c r="D292" t="s">
        <v>38</v>
      </c>
      <c r="E292" t="s">
        <v>956</v>
      </c>
      <c r="F292" t="s">
        <v>426</v>
      </c>
      <c r="G292" s="7">
        <v>3.2</v>
      </c>
      <c r="H292" s="7">
        <v>2.46</v>
      </c>
      <c r="I292" s="7">
        <f t="shared" si="5"/>
        <v>0.74000000000000021</v>
      </c>
      <c r="J292" t="s">
        <v>894</v>
      </c>
    </row>
    <row r="293" spans="2:10" x14ac:dyDescent="0.25">
      <c r="I293" s="7"/>
    </row>
    <row r="294" spans="2:10" x14ac:dyDescent="0.25">
      <c r="E294" s="8" t="s">
        <v>386</v>
      </c>
      <c r="I294" s="7"/>
    </row>
    <row r="295" spans="2:10" x14ac:dyDescent="0.25">
      <c r="B295" t="s">
        <v>253</v>
      </c>
      <c r="C295" t="s">
        <v>338</v>
      </c>
      <c r="D295" t="s">
        <v>38</v>
      </c>
      <c r="E295" t="s">
        <v>957</v>
      </c>
      <c r="F295" t="s">
        <v>1030</v>
      </c>
      <c r="G295" s="7">
        <v>6</v>
      </c>
      <c r="H295" s="7">
        <v>6</v>
      </c>
      <c r="I295" s="7">
        <f t="shared" si="5"/>
        <v>0</v>
      </c>
      <c r="J295" t="s">
        <v>894</v>
      </c>
    </row>
    <row r="296" spans="2:10" x14ac:dyDescent="0.25">
      <c r="B296" t="s">
        <v>253</v>
      </c>
      <c r="C296" t="s">
        <v>37</v>
      </c>
      <c r="D296" t="s">
        <v>38</v>
      </c>
      <c r="E296" t="s">
        <v>957</v>
      </c>
      <c r="F296" t="s">
        <v>426</v>
      </c>
      <c r="G296" s="7">
        <v>5</v>
      </c>
      <c r="H296" s="7">
        <v>5</v>
      </c>
      <c r="I296" s="7">
        <f t="shared" si="5"/>
        <v>0</v>
      </c>
      <c r="J296" t="s">
        <v>894</v>
      </c>
    </row>
    <row r="297" spans="2:10" x14ac:dyDescent="0.25">
      <c r="B297" t="s">
        <v>253</v>
      </c>
      <c r="C297" t="s">
        <v>338</v>
      </c>
      <c r="D297" t="s">
        <v>38</v>
      </c>
      <c r="E297" t="s">
        <v>1154</v>
      </c>
      <c r="F297" t="s">
        <v>1030</v>
      </c>
      <c r="G297" s="7">
        <v>4.32</v>
      </c>
      <c r="H297" s="7">
        <v>4.32</v>
      </c>
      <c r="I297" s="7">
        <f t="shared" si="5"/>
        <v>0</v>
      </c>
      <c r="J297" t="s">
        <v>894</v>
      </c>
    </row>
    <row r="298" spans="2:10" x14ac:dyDescent="0.25">
      <c r="B298" t="s">
        <v>253</v>
      </c>
      <c r="C298" t="s">
        <v>37</v>
      </c>
      <c r="D298" t="s">
        <v>38</v>
      </c>
      <c r="E298" t="s">
        <v>1154</v>
      </c>
      <c r="F298" t="s">
        <v>426</v>
      </c>
      <c r="G298" s="7">
        <v>3.6</v>
      </c>
      <c r="H298" s="7">
        <v>3.6</v>
      </c>
      <c r="I298" s="7">
        <f t="shared" si="5"/>
        <v>0</v>
      </c>
      <c r="J298" t="s">
        <v>894</v>
      </c>
    </row>
    <row r="299" spans="2:10" x14ac:dyDescent="0.25">
      <c r="I299" s="7"/>
    </row>
    <row r="300" spans="2:10" x14ac:dyDescent="0.25">
      <c r="E300" s="8" t="s">
        <v>383</v>
      </c>
      <c r="I300" s="7"/>
    </row>
    <row r="301" spans="2:10" x14ac:dyDescent="0.25">
      <c r="B301" t="s">
        <v>191</v>
      </c>
      <c r="C301" t="s">
        <v>338</v>
      </c>
      <c r="D301" t="s">
        <v>38</v>
      </c>
      <c r="E301" t="s">
        <v>958</v>
      </c>
      <c r="F301" t="s">
        <v>1030</v>
      </c>
      <c r="G301" s="7">
        <v>19.8</v>
      </c>
      <c r="H301" s="7">
        <v>15.25</v>
      </c>
      <c r="I301" s="7">
        <f t="shared" si="5"/>
        <v>4.5500000000000007</v>
      </c>
      <c r="J301" t="s">
        <v>894</v>
      </c>
    </row>
    <row r="302" spans="2:10" x14ac:dyDescent="0.25">
      <c r="B302" t="s">
        <v>191</v>
      </c>
      <c r="C302" t="s">
        <v>37</v>
      </c>
      <c r="D302" t="s">
        <v>38</v>
      </c>
      <c r="E302" t="s">
        <v>958</v>
      </c>
      <c r="F302" t="s">
        <v>426</v>
      </c>
      <c r="G302" s="7">
        <v>16.5</v>
      </c>
      <c r="H302" s="7">
        <v>12.71</v>
      </c>
      <c r="I302" s="7">
        <f t="shared" si="5"/>
        <v>3.7899999999999991</v>
      </c>
      <c r="J302" t="s">
        <v>894</v>
      </c>
    </row>
    <row r="303" spans="2:10" x14ac:dyDescent="0.25">
      <c r="B303" t="s">
        <v>191</v>
      </c>
      <c r="C303" t="s">
        <v>338</v>
      </c>
      <c r="D303" t="s">
        <v>38</v>
      </c>
      <c r="E303" t="s">
        <v>959</v>
      </c>
      <c r="F303" t="s">
        <v>1030</v>
      </c>
      <c r="G303" s="7">
        <v>14.4</v>
      </c>
      <c r="H303" s="7">
        <v>11.09</v>
      </c>
      <c r="I303" s="7">
        <f t="shared" si="5"/>
        <v>3.3100000000000005</v>
      </c>
      <c r="J303" t="s">
        <v>894</v>
      </c>
    </row>
    <row r="304" spans="2:10" x14ac:dyDescent="0.25">
      <c r="B304" t="s">
        <v>191</v>
      </c>
      <c r="C304" t="s">
        <v>37</v>
      </c>
      <c r="D304" t="s">
        <v>38</v>
      </c>
      <c r="E304" t="s">
        <v>959</v>
      </c>
      <c r="F304" t="s">
        <v>426</v>
      </c>
      <c r="G304" s="7">
        <v>12</v>
      </c>
      <c r="H304" s="7">
        <v>9.24</v>
      </c>
      <c r="I304" s="7">
        <f t="shared" si="5"/>
        <v>2.76</v>
      </c>
      <c r="J304" t="s">
        <v>894</v>
      </c>
    </row>
    <row r="305" spans="2:10" x14ac:dyDescent="0.25">
      <c r="B305" t="s">
        <v>200</v>
      </c>
      <c r="C305" t="s">
        <v>338</v>
      </c>
      <c r="D305" t="s">
        <v>38</v>
      </c>
      <c r="E305" t="s">
        <v>960</v>
      </c>
      <c r="F305" t="s">
        <v>1030</v>
      </c>
      <c r="G305" s="7">
        <v>2640</v>
      </c>
      <c r="H305" s="7">
        <v>2032.8</v>
      </c>
      <c r="I305" s="7">
        <f t="shared" si="5"/>
        <v>607.20000000000005</v>
      </c>
      <c r="J305" t="s">
        <v>894</v>
      </c>
    </row>
    <row r="306" spans="2:10" x14ac:dyDescent="0.25">
      <c r="B306" t="s">
        <v>200</v>
      </c>
      <c r="C306" t="s">
        <v>37</v>
      </c>
      <c r="D306" t="s">
        <v>38</v>
      </c>
      <c r="E306" t="s">
        <v>960</v>
      </c>
      <c r="F306" t="s">
        <v>426</v>
      </c>
      <c r="G306" s="7">
        <v>2200</v>
      </c>
      <c r="H306" s="7">
        <v>1694</v>
      </c>
      <c r="I306" s="7">
        <f t="shared" si="5"/>
        <v>506</v>
      </c>
      <c r="J306" t="s">
        <v>894</v>
      </c>
    </row>
    <row r="307" spans="2:10" x14ac:dyDescent="0.25">
      <c r="B307" t="s">
        <v>200</v>
      </c>
      <c r="C307" t="s">
        <v>338</v>
      </c>
      <c r="D307" t="s">
        <v>38</v>
      </c>
      <c r="E307" t="s">
        <v>961</v>
      </c>
      <c r="F307" t="s">
        <v>1030</v>
      </c>
      <c r="G307" s="7">
        <v>2640</v>
      </c>
      <c r="H307" s="7">
        <v>2032.8</v>
      </c>
      <c r="I307" s="7">
        <f t="shared" si="5"/>
        <v>607.20000000000005</v>
      </c>
      <c r="J307" t="s">
        <v>894</v>
      </c>
    </row>
    <row r="308" spans="2:10" x14ac:dyDescent="0.25">
      <c r="B308" t="s">
        <v>200</v>
      </c>
      <c r="C308" t="s">
        <v>37</v>
      </c>
      <c r="D308" t="s">
        <v>38</v>
      </c>
      <c r="E308" t="s">
        <v>961</v>
      </c>
      <c r="F308" t="s">
        <v>426</v>
      </c>
      <c r="G308" s="7">
        <v>2200</v>
      </c>
      <c r="H308" s="7">
        <v>1694</v>
      </c>
      <c r="I308" s="7">
        <f t="shared" si="5"/>
        <v>506</v>
      </c>
      <c r="J308" t="s">
        <v>894</v>
      </c>
    </row>
    <row r="309" spans="2:10" x14ac:dyDescent="0.25">
      <c r="B309" t="s">
        <v>200</v>
      </c>
      <c r="C309" t="s">
        <v>338</v>
      </c>
      <c r="D309" t="s">
        <v>38</v>
      </c>
      <c r="E309" t="s">
        <v>962</v>
      </c>
      <c r="F309" t="s">
        <v>1030</v>
      </c>
      <c r="G309" s="7">
        <v>2640</v>
      </c>
      <c r="H309" s="7">
        <v>2032.8</v>
      </c>
      <c r="I309" s="7">
        <f t="shared" si="5"/>
        <v>607.20000000000005</v>
      </c>
      <c r="J309" t="s">
        <v>894</v>
      </c>
    </row>
    <row r="310" spans="2:10" x14ac:dyDescent="0.25">
      <c r="B310" t="s">
        <v>200</v>
      </c>
      <c r="C310" t="s">
        <v>37</v>
      </c>
      <c r="D310" t="s">
        <v>38</v>
      </c>
      <c r="E310" t="s">
        <v>962</v>
      </c>
      <c r="F310" t="s">
        <v>426</v>
      </c>
      <c r="G310" s="7">
        <v>2200</v>
      </c>
      <c r="H310" s="7">
        <v>1694</v>
      </c>
      <c r="I310" s="7">
        <f t="shared" si="5"/>
        <v>506</v>
      </c>
      <c r="J310" t="s">
        <v>894</v>
      </c>
    </row>
    <row r="311" spans="2:10" x14ac:dyDescent="0.25">
      <c r="B311" t="s">
        <v>200</v>
      </c>
      <c r="C311" t="s">
        <v>338</v>
      </c>
      <c r="D311" t="s">
        <v>38</v>
      </c>
      <c r="E311" t="s">
        <v>1041</v>
      </c>
      <c r="F311" t="s">
        <v>1030</v>
      </c>
      <c r="G311" s="7">
        <v>330</v>
      </c>
      <c r="H311" s="7">
        <v>254.1</v>
      </c>
      <c r="I311" s="7">
        <f t="shared" si="5"/>
        <v>75.900000000000006</v>
      </c>
      <c r="J311" t="s">
        <v>894</v>
      </c>
    </row>
    <row r="312" spans="2:10" x14ac:dyDescent="0.25">
      <c r="B312" t="s">
        <v>200</v>
      </c>
      <c r="C312" t="s">
        <v>37</v>
      </c>
      <c r="D312" t="s">
        <v>38</v>
      </c>
      <c r="E312" t="s">
        <v>1041</v>
      </c>
      <c r="F312" t="s">
        <v>426</v>
      </c>
      <c r="G312" s="7">
        <v>275</v>
      </c>
      <c r="H312" s="7">
        <v>211.75</v>
      </c>
      <c r="I312" s="7">
        <f t="shared" si="5"/>
        <v>63.25</v>
      </c>
      <c r="J312" t="s">
        <v>894</v>
      </c>
    </row>
    <row r="313" spans="2:10" x14ac:dyDescent="0.25">
      <c r="B313" t="s">
        <v>200</v>
      </c>
      <c r="C313" t="s">
        <v>338</v>
      </c>
      <c r="D313" t="s">
        <v>38</v>
      </c>
      <c r="E313" t="s">
        <v>1042</v>
      </c>
      <c r="F313" t="s">
        <v>1030</v>
      </c>
      <c r="G313" s="7">
        <v>20460</v>
      </c>
      <c r="H313" s="7">
        <v>15754.2</v>
      </c>
      <c r="I313" s="7">
        <f t="shared" si="5"/>
        <v>4705.7999999999993</v>
      </c>
      <c r="J313" t="s">
        <v>894</v>
      </c>
    </row>
    <row r="314" spans="2:10" x14ac:dyDescent="0.25">
      <c r="B314" t="s">
        <v>200</v>
      </c>
      <c r="C314" t="s">
        <v>37</v>
      </c>
      <c r="D314" t="s">
        <v>38</v>
      </c>
      <c r="E314" t="s">
        <v>1042</v>
      </c>
      <c r="F314" t="s">
        <v>426</v>
      </c>
      <c r="G314" s="7">
        <v>17050</v>
      </c>
      <c r="H314" s="7">
        <v>13128.5</v>
      </c>
      <c r="I314" s="7">
        <f t="shared" si="5"/>
        <v>3921.5</v>
      </c>
      <c r="J314" t="s">
        <v>894</v>
      </c>
    </row>
    <row r="315" spans="2:10" x14ac:dyDescent="0.25">
      <c r="B315" t="s">
        <v>200</v>
      </c>
      <c r="C315" t="s">
        <v>338</v>
      </c>
      <c r="D315" t="s">
        <v>38</v>
      </c>
      <c r="E315" t="s">
        <v>1043</v>
      </c>
      <c r="F315" t="s">
        <v>1030</v>
      </c>
      <c r="G315" s="7">
        <v>14880</v>
      </c>
      <c r="H315" s="7">
        <v>11457.6</v>
      </c>
      <c r="I315" s="7">
        <f t="shared" si="5"/>
        <v>3422.3999999999996</v>
      </c>
      <c r="J315" t="s">
        <v>894</v>
      </c>
    </row>
    <row r="316" spans="2:10" x14ac:dyDescent="0.25">
      <c r="B316" t="s">
        <v>200</v>
      </c>
      <c r="C316" t="s">
        <v>37</v>
      </c>
      <c r="D316" t="s">
        <v>38</v>
      </c>
      <c r="E316" t="s">
        <v>1043</v>
      </c>
      <c r="F316" t="s">
        <v>426</v>
      </c>
      <c r="G316" s="7">
        <v>12400</v>
      </c>
      <c r="H316" s="7">
        <v>9548</v>
      </c>
      <c r="I316" s="7">
        <f t="shared" si="5"/>
        <v>2852</v>
      </c>
      <c r="J316" t="s">
        <v>894</v>
      </c>
    </row>
    <row r="317" spans="2:10" x14ac:dyDescent="0.25">
      <c r="B317" t="s">
        <v>200</v>
      </c>
      <c r="C317" t="s">
        <v>338</v>
      </c>
      <c r="D317" t="s">
        <v>38</v>
      </c>
      <c r="E317" t="s">
        <v>1044</v>
      </c>
      <c r="F317" t="s">
        <v>1030</v>
      </c>
      <c r="G317" s="7">
        <v>240</v>
      </c>
      <c r="H317" s="7">
        <v>184.8</v>
      </c>
      <c r="I317" s="7">
        <f t="shared" si="5"/>
        <v>55.199999999999989</v>
      </c>
      <c r="J317" t="s">
        <v>894</v>
      </c>
    </row>
    <row r="318" spans="2:10" x14ac:dyDescent="0.25">
      <c r="B318" t="s">
        <v>200</v>
      </c>
      <c r="C318" t="s">
        <v>37</v>
      </c>
      <c r="D318" t="s">
        <v>38</v>
      </c>
      <c r="E318" t="s">
        <v>1044</v>
      </c>
      <c r="F318" t="s">
        <v>426</v>
      </c>
      <c r="G318" s="7">
        <v>200</v>
      </c>
      <c r="H318" s="7">
        <v>154</v>
      </c>
      <c r="I318" s="7">
        <f t="shared" si="5"/>
        <v>46</v>
      </c>
      <c r="J318" t="s">
        <v>894</v>
      </c>
    </row>
    <row r="319" spans="2:10" x14ac:dyDescent="0.25">
      <c r="B319" t="s">
        <v>200</v>
      </c>
      <c r="C319" t="s">
        <v>338</v>
      </c>
      <c r="D319" t="s">
        <v>38</v>
      </c>
      <c r="E319" t="s">
        <v>1045</v>
      </c>
      <c r="F319" t="s">
        <v>1030</v>
      </c>
      <c r="G319" s="7">
        <v>20460</v>
      </c>
      <c r="H319" s="7">
        <v>15754.2</v>
      </c>
      <c r="I319" s="7">
        <f t="shared" si="5"/>
        <v>4705.7999999999993</v>
      </c>
      <c r="J319" t="s">
        <v>894</v>
      </c>
    </row>
    <row r="320" spans="2:10" x14ac:dyDescent="0.25">
      <c r="B320" t="s">
        <v>200</v>
      </c>
      <c r="C320" t="s">
        <v>37</v>
      </c>
      <c r="D320" t="s">
        <v>38</v>
      </c>
      <c r="E320" t="s">
        <v>1045</v>
      </c>
      <c r="F320" t="s">
        <v>426</v>
      </c>
      <c r="G320" s="7">
        <v>17050</v>
      </c>
      <c r="H320" s="7">
        <v>13128.5</v>
      </c>
      <c r="I320" s="7">
        <f t="shared" si="5"/>
        <v>3921.5</v>
      </c>
      <c r="J320" t="s">
        <v>894</v>
      </c>
    </row>
    <row r="321" spans="2:10" x14ac:dyDescent="0.25">
      <c r="B321" t="s">
        <v>200</v>
      </c>
      <c r="C321" t="s">
        <v>338</v>
      </c>
      <c r="D321" t="s">
        <v>38</v>
      </c>
      <c r="E321" t="s">
        <v>1046</v>
      </c>
      <c r="F321" t="s">
        <v>1030</v>
      </c>
      <c r="G321" s="7">
        <v>14880</v>
      </c>
      <c r="H321" s="7">
        <v>11457.6</v>
      </c>
      <c r="I321" s="7">
        <f t="shared" si="5"/>
        <v>3422.3999999999996</v>
      </c>
      <c r="J321" t="s">
        <v>894</v>
      </c>
    </row>
    <row r="322" spans="2:10" x14ac:dyDescent="0.25">
      <c r="B322" t="s">
        <v>200</v>
      </c>
      <c r="C322" t="s">
        <v>37</v>
      </c>
      <c r="D322" t="s">
        <v>38</v>
      </c>
      <c r="E322" t="s">
        <v>1046</v>
      </c>
      <c r="F322" t="s">
        <v>426</v>
      </c>
      <c r="G322" s="7">
        <v>12400</v>
      </c>
      <c r="H322" s="7">
        <v>9548</v>
      </c>
      <c r="I322" s="7">
        <f t="shared" si="5"/>
        <v>2852</v>
      </c>
      <c r="J322" t="s">
        <v>894</v>
      </c>
    </row>
    <row r="323" spans="2:10" x14ac:dyDescent="0.25">
      <c r="B323" t="s">
        <v>200</v>
      </c>
      <c r="C323" t="s">
        <v>338</v>
      </c>
      <c r="D323" t="s">
        <v>38</v>
      </c>
      <c r="E323" t="s">
        <v>1047</v>
      </c>
      <c r="F323" t="s">
        <v>1030</v>
      </c>
      <c r="G323" s="7">
        <v>240</v>
      </c>
      <c r="H323" s="7">
        <v>184.8</v>
      </c>
      <c r="I323" s="7">
        <f t="shared" si="5"/>
        <v>55.199999999999989</v>
      </c>
      <c r="J323" t="s">
        <v>894</v>
      </c>
    </row>
    <row r="324" spans="2:10" x14ac:dyDescent="0.25">
      <c r="B324" t="s">
        <v>200</v>
      </c>
      <c r="C324" t="s">
        <v>37</v>
      </c>
      <c r="D324" t="s">
        <v>38</v>
      </c>
      <c r="E324" t="s">
        <v>1047</v>
      </c>
      <c r="F324" t="s">
        <v>426</v>
      </c>
      <c r="G324" s="7">
        <v>200</v>
      </c>
      <c r="H324" s="7">
        <v>154</v>
      </c>
      <c r="I324" s="7">
        <f t="shared" si="5"/>
        <v>46</v>
      </c>
      <c r="J324" t="s">
        <v>894</v>
      </c>
    </row>
    <row r="325" spans="2:10" x14ac:dyDescent="0.25">
      <c r="B325" t="s">
        <v>200</v>
      </c>
      <c r="C325" t="s">
        <v>338</v>
      </c>
      <c r="D325" t="s">
        <v>38</v>
      </c>
      <c r="E325" t="s">
        <v>1048</v>
      </c>
      <c r="F325" t="s">
        <v>1030</v>
      </c>
      <c r="G325" s="7">
        <v>330</v>
      </c>
      <c r="H325" s="7">
        <v>254.1</v>
      </c>
      <c r="I325" s="7">
        <f t="shared" si="5"/>
        <v>75.900000000000006</v>
      </c>
      <c r="J325" t="s">
        <v>894</v>
      </c>
    </row>
    <row r="326" spans="2:10" x14ac:dyDescent="0.25">
      <c r="B326" t="s">
        <v>200</v>
      </c>
      <c r="C326" t="s">
        <v>37</v>
      </c>
      <c r="D326" t="s">
        <v>38</v>
      </c>
      <c r="E326" t="s">
        <v>1048</v>
      </c>
      <c r="F326" t="s">
        <v>426</v>
      </c>
      <c r="G326" s="7">
        <v>275</v>
      </c>
      <c r="H326" s="7">
        <v>211.75</v>
      </c>
      <c r="I326" s="7">
        <f t="shared" si="5"/>
        <v>63.25</v>
      </c>
      <c r="J326" t="s">
        <v>894</v>
      </c>
    </row>
    <row r="327" spans="2:10" x14ac:dyDescent="0.25">
      <c r="B327" t="s">
        <v>200</v>
      </c>
      <c r="C327" t="s">
        <v>338</v>
      </c>
      <c r="D327" t="s">
        <v>38</v>
      </c>
      <c r="E327" t="s">
        <v>1049</v>
      </c>
      <c r="F327" t="s">
        <v>1030</v>
      </c>
      <c r="G327" s="7">
        <v>20460</v>
      </c>
      <c r="H327" s="7">
        <v>15754.2</v>
      </c>
      <c r="I327" s="7">
        <f t="shared" si="5"/>
        <v>4705.7999999999993</v>
      </c>
      <c r="J327" t="s">
        <v>894</v>
      </c>
    </row>
    <row r="328" spans="2:10" x14ac:dyDescent="0.25">
      <c r="B328" t="s">
        <v>200</v>
      </c>
      <c r="C328" t="s">
        <v>37</v>
      </c>
      <c r="D328" t="s">
        <v>38</v>
      </c>
      <c r="E328" t="s">
        <v>1049</v>
      </c>
      <c r="F328" t="s">
        <v>426</v>
      </c>
      <c r="G328" s="7">
        <v>14880</v>
      </c>
      <c r="H328" s="7">
        <v>13128.5</v>
      </c>
      <c r="I328" s="7">
        <f t="shared" si="5"/>
        <v>1751.5</v>
      </c>
      <c r="J328" t="s">
        <v>894</v>
      </c>
    </row>
    <row r="329" spans="2:10" x14ac:dyDescent="0.25">
      <c r="B329" t="s">
        <v>200</v>
      </c>
      <c r="C329" t="s">
        <v>338</v>
      </c>
      <c r="D329" t="s">
        <v>38</v>
      </c>
      <c r="E329" t="s">
        <v>1050</v>
      </c>
      <c r="F329" t="s">
        <v>1030</v>
      </c>
      <c r="G329" s="7">
        <v>14880</v>
      </c>
      <c r="H329" s="7">
        <v>11457.6</v>
      </c>
      <c r="I329" s="7">
        <f t="shared" si="5"/>
        <v>3422.3999999999996</v>
      </c>
      <c r="J329" t="s">
        <v>894</v>
      </c>
    </row>
    <row r="330" spans="2:10" x14ac:dyDescent="0.25">
      <c r="B330" t="s">
        <v>200</v>
      </c>
      <c r="C330" t="s">
        <v>37</v>
      </c>
      <c r="D330" t="s">
        <v>38</v>
      </c>
      <c r="E330" t="s">
        <v>1050</v>
      </c>
      <c r="F330" t="s">
        <v>426</v>
      </c>
      <c r="G330" s="7">
        <v>12400</v>
      </c>
      <c r="H330" s="7">
        <v>9548</v>
      </c>
      <c r="I330" s="7">
        <f t="shared" si="5"/>
        <v>2852</v>
      </c>
      <c r="J330" t="s">
        <v>894</v>
      </c>
    </row>
    <row r="331" spans="2:10" x14ac:dyDescent="0.25">
      <c r="B331" t="s">
        <v>200</v>
      </c>
      <c r="C331" t="s">
        <v>338</v>
      </c>
      <c r="D331" t="s">
        <v>38</v>
      </c>
      <c r="E331" t="s">
        <v>1051</v>
      </c>
      <c r="F331" t="s">
        <v>1030</v>
      </c>
      <c r="G331" s="7">
        <v>330</v>
      </c>
      <c r="H331" s="7">
        <v>254.1</v>
      </c>
      <c r="I331" s="7">
        <f t="shared" si="5"/>
        <v>75.900000000000006</v>
      </c>
      <c r="J331" t="s">
        <v>894</v>
      </c>
    </row>
    <row r="332" spans="2:10" x14ac:dyDescent="0.25">
      <c r="B332" t="s">
        <v>200</v>
      </c>
      <c r="C332" t="s">
        <v>37</v>
      </c>
      <c r="D332" t="s">
        <v>38</v>
      </c>
      <c r="E332" t="s">
        <v>1051</v>
      </c>
      <c r="F332" t="s">
        <v>426</v>
      </c>
      <c r="G332" s="7">
        <v>275</v>
      </c>
      <c r="H332" s="7">
        <v>211.75</v>
      </c>
      <c r="I332" s="7">
        <f t="shared" si="5"/>
        <v>63.25</v>
      </c>
      <c r="J332" t="s">
        <v>894</v>
      </c>
    </row>
    <row r="333" spans="2:10" x14ac:dyDescent="0.25">
      <c r="B333" t="s">
        <v>200</v>
      </c>
      <c r="C333" t="s">
        <v>338</v>
      </c>
      <c r="D333" t="s">
        <v>38</v>
      </c>
      <c r="E333" t="s">
        <v>1052</v>
      </c>
      <c r="F333" t="s">
        <v>1030</v>
      </c>
      <c r="G333" s="7">
        <v>7.2</v>
      </c>
      <c r="H333" s="7">
        <v>5.94</v>
      </c>
      <c r="I333" s="7">
        <f t="shared" si="5"/>
        <v>1.2599999999999998</v>
      </c>
      <c r="J333" t="s">
        <v>894</v>
      </c>
    </row>
    <row r="334" spans="2:10" x14ac:dyDescent="0.25">
      <c r="B334" t="s">
        <v>200</v>
      </c>
      <c r="C334" t="s">
        <v>37</v>
      </c>
      <c r="D334" t="s">
        <v>38</v>
      </c>
      <c r="E334" t="s">
        <v>1052</v>
      </c>
      <c r="F334" t="s">
        <v>426</v>
      </c>
      <c r="G334" s="7">
        <v>6</v>
      </c>
      <c r="H334" s="7">
        <v>4.95</v>
      </c>
      <c r="I334" s="7">
        <f t="shared" si="5"/>
        <v>1.0499999999999998</v>
      </c>
      <c r="J334" t="s">
        <v>894</v>
      </c>
    </row>
    <row r="335" spans="2:10" x14ac:dyDescent="0.25">
      <c r="I335" s="7"/>
    </row>
    <row r="336" spans="2:10" x14ac:dyDescent="0.25">
      <c r="E336" s="8" t="s">
        <v>394</v>
      </c>
      <c r="I336" s="7"/>
    </row>
    <row r="337" spans="1:10" x14ac:dyDescent="0.25">
      <c r="B337" t="s">
        <v>733</v>
      </c>
      <c r="C337" t="s">
        <v>338</v>
      </c>
      <c r="D337" t="s">
        <v>38</v>
      </c>
      <c r="E337" t="s">
        <v>963</v>
      </c>
      <c r="F337" t="s">
        <v>1030</v>
      </c>
      <c r="G337" s="7">
        <v>50.4</v>
      </c>
      <c r="H337" s="7">
        <v>41.58</v>
      </c>
      <c r="I337" s="7">
        <f t="shared" si="5"/>
        <v>8.82</v>
      </c>
      <c r="J337" t="s">
        <v>894</v>
      </c>
    </row>
    <row r="338" spans="1:10" x14ac:dyDescent="0.25">
      <c r="B338" t="s">
        <v>733</v>
      </c>
      <c r="C338" t="s">
        <v>37</v>
      </c>
      <c r="D338" t="s">
        <v>38</v>
      </c>
      <c r="E338" t="s">
        <v>963</v>
      </c>
      <c r="F338" t="s">
        <v>426</v>
      </c>
      <c r="G338" s="7">
        <v>42</v>
      </c>
      <c r="H338" s="7">
        <v>34.65</v>
      </c>
      <c r="I338" s="7">
        <f t="shared" si="5"/>
        <v>7.3500000000000014</v>
      </c>
      <c r="J338" t="s">
        <v>894</v>
      </c>
    </row>
    <row r="339" spans="1:10" x14ac:dyDescent="0.25">
      <c r="A339" t="s">
        <v>1055</v>
      </c>
      <c r="B339" t="s">
        <v>733</v>
      </c>
      <c r="C339" t="s">
        <v>338</v>
      </c>
      <c r="D339" t="s">
        <v>38</v>
      </c>
      <c r="E339" t="s">
        <v>964</v>
      </c>
      <c r="F339" t="s">
        <v>1030</v>
      </c>
      <c r="G339" s="7">
        <v>50.4</v>
      </c>
      <c r="H339" s="7">
        <v>41.58</v>
      </c>
      <c r="I339" s="7">
        <f t="shared" si="5"/>
        <v>8.82</v>
      </c>
      <c r="J339" t="s">
        <v>894</v>
      </c>
    </row>
    <row r="340" spans="1:10" x14ac:dyDescent="0.25">
      <c r="B340" t="s">
        <v>733</v>
      </c>
      <c r="C340" t="s">
        <v>37</v>
      </c>
      <c r="D340" t="s">
        <v>38</v>
      </c>
      <c r="E340" t="s">
        <v>964</v>
      </c>
      <c r="F340" t="s">
        <v>426</v>
      </c>
      <c r="G340" s="7">
        <v>42</v>
      </c>
      <c r="H340" s="7">
        <v>34.65</v>
      </c>
      <c r="I340" s="7">
        <f t="shared" si="5"/>
        <v>7.3500000000000014</v>
      </c>
      <c r="J340" t="s">
        <v>894</v>
      </c>
    </row>
    <row r="341" spans="1:10" x14ac:dyDescent="0.25">
      <c r="B341" t="s">
        <v>272</v>
      </c>
      <c r="C341" t="s">
        <v>338</v>
      </c>
      <c r="D341" t="s">
        <v>38</v>
      </c>
      <c r="E341" t="s">
        <v>1056</v>
      </c>
      <c r="F341" t="s">
        <v>1030</v>
      </c>
      <c r="G341" s="7">
        <v>49.56</v>
      </c>
      <c r="H341" s="7">
        <v>40.89</v>
      </c>
      <c r="I341" s="7">
        <f t="shared" si="5"/>
        <v>8.6700000000000017</v>
      </c>
      <c r="J341" t="s">
        <v>894</v>
      </c>
    </row>
    <row r="342" spans="1:10" x14ac:dyDescent="0.25">
      <c r="B342" t="s">
        <v>431</v>
      </c>
      <c r="C342" t="s">
        <v>37</v>
      </c>
      <c r="D342" t="s">
        <v>38</v>
      </c>
      <c r="E342" t="s">
        <v>1056</v>
      </c>
      <c r="F342" t="s">
        <v>426</v>
      </c>
      <c r="G342" s="7">
        <v>41.3</v>
      </c>
      <c r="H342" s="7">
        <v>34.08</v>
      </c>
      <c r="I342" s="7">
        <f t="shared" si="5"/>
        <v>7.2199999999999989</v>
      </c>
      <c r="J342" t="s">
        <v>894</v>
      </c>
    </row>
    <row r="343" spans="1:10" x14ac:dyDescent="0.25">
      <c r="B343" t="s">
        <v>431</v>
      </c>
      <c r="C343" t="s">
        <v>338</v>
      </c>
      <c r="D343" t="s">
        <v>38</v>
      </c>
      <c r="E343" t="s">
        <v>1057</v>
      </c>
      <c r="F343" t="s">
        <v>1030</v>
      </c>
      <c r="G343" s="7">
        <v>59.4</v>
      </c>
      <c r="H343" s="7">
        <v>49.01</v>
      </c>
      <c r="I343" s="7">
        <f t="shared" si="5"/>
        <v>10.39</v>
      </c>
      <c r="J343" t="s">
        <v>894</v>
      </c>
    </row>
    <row r="344" spans="1:10" x14ac:dyDescent="0.25">
      <c r="B344" t="s">
        <v>431</v>
      </c>
      <c r="C344" t="s">
        <v>37</v>
      </c>
      <c r="D344" t="s">
        <v>38</v>
      </c>
      <c r="E344" t="s">
        <v>1057</v>
      </c>
      <c r="F344" t="s">
        <v>426</v>
      </c>
      <c r="G344" s="7">
        <v>49.5</v>
      </c>
      <c r="H344" s="7">
        <v>40.840000000000003</v>
      </c>
      <c r="I344" s="7">
        <f t="shared" si="5"/>
        <v>8.6599999999999966</v>
      </c>
      <c r="J344" t="s">
        <v>894</v>
      </c>
    </row>
    <row r="345" spans="1:10" x14ac:dyDescent="0.25">
      <c r="B345" t="s">
        <v>431</v>
      </c>
      <c r="C345" t="s">
        <v>338</v>
      </c>
      <c r="D345" t="s">
        <v>38</v>
      </c>
      <c r="E345" t="s">
        <v>1058</v>
      </c>
      <c r="F345" t="s">
        <v>1030</v>
      </c>
      <c r="G345" s="7">
        <v>43.2</v>
      </c>
      <c r="H345" s="7">
        <v>35.64</v>
      </c>
      <c r="I345" s="7">
        <f t="shared" si="5"/>
        <v>7.5600000000000023</v>
      </c>
      <c r="J345" t="s">
        <v>894</v>
      </c>
    </row>
    <row r="346" spans="1:10" x14ac:dyDescent="0.25">
      <c r="B346" t="s">
        <v>431</v>
      </c>
      <c r="C346" t="s">
        <v>37</v>
      </c>
      <c r="D346" t="s">
        <v>38</v>
      </c>
      <c r="E346" t="s">
        <v>1058</v>
      </c>
      <c r="F346" t="s">
        <v>426</v>
      </c>
      <c r="G346" s="7">
        <v>36</v>
      </c>
      <c r="H346" s="7">
        <v>29.7</v>
      </c>
      <c r="I346" s="7">
        <f t="shared" si="5"/>
        <v>6.3000000000000007</v>
      </c>
      <c r="J346" t="s">
        <v>894</v>
      </c>
    </row>
    <row r="347" spans="1:10" x14ac:dyDescent="0.25">
      <c r="B347" t="s">
        <v>266</v>
      </c>
      <c r="C347" t="s">
        <v>338</v>
      </c>
      <c r="D347" t="s">
        <v>38</v>
      </c>
      <c r="E347" t="s">
        <v>965</v>
      </c>
      <c r="F347" t="s">
        <v>1030</v>
      </c>
      <c r="G347" s="7">
        <v>62.76</v>
      </c>
      <c r="H347" s="7">
        <v>51.78</v>
      </c>
      <c r="I347" s="7">
        <f t="shared" si="5"/>
        <v>10.979999999999997</v>
      </c>
      <c r="J347" t="s">
        <v>894</v>
      </c>
    </row>
    <row r="348" spans="1:10" x14ac:dyDescent="0.25">
      <c r="B348" t="s">
        <v>266</v>
      </c>
      <c r="C348" t="s">
        <v>37</v>
      </c>
      <c r="D348" t="s">
        <v>38</v>
      </c>
      <c r="E348" t="s">
        <v>965</v>
      </c>
      <c r="F348" t="s">
        <v>426</v>
      </c>
      <c r="G348" s="7">
        <v>52.3</v>
      </c>
      <c r="H348" s="7">
        <v>43.15</v>
      </c>
      <c r="I348" s="7">
        <f t="shared" si="5"/>
        <v>9.1499999999999986</v>
      </c>
      <c r="J348" t="s">
        <v>894</v>
      </c>
    </row>
    <row r="349" spans="1:10" x14ac:dyDescent="0.25">
      <c r="B349" t="s">
        <v>266</v>
      </c>
      <c r="C349" t="s">
        <v>338</v>
      </c>
      <c r="D349" t="s">
        <v>38</v>
      </c>
      <c r="E349" t="s">
        <v>1059</v>
      </c>
      <c r="F349" t="s">
        <v>1030</v>
      </c>
      <c r="G349" s="7">
        <v>45.6</v>
      </c>
      <c r="H349" s="7">
        <v>37.619999999999997</v>
      </c>
      <c r="I349" s="7">
        <f t="shared" si="5"/>
        <v>7.980000000000004</v>
      </c>
      <c r="J349" t="s">
        <v>894</v>
      </c>
    </row>
    <row r="350" spans="1:10" x14ac:dyDescent="0.25">
      <c r="B350" t="s">
        <v>266</v>
      </c>
      <c r="C350" t="s">
        <v>37</v>
      </c>
      <c r="D350" t="s">
        <v>38</v>
      </c>
      <c r="E350" t="s">
        <v>1059</v>
      </c>
      <c r="F350" t="s">
        <v>426</v>
      </c>
      <c r="G350" s="7">
        <v>52.3</v>
      </c>
      <c r="H350" s="7">
        <v>43.15</v>
      </c>
      <c r="I350" s="7">
        <f t="shared" si="5"/>
        <v>9.1499999999999986</v>
      </c>
      <c r="J350" t="s">
        <v>894</v>
      </c>
    </row>
    <row r="351" spans="1:10" x14ac:dyDescent="0.25">
      <c r="B351" t="s">
        <v>266</v>
      </c>
      <c r="C351" t="s">
        <v>338</v>
      </c>
      <c r="D351" t="s">
        <v>38</v>
      </c>
      <c r="E351" t="s">
        <v>966</v>
      </c>
      <c r="F351" t="s">
        <v>1030</v>
      </c>
      <c r="G351" s="7">
        <v>13.2</v>
      </c>
      <c r="H351" s="7">
        <v>10.89</v>
      </c>
      <c r="I351" s="7">
        <f t="shared" si="5"/>
        <v>2.3099999999999987</v>
      </c>
      <c r="J351" t="s">
        <v>894</v>
      </c>
    </row>
    <row r="352" spans="1:10" x14ac:dyDescent="0.25">
      <c r="B352" t="s">
        <v>266</v>
      </c>
      <c r="C352" t="s">
        <v>37</v>
      </c>
      <c r="D352" t="s">
        <v>38</v>
      </c>
      <c r="E352" t="s">
        <v>966</v>
      </c>
      <c r="F352" t="s">
        <v>426</v>
      </c>
      <c r="G352" s="7">
        <v>11</v>
      </c>
      <c r="H352" s="7">
        <v>9.08</v>
      </c>
      <c r="I352" s="7">
        <f t="shared" si="5"/>
        <v>1.92</v>
      </c>
      <c r="J352" t="s">
        <v>894</v>
      </c>
    </row>
    <row r="353" spans="1:10" x14ac:dyDescent="0.25">
      <c r="B353" t="s">
        <v>266</v>
      </c>
      <c r="C353" t="s">
        <v>338</v>
      </c>
      <c r="D353" t="s">
        <v>38</v>
      </c>
      <c r="E353" t="s">
        <v>967</v>
      </c>
      <c r="F353" t="s">
        <v>1030</v>
      </c>
      <c r="G353" s="7">
        <v>9.6</v>
      </c>
      <c r="H353" s="7">
        <v>7.92</v>
      </c>
      <c r="I353" s="7">
        <f t="shared" si="5"/>
        <v>1.6799999999999997</v>
      </c>
      <c r="J353" t="s">
        <v>894</v>
      </c>
    </row>
    <row r="354" spans="1:10" x14ac:dyDescent="0.25">
      <c r="B354" t="s">
        <v>266</v>
      </c>
      <c r="C354" t="s">
        <v>37</v>
      </c>
      <c r="D354" t="s">
        <v>38</v>
      </c>
      <c r="E354" t="s">
        <v>967</v>
      </c>
      <c r="F354" t="s">
        <v>426</v>
      </c>
      <c r="G354" s="7">
        <v>8</v>
      </c>
      <c r="H354" s="7">
        <v>6.6</v>
      </c>
      <c r="I354" s="7">
        <f t="shared" si="5"/>
        <v>1.4000000000000004</v>
      </c>
      <c r="J354" t="s">
        <v>894</v>
      </c>
    </row>
    <row r="355" spans="1:10" x14ac:dyDescent="0.25">
      <c r="B355" t="s">
        <v>269</v>
      </c>
      <c r="C355" t="s">
        <v>338</v>
      </c>
      <c r="D355" t="s">
        <v>38</v>
      </c>
      <c r="E355" t="s">
        <v>968</v>
      </c>
      <c r="F355" t="s">
        <v>1030</v>
      </c>
      <c r="G355" s="7">
        <v>33</v>
      </c>
      <c r="H355" s="7">
        <v>27.23</v>
      </c>
      <c r="I355" s="7">
        <f t="shared" si="5"/>
        <v>5.77</v>
      </c>
      <c r="J355" t="s">
        <v>894</v>
      </c>
    </row>
    <row r="356" spans="1:10" x14ac:dyDescent="0.25">
      <c r="B356" t="s">
        <v>269</v>
      </c>
      <c r="C356" t="s">
        <v>37</v>
      </c>
      <c r="D356" t="s">
        <v>38</v>
      </c>
      <c r="E356" t="s">
        <v>968</v>
      </c>
      <c r="F356" t="s">
        <v>426</v>
      </c>
      <c r="G356" s="7">
        <v>27.5</v>
      </c>
      <c r="H356" s="7">
        <v>22.69</v>
      </c>
      <c r="I356" s="7">
        <f t="shared" si="5"/>
        <v>4.8099999999999987</v>
      </c>
      <c r="J356" t="s">
        <v>894</v>
      </c>
    </row>
    <row r="357" spans="1:10" x14ac:dyDescent="0.25">
      <c r="B357" t="s">
        <v>269</v>
      </c>
      <c r="C357" t="s">
        <v>338</v>
      </c>
      <c r="D357" t="s">
        <v>38</v>
      </c>
      <c r="E357" t="s">
        <v>969</v>
      </c>
      <c r="F357" t="s">
        <v>1030</v>
      </c>
      <c r="G357" s="7">
        <v>24</v>
      </c>
      <c r="H357" s="7">
        <v>19.8</v>
      </c>
      <c r="I357" s="7">
        <f t="shared" si="5"/>
        <v>4.1999999999999993</v>
      </c>
      <c r="J357" t="s">
        <v>894</v>
      </c>
    </row>
    <row r="358" spans="1:10" x14ac:dyDescent="0.25">
      <c r="B358" t="s">
        <v>269</v>
      </c>
      <c r="C358" t="s">
        <v>37</v>
      </c>
      <c r="D358" t="s">
        <v>38</v>
      </c>
      <c r="E358" t="s">
        <v>969</v>
      </c>
      <c r="F358" t="s">
        <v>426</v>
      </c>
      <c r="G358" s="7">
        <v>20</v>
      </c>
      <c r="H358" s="7">
        <v>16.5</v>
      </c>
      <c r="I358" s="7">
        <f t="shared" si="5"/>
        <v>3.5</v>
      </c>
      <c r="J358" t="s">
        <v>894</v>
      </c>
    </row>
    <row r="359" spans="1:10" x14ac:dyDescent="0.25">
      <c r="B359" t="s">
        <v>269</v>
      </c>
      <c r="C359" t="s">
        <v>338</v>
      </c>
      <c r="D359" t="s">
        <v>38</v>
      </c>
      <c r="E359" t="s">
        <v>970</v>
      </c>
      <c r="F359" t="s">
        <v>1030</v>
      </c>
      <c r="G359" s="7">
        <v>13.2</v>
      </c>
      <c r="H359" s="7">
        <v>10.89</v>
      </c>
      <c r="I359" s="7">
        <f t="shared" si="5"/>
        <v>2.3099999999999987</v>
      </c>
      <c r="J359" t="s">
        <v>894</v>
      </c>
    </row>
    <row r="360" spans="1:10" x14ac:dyDescent="0.25">
      <c r="B360" t="s">
        <v>269</v>
      </c>
      <c r="C360" t="s">
        <v>338</v>
      </c>
      <c r="D360" t="s">
        <v>38</v>
      </c>
      <c r="E360" t="s">
        <v>970</v>
      </c>
      <c r="F360" t="s">
        <v>426</v>
      </c>
      <c r="G360" s="7">
        <v>11</v>
      </c>
      <c r="H360" s="7">
        <v>9.08</v>
      </c>
      <c r="I360" s="7">
        <f t="shared" si="5"/>
        <v>1.92</v>
      </c>
      <c r="J360" t="s">
        <v>894</v>
      </c>
    </row>
    <row r="361" spans="1:10" x14ac:dyDescent="0.25">
      <c r="B361" t="s">
        <v>269</v>
      </c>
      <c r="C361" t="s">
        <v>338</v>
      </c>
      <c r="D361" t="s">
        <v>38</v>
      </c>
      <c r="E361" t="s">
        <v>1064</v>
      </c>
      <c r="F361" t="s">
        <v>1030</v>
      </c>
      <c r="G361" s="7">
        <v>9.6</v>
      </c>
      <c r="H361" s="7">
        <v>7.92</v>
      </c>
      <c r="I361" s="7">
        <f t="shared" si="5"/>
        <v>1.6799999999999997</v>
      </c>
      <c r="J361" t="s">
        <v>894</v>
      </c>
    </row>
    <row r="362" spans="1:10" x14ac:dyDescent="0.25">
      <c r="B362" t="s">
        <v>269</v>
      </c>
      <c r="C362" t="s">
        <v>338</v>
      </c>
      <c r="D362" t="s">
        <v>38</v>
      </c>
      <c r="E362" t="s">
        <v>1064</v>
      </c>
      <c r="F362" t="s">
        <v>426</v>
      </c>
      <c r="G362" s="7">
        <v>8</v>
      </c>
      <c r="H362" s="7">
        <v>6.6</v>
      </c>
      <c r="I362" s="7">
        <f t="shared" si="5"/>
        <v>1.4000000000000004</v>
      </c>
      <c r="J362" t="s">
        <v>894</v>
      </c>
    </row>
    <row r="363" spans="1:10" x14ac:dyDescent="0.25">
      <c r="A363" t="s">
        <v>289</v>
      </c>
      <c r="B363" t="s">
        <v>433</v>
      </c>
      <c r="C363" t="s">
        <v>338</v>
      </c>
      <c r="D363" t="s">
        <v>38</v>
      </c>
      <c r="E363" t="s">
        <v>1053</v>
      </c>
      <c r="F363" t="s">
        <v>1030</v>
      </c>
      <c r="G363" s="7">
        <v>7.2</v>
      </c>
      <c r="H363" s="7">
        <v>5.94</v>
      </c>
      <c r="I363" s="7">
        <f t="shared" si="5"/>
        <v>1.2599999999999998</v>
      </c>
      <c r="J363" t="s">
        <v>894</v>
      </c>
    </row>
    <row r="364" spans="1:10" x14ac:dyDescent="0.25">
      <c r="B364" t="s">
        <v>433</v>
      </c>
      <c r="C364" t="s">
        <v>37</v>
      </c>
      <c r="D364" t="s">
        <v>38</v>
      </c>
      <c r="E364" t="s">
        <v>1053</v>
      </c>
      <c r="F364" t="s">
        <v>426</v>
      </c>
      <c r="G364" s="7">
        <v>6</v>
      </c>
      <c r="H364" s="7">
        <v>4.95</v>
      </c>
      <c r="I364" s="7">
        <f t="shared" si="5"/>
        <v>1.0499999999999998</v>
      </c>
      <c r="J364" t="s">
        <v>894</v>
      </c>
    </row>
    <row r="365" spans="1:10" x14ac:dyDescent="0.25">
      <c r="B365" t="s">
        <v>433</v>
      </c>
      <c r="C365" t="s">
        <v>338</v>
      </c>
      <c r="D365" t="s">
        <v>38</v>
      </c>
      <c r="E365" t="s">
        <v>1054</v>
      </c>
      <c r="F365" t="s">
        <v>1030</v>
      </c>
      <c r="G365" s="7">
        <v>9.9600000000000009</v>
      </c>
      <c r="H365" s="7">
        <v>8.2200000000000006</v>
      </c>
      <c r="I365" s="7">
        <f t="shared" si="5"/>
        <v>1.7400000000000002</v>
      </c>
      <c r="J365" t="s">
        <v>894</v>
      </c>
    </row>
    <row r="366" spans="1:10" x14ac:dyDescent="0.25">
      <c r="B366" t="s">
        <v>433</v>
      </c>
      <c r="C366" t="s">
        <v>37</v>
      </c>
      <c r="D366" t="s">
        <v>38</v>
      </c>
      <c r="E366" t="s">
        <v>1054</v>
      </c>
      <c r="F366" t="s">
        <v>426</v>
      </c>
      <c r="G366" s="7">
        <v>8.3000000000000007</v>
      </c>
      <c r="H366" s="7">
        <v>6.85</v>
      </c>
      <c r="I366" s="7">
        <f t="shared" si="5"/>
        <v>1.4500000000000011</v>
      </c>
      <c r="J366" t="s">
        <v>894</v>
      </c>
    </row>
    <row r="367" spans="1:10" x14ac:dyDescent="0.25">
      <c r="B367" t="s">
        <v>266</v>
      </c>
      <c r="C367" t="s">
        <v>338</v>
      </c>
      <c r="D367" t="s">
        <v>38</v>
      </c>
      <c r="E367" t="s">
        <v>1060</v>
      </c>
      <c r="F367" t="s">
        <v>1030</v>
      </c>
      <c r="G367" s="7">
        <v>144</v>
      </c>
      <c r="H367" s="7">
        <v>118.8</v>
      </c>
      <c r="I367" s="7">
        <f t="shared" si="5"/>
        <v>25.200000000000003</v>
      </c>
      <c r="J367" t="s">
        <v>894</v>
      </c>
    </row>
    <row r="368" spans="1:10" x14ac:dyDescent="0.25">
      <c r="B368" t="s">
        <v>266</v>
      </c>
      <c r="C368" t="s">
        <v>37</v>
      </c>
      <c r="D368" t="s">
        <v>38</v>
      </c>
      <c r="E368" t="s">
        <v>1060</v>
      </c>
      <c r="F368" t="s">
        <v>426</v>
      </c>
      <c r="G368" s="7">
        <v>120</v>
      </c>
      <c r="H368" s="7">
        <v>99</v>
      </c>
      <c r="I368" s="7">
        <f t="shared" si="5"/>
        <v>21</v>
      </c>
      <c r="J368" t="s">
        <v>894</v>
      </c>
    </row>
    <row r="369" spans="2:10" x14ac:dyDescent="0.25">
      <c r="B369" t="s">
        <v>266</v>
      </c>
      <c r="C369" t="s">
        <v>338</v>
      </c>
      <c r="D369" t="s">
        <v>38</v>
      </c>
      <c r="E369" t="s">
        <v>1061</v>
      </c>
      <c r="F369" t="s">
        <v>1030</v>
      </c>
      <c r="G369" s="7">
        <v>192</v>
      </c>
      <c r="H369" s="7">
        <v>158.4</v>
      </c>
      <c r="I369" s="7">
        <f t="shared" si="5"/>
        <v>33.599999999999994</v>
      </c>
      <c r="J369" t="s">
        <v>894</v>
      </c>
    </row>
    <row r="370" spans="2:10" x14ac:dyDescent="0.25">
      <c r="B370" t="s">
        <v>266</v>
      </c>
      <c r="C370" t="s">
        <v>37</v>
      </c>
      <c r="D370" t="s">
        <v>38</v>
      </c>
      <c r="E370" t="s">
        <v>1061</v>
      </c>
      <c r="F370" t="s">
        <v>426</v>
      </c>
      <c r="G370" s="7">
        <v>160</v>
      </c>
      <c r="H370" s="7">
        <v>132</v>
      </c>
      <c r="I370" s="7">
        <f t="shared" si="5"/>
        <v>28</v>
      </c>
      <c r="J370" t="s">
        <v>894</v>
      </c>
    </row>
    <row r="371" spans="2:10" x14ac:dyDescent="0.25">
      <c r="B371" t="s">
        <v>436</v>
      </c>
      <c r="C371" t="s">
        <v>338</v>
      </c>
      <c r="D371" t="s">
        <v>38</v>
      </c>
      <c r="E371" t="s">
        <v>1062</v>
      </c>
      <c r="F371" t="s">
        <v>1030</v>
      </c>
      <c r="G371" s="7">
        <v>82.56</v>
      </c>
      <c r="H371" s="7">
        <v>68.11</v>
      </c>
      <c r="I371" s="7">
        <f t="shared" si="5"/>
        <v>14.450000000000003</v>
      </c>
      <c r="J371" t="s">
        <v>894</v>
      </c>
    </row>
    <row r="372" spans="2:10" x14ac:dyDescent="0.25">
      <c r="B372" t="s">
        <v>436</v>
      </c>
      <c r="C372" t="s">
        <v>37</v>
      </c>
      <c r="D372" t="s">
        <v>38</v>
      </c>
      <c r="E372" t="s">
        <v>1062</v>
      </c>
      <c r="F372" t="s">
        <v>426</v>
      </c>
      <c r="G372" s="7">
        <v>68.8</v>
      </c>
      <c r="H372" s="7">
        <v>56.76</v>
      </c>
      <c r="I372" s="7">
        <f t="shared" si="5"/>
        <v>12.04</v>
      </c>
      <c r="J372" t="s">
        <v>894</v>
      </c>
    </row>
    <row r="373" spans="2:10" x14ac:dyDescent="0.25">
      <c r="B373" t="s">
        <v>436</v>
      </c>
      <c r="C373" t="s">
        <v>338</v>
      </c>
      <c r="D373" t="s">
        <v>38</v>
      </c>
      <c r="E373" t="s">
        <v>1063</v>
      </c>
      <c r="F373" t="s">
        <v>1030</v>
      </c>
      <c r="G373" s="7">
        <v>60</v>
      </c>
      <c r="H373" s="7">
        <v>49.5</v>
      </c>
      <c r="I373" s="7">
        <f t="shared" si="5"/>
        <v>10.5</v>
      </c>
      <c r="J373" t="s">
        <v>894</v>
      </c>
    </row>
    <row r="374" spans="2:10" x14ac:dyDescent="0.25">
      <c r="B374" t="s">
        <v>436</v>
      </c>
      <c r="C374" t="s">
        <v>37</v>
      </c>
      <c r="D374" t="s">
        <v>38</v>
      </c>
      <c r="E374" t="s">
        <v>1063</v>
      </c>
      <c r="F374" t="s">
        <v>426</v>
      </c>
      <c r="G374" s="7">
        <v>50</v>
      </c>
      <c r="H374" s="7">
        <v>41.25</v>
      </c>
      <c r="I374" s="7">
        <f t="shared" si="5"/>
        <v>8.75</v>
      </c>
      <c r="J374" t="s">
        <v>894</v>
      </c>
    </row>
    <row r="375" spans="2:10" x14ac:dyDescent="0.25">
      <c r="B375" t="s">
        <v>438</v>
      </c>
      <c r="C375" t="s">
        <v>338</v>
      </c>
      <c r="D375" t="s">
        <v>38</v>
      </c>
      <c r="E375" t="s">
        <v>1065</v>
      </c>
      <c r="F375" t="s">
        <v>1030</v>
      </c>
      <c r="G375" s="7">
        <v>36</v>
      </c>
      <c r="H375" s="7">
        <v>29.7</v>
      </c>
      <c r="I375" s="7">
        <f t="shared" si="5"/>
        <v>6.3000000000000007</v>
      </c>
      <c r="J375" t="s">
        <v>894</v>
      </c>
    </row>
    <row r="376" spans="2:10" x14ac:dyDescent="0.25">
      <c r="B376" t="s">
        <v>438</v>
      </c>
      <c r="C376" t="s">
        <v>37</v>
      </c>
      <c r="D376" t="s">
        <v>38</v>
      </c>
      <c r="E376" t="s">
        <v>1065</v>
      </c>
      <c r="F376" t="s">
        <v>426</v>
      </c>
      <c r="G376" s="7">
        <v>30</v>
      </c>
      <c r="H376" s="7">
        <v>24.75</v>
      </c>
      <c r="I376" s="7">
        <f t="shared" si="5"/>
        <v>5.25</v>
      </c>
      <c r="J376" t="s">
        <v>894</v>
      </c>
    </row>
    <row r="377" spans="2:10" x14ac:dyDescent="0.25">
      <c r="B377" t="s">
        <v>438</v>
      </c>
      <c r="C377" t="s">
        <v>338</v>
      </c>
      <c r="D377" t="s">
        <v>38</v>
      </c>
      <c r="E377" t="s">
        <v>1066</v>
      </c>
      <c r="F377" t="s">
        <v>1030</v>
      </c>
      <c r="G377" s="7">
        <v>49.56</v>
      </c>
      <c r="H377" s="7">
        <v>40.89</v>
      </c>
      <c r="I377" s="7">
        <f t="shared" si="5"/>
        <v>8.6700000000000017</v>
      </c>
      <c r="J377" t="s">
        <v>894</v>
      </c>
    </row>
    <row r="378" spans="2:10" x14ac:dyDescent="0.25">
      <c r="B378" t="s">
        <v>438</v>
      </c>
      <c r="C378" t="s">
        <v>37</v>
      </c>
      <c r="D378" t="s">
        <v>38</v>
      </c>
      <c r="E378" t="s">
        <v>1066</v>
      </c>
      <c r="F378" t="s">
        <v>426</v>
      </c>
      <c r="G378" s="7">
        <v>41.3</v>
      </c>
      <c r="H378" s="7">
        <v>34.08</v>
      </c>
      <c r="I378" s="7">
        <f t="shared" si="5"/>
        <v>7.2199999999999989</v>
      </c>
      <c r="J378" t="s">
        <v>894</v>
      </c>
    </row>
    <row r="379" spans="2:10" x14ac:dyDescent="0.25">
      <c r="B379" t="s">
        <v>440</v>
      </c>
      <c r="C379" t="s">
        <v>338</v>
      </c>
      <c r="D379" t="s">
        <v>38</v>
      </c>
      <c r="E379" t="s">
        <v>1080</v>
      </c>
      <c r="F379" t="s">
        <v>1030</v>
      </c>
      <c r="G379" s="7">
        <v>198</v>
      </c>
      <c r="H379" s="7">
        <v>152.46</v>
      </c>
      <c r="I379" s="7">
        <f t="shared" si="5"/>
        <v>45.539999999999992</v>
      </c>
      <c r="J379" t="s">
        <v>894</v>
      </c>
    </row>
    <row r="380" spans="2:10" x14ac:dyDescent="0.25">
      <c r="B380" t="s">
        <v>440</v>
      </c>
      <c r="C380" t="s">
        <v>37</v>
      </c>
      <c r="D380" t="s">
        <v>38</v>
      </c>
      <c r="E380" t="s">
        <v>1080</v>
      </c>
      <c r="F380" t="s">
        <v>426</v>
      </c>
      <c r="G380" s="7">
        <v>165</v>
      </c>
      <c r="H380" s="7">
        <v>127.05</v>
      </c>
      <c r="I380" s="7">
        <f t="shared" si="5"/>
        <v>37.950000000000003</v>
      </c>
      <c r="J380" t="s">
        <v>894</v>
      </c>
    </row>
    <row r="381" spans="2:10" x14ac:dyDescent="0.25">
      <c r="B381" t="s">
        <v>440</v>
      </c>
      <c r="C381" t="s">
        <v>338</v>
      </c>
      <c r="D381" t="s">
        <v>38</v>
      </c>
      <c r="E381" t="s">
        <v>1081</v>
      </c>
      <c r="F381" t="s">
        <v>1030</v>
      </c>
      <c r="G381" s="7">
        <v>144</v>
      </c>
      <c r="H381" s="7">
        <v>110.88</v>
      </c>
      <c r="I381" s="7">
        <f t="shared" si="5"/>
        <v>33.120000000000005</v>
      </c>
      <c r="J381" t="s">
        <v>894</v>
      </c>
    </row>
    <row r="382" spans="2:10" x14ac:dyDescent="0.25">
      <c r="B382" t="s">
        <v>440</v>
      </c>
      <c r="C382" t="s">
        <v>37</v>
      </c>
      <c r="D382" t="s">
        <v>38</v>
      </c>
      <c r="E382" t="s">
        <v>1081</v>
      </c>
      <c r="F382" t="s">
        <v>426</v>
      </c>
      <c r="G382" s="7">
        <v>120</v>
      </c>
      <c r="H382" s="7">
        <v>92.4</v>
      </c>
      <c r="I382" s="7">
        <f t="shared" si="5"/>
        <v>27.599999999999994</v>
      </c>
      <c r="J382" t="s">
        <v>894</v>
      </c>
    </row>
    <row r="383" spans="2:10" x14ac:dyDescent="0.25">
      <c r="I383" s="7"/>
    </row>
    <row r="384" spans="2:10" x14ac:dyDescent="0.25">
      <c r="B384" t="s">
        <v>726</v>
      </c>
      <c r="C384" t="s">
        <v>37</v>
      </c>
      <c r="D384" t="s">
        <v>38</v>
      </c>
      <c r="E384" t="s">
        <v>1309</v>
      </c>
      <c r="F384" t="s">
        <v>426</v>
      </c>
      <c r="G384" s="7">
        <v>100</v>
      </c>
      <c r="H384" s="7">
        <v>82.5</v>
      </c>
      <c r="I384" s="7">
        <f>G384-H384</f>
        <v>17.5</v>
      </c>
      <c r="J384" t="s">
        <v>894</v>
      </c>
    </row>
    <row r="385" spans="2:10" x14ac:dyDescent="0.25">
      <c r="B385" t="s">
        <v>726</v>
      </c>
      <c r="C385" t="s">
        <v>373</v>
      </c>
      <c r="D385" t="s">
        <v>38</v>
      </c>
      <c r="E385" t="s">
        <v>1309</v>
      </c>
      <c r="F385" t="s">
        <v>427</v>
      </c>
      <c r="G385" s="7">
        <v>100</v>
      </c>
      <c r="H385" s="7">
        <v>82.5</v>
      </c>
      <c r="I385" s="7">
        <f t="shared" ref="I385:I435" si="6">G385-H385</f>
        <v>17.5</v>
      </c>
      <c r="J385" t="s">
        <v>894</v>
      </c>
    </row>
    <row r="386" spans="2:10" x14ac:dyDescent="0.25">
      <c r="B386" t="s">
        <v>726</v>
      </c>
      <c r="C386" t="s">
        <v>338</v>
      </c>
      <c r="D386" t="s">
        <v>38</v>
      </c>
      <c r="E386" t="s">
        <v>1309</v>
      </c>
      <c r="F386" t="s">
        <v>1030</v>
      </c>
      <c r="G386" s="7">
        <v>120</v>
      </c>
      <c r="H386" s="7">
        <v>99</v>
      </c>
      <c r="I386" s="7">
        <f t="shared" si="6"/>
        <v>21</v>
      </c>
      <c r="J386" t="s">
        <v>894</v>
      </c>
    </row>
    <row r="387" spans="2:10" x14ac:dyDescent="0.25">
      <c r="B387" t="s">
        <v>726</v>
      </c>
      <c r="C387" t="s">
        <v>37</v>
      </c>
      <c r="D387" t="s">
        <v>38</v>
      </c>
      <c r="E387" t="s">
        <v>1310</v>
      </c>
      <c r="F387" t="s">
        <v>426</v>
      </c>
      <c r="G387" s="7">
        <v>680</v>
      </c>
      <c r="H387" s="7">
        <v>561</v>
      </c>
      <c r="I387" s="7">
        <f t="shared" si="6"/>
        <v>119</v>
      </c>
      <c r="J387" t="s">
        <v>894</v>
      </c>
    </row>
    <row r="388" spans="2:10" x14ac:dyDescent="0.25">
      <c r="B388" t="s">
        <v>726</v>
      </c>
      <c r="C388" t="s">
        <v>373</v>
      </c>
      <c r="D388" t="s">
        <v>38</v>
      </c>
      <c r="E388" t="s">
        <v>1310</v>
      </c>
      <c r="F388" t="s">
        <v>427</v>
      </c>
      <c r="G388" s="7">
        <v>680</v>
      </c>
      <c r="H388" s="7">
        <v>561</v>
      </c>
      <c r="I388" s="7">
        <f t="shared" si="6"/>
        <v>119</v>
      </c>
      <c r="J388" t="s">
        <v>894</v>
      </c>
    </row>
    <row r="389" spans="2:10" x14ac:dyDescent="0.25">
      <c r="B389" t="s">
        <v>726</v>
      </c>
      <c r="C389" t="s">
        <v>338</v>
      </c>
      <c r="D389" t="s">
        <v>38</v>
      </c>
      <c r="E389" t="s">
        <v>1310</v>
      </c>
      <c r="F389" t="s">
        <v>1030</v>
      </c>
      <c r="G389" s="7">
        <v>816</v>
      </c>
      <c r="H389" s="7">
        <v>673.2</v>
      </c>
      <c r="I389" s="7">
        <f t="shared" si="6"/>
        <v>142.79999999999995</v>
      </c>
      <c r="J389" t="s">
        <v>894</v>
      </c>
    </row>
    <row r="390" spans="2:10" x14ac:dyDescent="0.25">
      <c r="B390" t="s">
        <v>726</v>
      </c>
      <c r="C390" t="s">
        <v>37</v>
      </c>
      <c r="D390" t="s">
        <v>38</v>
      </c>
      <c r="E390" t="s">
        <v>1311</v>
      </c>
      <c r="F390" t="s">
        <v>426</v>
      </c>
      <c r="G390" s="7">
        <v>120</v>
      </c>
      <c r="H390" s="7">
        <v>105.6</v>
      </c>
      <c r="I390" s="7">
        <f t="shared" si="6"/>
        <v>14.400000000000006</v>
      </c>
      <c r="J390" t="s">
        <v>894</v>
      </c>
    </row>
    <row r="391" spans="2:10" x14ac:dyDescent="0.25">
      <c r="B391" t="s">
        <v>726</v>
      </c>
      <c r="C391" t="s">
        <v>338</v>
      </c>
      <c r="D391" t="s">
        <v>38</v>
      </c>
      <c r="E391" t="s">
        <v>1311</v>
      </c>
      <c r="F391" t="s">
        <v>1030</v>
      </c>
      <c r="G391" s="7">
        <v>144</v>
      </c>
      <c r="H391" s="7">
        <v>126.72</v>
      </c>
      <c r="I391" s="7">
        <f t="shared" si="6"/>
        <v>17.28</v>
      </c>
      <c r="J391" t="s">
        <v>894</v>
      </c>
    </row>
    <row r="392" spans="2:10" x14ac:dyDescent="0.25">
      <c r="B392" t="s">
        <v>726</v>
      </c>
      <c r="C392" t="s">
        <v>37</v>
      </c>
      <c r="D392" t="s">
        <v>38</v>
      </c>
      <c r="E392" t="s">
        <v>1312</v>
      </c>
      <c r="F392" t="s">
        <v>426</v>
      </c>
      <c r="G392" s="7">
        <v>935</v>
      </c>
      <c r="H392" s="7">
        <v>771.375</v>
      </c>
      <c r="I392" s="7">
        <f t="shared" si="6"/>
        <v>163.625</v>
      </c>
      <c r="J392" t="s">
        <v>894</v>
      </c>
    </row>
    <row r="393" spans="2:10" x14ac:dyDescent="0.25">
      <c r="B393" t="s">
        <v>726</v>
      </c>
      <c r="C393" t="s">
        <v>373</v>
      </c>
      <c r="D393" t="s">
        <v>38</v>
      </c>
      <c r="E393" t="s">
        <v>1312</v>
      </c>
      <c r="F393" t="s">
        <v>427</v>
      </c>
      <c r="G393" s="7">
        <v>935</v>
      </c>
      <c r="H393" s="7">
        <v>771.375</v>
      </c>
      <c r="I393" s="7">
        <f t="shared" si="6"/>
        <v>163.625</v>
      </c>
      <c r="J393" t="s">
        <v>894</v>
      </c>
    </row>
    <row r="394" spans="2:10" x14ac:dyDescent="0.25">
      <c r="B394" t="s">
        <v>726</v>
      </c>
      <c r="C394" t="s">
        <v>338</v>
      </c>
      <c r="D394" t="s">
        <v>38</v>
      </c>
      <c r="E394" t="s">
        <v>1312</v>
      </c>
      <c r="F394" t="s">
        <v>1030</v>
      </c>
      <c r="G394" s="7">
        <v>1122</v>
      </c>
      <c r="H394" s="7">
        <v>925.65</v>
      </c>
      <c r="I394" s="7">
        <f t="shared" si="6"/>
        <v>196.35000000000002</v>
      </c>
      <c r="J394" t="s">
        <v>894</v>
      </c>
    </row>
    <row r="395" spans="2:10" x14ac:dyDescent="0.25">
      <c r="B395" t="s">
        <v>726</v>
      </c>
      <c r="C395" t="s">
        <v>37</v>
      </c>
      <c r="D395" t="s">
        <v>38</v>
      </c>
      <c r="E395" t="s">
        <v>1313</v>
      </c>
      <c r="F395" t="s">
        <v>426</v>
      </c>
      <c r="G395" s="7">
        <v>165</v>
      </c>
      <c r="H395" s="7">
        <v>145.19999999999999</v>
      </c>
      <c r="I395" s="7">
        <f t="shared" si="6"/>
        <v>19.800000000000011</v>
      </c>
      <c r="J395" t="s">
        <v>894</v>
      </c>
    </row>
    <row r="396" spans="2:10" x14ac:dyDescent="0.25">
      <c r="B396" t="s">
        <v>726</v>
      </c>
      <c r="C396" t="s">
        <v>338</v>
      </c>
      <c r="D396" t="s">
        <v>38</v>
      </c>
      <c r="E396" t="s">
        <v>1313</v>
      </c>
      <c r="F396" t="s">
        <v>1030</v>
      </c>
      <c r="G396" s="7">
        <v>198</v>
      </c>
      <c r="H396" s="7">
        <v>174.24</v>
      </c>
      <c r="I396" s="7">
        <f t="shared" si="6"/>
        <v>23.759999999999991</v>
      </c>
      <c r="J396" t="s">
        <v>894</v>
      </c>
    </row>
    <row r="397" spans="2:10" x14ac:dyDescent="0.25">
      <c r="B397" t="s">
        <v>726</v>
      </c>
      <c r="C397" t="s">
        <v>37</v>
      </c>
      <c r="D397" t="s">
        <v>38</v>
      </c>
      <c r="E397" t="s">
        <v>1314</v>
      </c>
      <c r="F397" t="s">
        <v>426</v>
      </c>
      <c r="G397" s="7">
        <v>137.5</v>
      </c>
      <c r="H397" s="7">
        <v>113.443</v>
      </c>
      <c r="I397" s="7">
        <f t="shared" si="6"/>
        <v>24.057000000000002</v>
      </c>
      <c r="J397" t="s">
        <v>894</v>
      </c>
    </row>
    <row r="398" spans="2:10" x14ac:dyDescent="0.25">
      <c r="B398" t="s">
        <v>726</v>
      </c>
      <c r="C398" t="s">
        <v>373</v>
      </c>
      <c r="D398" t="s">
        <v>38</v>
      </c>
      <c r="E398" t="s">
        <v>1314</v>
      </c>
      <c r="F398" t="s">
        <v>427</v>
      </c>
      <c r="G398" s="7">
        <v>137.5</v>
      </c>
      <c r="H398" s="7">
        <v>113.443</v>
      </c>
      <c r="I398" s="7">
        <f t="shared" si="6"/>
        <v>24.057000000000002</v>
      </c>
      <c r="J398" t="s">
        <v>894</v>
      </c>
    </row>
    <row r="399" spans="2:10" x14ac:dyDescent="0.25">
      <c r="B399" t="s">
        <v>726</v>
      </c>
      <c r="C399" t="s">
        <v>338</v>
      </c>
      <c r="D399" t="s">
        <v>38</v>
      </c>
      <c r="E399" t="s">
        <v>1314</v>
      </c>
      <c r="F399" t="s">
        <v>1030</v>
      </c>
      <c r="G399" s="7">
        <v>165</v>
      </c>
      <c r="H399" s="7">
        <v>136.13</v>
      </c>
      <c r="I399" s="7">
        <f t="shared" si="6"/>
        <v>28.870000000000005</v>
      </c>
      <c r="J399" t="s">
        <v>894</v>
      </c>
    </row>
    <row r="400" spans="2:10" x14ac:dyDescent="0.25">
      <c r="B400" t="s">
        <v>726</v>
      </c>
      <c r="C400" t="s">
        <v>37</v>
      </c>
      <c r="D400" t="s">
        <v>38</v>
      </c>
      <c r="E400" t="s">
        <v>1315</v>
      </c>
      <c r="F400" t="s">
        <v>426</v>
      </c>
      <c r="G400" s="7">
        <v>600</v>
      </c>
      <c r="H400" s="7">
        <v>495</v>
      </c>
      <c r="I400" s="7">
        <f t="shared" si="6"/>
        <v>105</v>
      </c>
      <c r="J400" t="s">
        <v>894</v>
      </c>
    </row>
    <row r="401" spans="2:10" x14ac:dyDescent="0.25">
      <c r="B401" t="s">
        <v>726</v>
      </c>
      <c r="C401" t="s">
        <v>373</v>
      </c>
      <c r="D401" t="s">
        <v>38</v>
      </c>
      <c r="E401" t="s">
        <v>1315</v>
      </c>
      <c r="F401" t="s">
        <v>427</v>
      </c>
      <c r="G401" s="7">
        <v>600</v>
      </c>
      <c r="H401" s="7">
        <v>495</v>
      </c>
      <c r="I401" s="7">
        <f t="shared" si="6"/>
        <v>105</v>
      </c>
      <c r="J401" t="s">
        <v>894</v>
      </c>
    </row>
    <row r="402" spans="2:10" x14ac:dyDescent="0.25">
      <c r="B402" t="s">
        <v>726</v>
      </c>
      <c r="C402" t="s">
        <v>338</v>
      </c>
      <c r="D402" t="s">
        <v>38</v>
      </c>
      <c r="E402" t="s">
        <v>1315</v>
      </c>
      <c r="F402" t="s">
        <v>1030</v>
      </c>
      <c r="G402" s="7">
        <v>720</v>
      </c>
      <c r="H402" s="7">
        <v>594</v>
      </c>
      <c r="I402" s="7">
        <f t="shared" si="6"/>
        <v>126</v>
      </c>
      <c r="J402" t="s">
        <v>894</v>
      </c>
    </row>
    <row r="403" spans="2:10" x14ac:dyDescent="0.25">
      <c r="B403" t="s">
        <v>726</v>
      </c>
      <c r="C403" t="s">
        <v>37</v>
      </c>
      <c r="D403" t="s">
        <v>38</v>
      </c>
      <c r="E403" t="s">
        <v>1316</v>
      </c>
      <c r="F403" t="s">
        <v>426</v>
      </c>
      <c r="G403" s="7">
        <v>825</v>
      </c>
      <c r="H403" s="7">
        <v>680.625</v>
      </c>
      <c r="I403" s="7">
        <f t="shared" si="6"/>
        <v>144.375</v>
      </c>
      <c r="J403" t="s">
        <v>894</v>
      </c>
    </row>
    <row r="404" spans="2:10" x14ac:dyDescent="0.25">
      <c r="B404" t="s">
        <v>726</v>
      </c>
      <c r="C404" t="s">
        <v>373</v>
      </c>
      <c r="D404" t="s">
        <v>38</v>
      </c>
      <c r="E404" t="s">
        <v>1316</v>
      </c>
      <c r="F404" t="s">
        <v>427</v>
      </c>
      <c r="G404" s="7">
        <v>825</v>
      </c>
      <c r="H404" s="7">
        <v>680.625</v>
      </c>
      <c r="I404" s="7">
        <f t="shared" si="6"/>
        <v>144.375</v>
      </c>
      <c r="J404" t="s">
        <v>894</v>
      </c>
    </row>
    <row r="405" spans="2:10" x14ac:dyDescent="0.25">
      <c r="B405" t="s">
        <v>726</v>
      </c>
      <c r="C405" t="s">
        <v>338</v>
      </c>
      <c r="D405" t="s">
        <v>38</v>
      </c>
      <c r="E405" t="s">
        <v>1316</v>
      </c>
      <c r="F405" t="s">
        <v>1030</v>
      </c>
      <c r="G405" s="7">
        <v>990</v>
      </c>
      <c r="H405" s="7">
        <v>816.75</v>
      </c>
      <c r="I405" s="7">
        <f t="shared" si="6"/>
        <v>173.25</v>
      </c>
      <c r="J405" t="s">
        <v>894</v>
      </c>
    </row>
    <row r="406" spans="2:10" x14ac:dyDescent="0.25">
      <c r="B406" t="s">
        <v>726</v>
      </c>
      <c r="C406" t="s">
        <v>37</v>
      </c>
      <c r="D406" t="s">
        <v>38</v>
      </c>
      <c r="E406" t="s">
        <v>1317</v>
      </c>
      <c r="F406" t="s">
        <v>426</v>
      </c>
      <c r="G406" s="7">
        <v>400</v>
      </c>
      <c r="H406" s="7">
        <v>330</v>
      </c>
      <c r="I406" s="7">
        <f t="shared" si="6"/>
        <v>70</v>
      </c>
      <c r="J406" t="s">
        <v>894</v>
      </c>
    </row>
    <row r="407" spans="2:10" x14ac:dyDescent="0.25">
      <c r="B407" t="s">
        <v>726</v>
      </c>
      <c r="C407" t="s">
        <v>373</v>
      </c>
      <c r="D407" t="s">
        <v>38</v>
      </c>
      <c r="E407" t="s">
        <v>1317</v>
      </c>
      <c r="F407" t="s">
        <v>427</v>
      </c>
      <c r="G407" s="7">
        <v>400</v>
      </c>
      <c r="H407" s="7">
        <v>330</v>
      </c>
      <c r="I407" s="7">
        <f t="shared" si="6"/>
        <v>70</v>
      </c>
      <c r="J407" t="s">
        <v>894</v>
      </c>
    </row>
    <row r="408" spans="2:10" x14ac:dyDescent="0.25">
      <c r="B408" t="s">
        <v>726</v>
      </c>
      <c r="C408" t="s">
        <v>338</v>
      </c>
      <c r="D408" t="s">
        <v>38</v>
      </c>
      <c r="E408" t="s">
        <v>1317</v>
      </c>
      <c r="F408" t="s">
        <v>1030</v>
      </c>
      <c r="G408" s="7">
        <v>480</v>
      </c>
      <c r="H408" s="7">
        <v>396</v>
      </c>
      <c r="I408" s="7">
        <f t="shared" si="6"/>
        <v>84</v>
      </c>
      <c r="J408" t="s">
        <v>894</v>
      </c>
    </row>
    <row r="409" spans="2:10" x14ac:dyDescent="0.25">
      <c r="B409" t="s">
        <v>726</v>
      </c>
      <c r="C409" t="s">
        <v>37</v>
      </c>
      <c r="D409" t="s">
        <v>38</v>
      </c>
      <c r="E409" t="s">
        <v>1318</v>
      </c>
      <c r="F409" t="s">
        <v>426</v>
      </c>
      <c r="G409" s="7">
        <v>550</v>
      </c>
      <c r="H409" s="7">
        <v>453.75</v>
      </c>
      <c r="I409" s="7">
        <f t="shared" si="6"/>
        <v>96.25</v>
      </c>
      <c r="J409" t="s">
        <v>894</v>
      </c>
    </row>
    <row r="410" spans="2:10" x14ac:dyDescent="0.25">
      <c r="B410" t="s">
        <v>726</v>
      </c>
      <c r="C410" t="s">
        <v>373</v>
      </c>
      <c r="D410" t="s">
        <v>38</v>
      </c>
      <c r="E410" t="s">
        <v>1318</v>
      </c>
      <c r="F410" t="s">
        <v>427</v>
      </c>
      <c r="G410" s="7">
        <v>550</v>
      </c>
      <c r="H410" s="7">
        <v>453.75</v>
      </c>
      <c r="I410" s="7">
        <f t="shared" si="6"/>
        <v>96.25</v>
      </c>
      <c r="J410" t="s">
        <v>894</v>
      </c>
    </row>
    <row r="411" spans="2:10" x14ac:dyDescent="0.25">
      <c r="B411" t="s">
        <v>726</v>
      </c>
      <c r="C411" t="s">
        <v>338</v>
      </c>
      <c r="D411" t="s">
        <v>38</v>
      </c>
      <c r="E411" t="s">
        <v>1318</v>
      </c>
      <c r="F411" t="s">
        <v>1030</v>
      </c>
      <c r="G411" s="7">
        <v>660</v>
      </c>
      <c r="H411" s="7">
        <v>544.5</v>
      </c>
      <c r="I411" s="7">
        <f t="shared" si="6"/>
        <v>115.5</v>
      </c>
      <c r="J411" t="s">
        <v>894</v>
      </c>
    </row>
    <row r="412" spans="2:10" x14ac:dyDescent="0.25">
      <c r="B412" t="s">
        <v>726</v>
      </c>
      <c r="C412" t="s">
        <v>37</v>
      </c>
      <c r="D412" t="s">
        <v>38</v>
      </c>
      <c r="E412" t="s">
        <v>1319</v>
      </c>
      <c r="F412" t="s">
        <v>426</v>
      </c>
      <c r="G412" s="7">
        <v>200</v>
      </c>
      <c r="H412" s="7">
        <v>165</v>
      </c>
      <c r="I412" s="7">
        <f t="shared" si="6"/>
        <v>35</v>
      </c>
      <c r="J412" t="s">
        <v>894</v>
      </c>
    </row>
    <row r="413" spans="2:10" x14ac:dyDescent="0.25">
      <c r="B413" t="s">
        <v>726</v>
      </c>
      <c r="C413" t="s">
        <v>373</v>
      </c>
      <c r="D413" t="s">
        <v>38</v>
      </c>
      <c r="E413" t="s">
        <v>1319</v>
      </c>
      <c r="F413" t="s">
        <v>427</v>
      </c>
      <c r="G413" s="7">
        <v>200</v>
      </c>
      <c r="H413" s="7">
        <v>165</v>
      </c>
      <c r="I413" s="7">
        <f t="shared" si="6"/>
        <v>35</v>
      </c>
      <c r="J413" t="s">
        <v>894</v>
      </c>
    </row>
    <row r="414" spans="2:10" x14ac:dyDescent="0.25">
      <c r="B414" t="s">
        <v>726</v>
      </c>
      <c r="C414" t="s">
        <v>338</v>
      </c>
      <c r="D414" t="s">
        <v>38</v>
      </c>
      <c r="E414" t="s">
        <v>1319</v>
      </c>
      <c r="F414" t="s">
        <v>1030</v>
      </c>
      <c r="G414" s="7">
        <v>240</v>
      </c>
      <c r="H414" s="7">
        <v>198</v>
      </c>
      <c r="I414" s="7">
        <f t="shared" si="6"/>
        <v>42</v>
      </c>
      <c r="J414" t="s">
        <v>894</v>
      </c>
    </row>
    <row r="415" spans="2:10" x14ac:dyDescent="0.25">
      <c r="B415" t="s">
        <v>726</v>
      </c>
      <c r="C415" t="s">
        <v>37</v>
      </c>
      <c r="D415" t="s">
        <v>38</v>
      </c>
      <c r="E415" t="s">
        <v>1320</v>
      </c>
      <c r="F415" t="s">
        <v>426</v>
      </c>
      <c r="G415" s="7">
        <v>275</v>
      </c>
      <c r="H415" s="7">
        <v>226.875</v>
      </c>
      <c r="I415" s="7">
        <f t="shared" si="6"/>
        <v>48.125</v>
      </c>
      <c r="J415" t="s">
        <v>894</v>
      </c>
    </row>
    <row r="416" spans="2:10" x14ac:dyDescent="0.25">
      <c r="B416" t="s">
        <v>726</v>
      </c>
      <c r="C416" t="s">
        <v>373</v>
      </c>
      <c r="D416" t="s">
        <v>38</v>
      </c>
      <c r="E416" t="s">
        <v>1320</v>
      </c>
      <c r="F416" t="s">
        <v>427</v>
      </c>
      <c r="G416" s="7">
        <v>275</v>
      </c>
      <c r="H416" s="7">
        <v>226.875</v>
      </c>
      <c r="I416" s="7">
        <f t="shared" si="6"/>
        <v>48.125</v>
      </c>
      <c r="J416" t="s">
        <v>894</v>
      </c>
    </row>
    <row r="417" spans="2:10" x14ac:dyDescent="0.25">
      <c r="B417" t="s">
        <v>726</v>
      </c>
      <c r="C417" t="s">
        <v>338</v>
      </c>
      <c r="D417" t="s">
        <v>38</v>
      </c>
      <c r="E417" t="s">
        <v>1320</v>
      </c>
      <c r="F417" t="s">
        <v>1030</v>
      </c>
      <c r="G417" s="7">
        <v>330</v>
      </c>
      <c r="H417" s="7">
        <v>272.25</v>
      </c>
      <c r="I417" s="7">
        <f t="shared" si="6"/>
        <v>57.75</v>
      </c>
      <c r="J417" t="s">
        <v>894</v>
      </c>
    </row>
    <row r="418" spans="2:10" x14ac:dyDescent="0.25">
      <c r="B418" t="s">
        <v>726</v>
      </c>
      <c r="C418" t="s">
        <v>37</v>
      </c>
      <c r="D418" t="s">
        <v>38</v>
      </c>
      <c r="E418" t="s">
        <v>1321</v>
      </c>
      <c r="F418" t="s">
        <v>426</v>
      </c>
      <c r="G418" s="7">
        <v>0</v>
      </c>
      <c r="H418" s="7">
        <v>0</v>
      </c>
      <c r="I418" s="7">
        <f t="shared" si="6"/>
        <v>0</v>
      </c>
      <c r="J418" t="s">
        <v>894</v>
      </c>
    </row>
    <row r="419" spans="2:10" x14ac:dyDescent="0.25">
      <c r="B419" t="s">
        <v>726</v>
      </c>
      <c r="C419" t="s">
        <v>373</v>
      </c>
      <c r="D419" t="s">
        <v>38</v>
      </c>
      <c r="E419" t="s">
        <v>1321</v>
      </c>
      <c r="F419" t="s">
        <v>427</v>
      </c>
      <c r="G419" s="7">
        <v>0</v>
      </c>
      <c r="H419" s="7">
        <v>0</v>
      </c>
      <c r="I419" s="7">
        <f t="shared" si="6"/>
        <v>0</v>
      </c>
      <c r="J419" t="s">
        <v>894</v>
      </c>
    </row>
    <row r="420" spans="2:10" x14ac:dyDescent="0.25">
      <c r="B420" t="s">
        <v>726</v>
      </c>
      <c r="C420" t="s">
        <v>338</v>
      </c>
      <c r="D420" t="s">
        <v>38</v>
      </c>
      <c r="E420" t="s">
        <v>1321</v>
      </c>
      <c r="F420" t="s">
        <v>1030</v>
      </c>
      <c r="G420" s="7">
        <v>0</v>
      </c>
      <c r="I420" s="7">
        <f t="shared" si="6"/>
        <v>0</v>
      </c>
      <c r="J420" t="s">
        <v>894</v>
      </c>
    </row>
    <row r="421" spans="2:10" x14ac:dyDescent="0.25">
      <c r="B421" t="s">
        <v>726</v>
      </c>
      <c r="C421" t="s">
        <v>37</v>
      </c>
      <c r="D421" t="s">
        <v>38</v>
      </c>
      <c r="E421" t="s">
        <v>1322</v>
      </c>
      <c r="F421" t="s">
        <v>426</v>
      </c>
      <c r="G421" s="7">
        <v>0</v>
      </c>
      <c r="H421" s="7">
        <v>0</v>
      </c>
      <c r="I421" s="7">
        <f t="shared" si="6"/>
        <v>0</v>
      </c>
      <c r="J421" t="s">
        <v>894</v>
      </c>
    </row>
    <row r="422" spans="2:10" x14ac:dyDescent="0.25">
      <c r="B422" t="s">
        <v>726</v>
      </c>
      <c r="C422" t="s">
        <v>373</v>
      </c>
      <c r="D422" t="s">
        <v>38</v>
      </c>
      <c r="E422" t="s">
        <v>1322</v>
      </c>
      <c r="F422" t="s">
        <v>427</v>
      </c>
      <c r="G422" s="7">
        <v>0</v>
      </c>
      <c r="H422" s="7">
        <v>0</v>
      </c>
      <c r="I422" s="7">
        <f t="shared" si="6"/>
        <v>0</v>
      </c>
      <c r="J422" t="s">
        <v>894</v>
      </c>
    </row>
    <row r="423" spans="2:10" x14ac:dyDescent="0.25">
      <c r="B423" t="s">
        <v>726</v>
      </c>
      <c r="C423" t="s">
        <v>338</v>
      </c>
      <c r="D423" t="s">
        <v>38</v>
      </c>
      <c r="E423" t="s">
        <v>1322</v>
      </c>
      <c r="F423" t="s">
        <v>1030</v>
      </c>
      <c r="G423" s="7">
        <v>0</v>
      </c>
      <c r="I423" s="7">
        <f t="shared" si="6"/>
        <v>0</v>
      </c>
      <c r="J423" t="s">
        <v>894</v>
      </c>
    </row>
    <row r="424" spans="2:10" x14ac:dyDescent="0.25">
      <c r="B424" t="s">
        <v>726</v>
      </c>
      <c r="C424" t="s">
        <v>37</v>
      </c>
      <c r="D424" t="s">
        <v>38</v>
      </c>
      <c r="E424" t="s">
        <v>1323</v>
      </c>
      <c r="F424" t="s">
        <v>426</v>
      </c>
      <c r="G424" s="7">
        <v>400</v>
      </c>
      <c r="H424" s="7">
        <v>330</v>
      </c>
      <c r="I424" s="7">
        <f t="shared" si="6"/>
        <v>70</v>
      </c>
      <c r="J424" t="s">
        <v>894</v>
      </c>
    </row>
    <row r="425" spans="2:10" x14ac:dyDescent="0.25">
      <c r="B425" t="s">
        <v>726</v>
      </c>
      <c r="C425" t="s">
        <v>373</v>
      </c>
      <c r="D425" t="s">
        <v>38</v>
      </c>
      <c r="E425" t="s">
        <v>1323</v>
      </c>
      <c r="F425" t="s">
        <v>427</v>
      </c>
      <c r="G425" s="7">
        <v>400</v>
      </c>
      <c r="H425" s="7">
        <v>330</v>
      </c>
      <c r="I425" s="7">
        <f t="shared" si="6"/>
        <v>70</v>
      </c>
      <c r="J425" t="s">
        <v>894</v>
      </c>
    </row>
    <row r="426" spans="2:10" x14ac:dyDescent="0.25">
      <c r="B426" t="s">
        <v>726</v>
      </c>
      <c r="C426" t="s">
        <v>338</v>
      </c>
      <c r="D426" t="s">
        <v>38</v>
      </c>
      <c r="E426" t="s">
        <v>1323</v>
      </c>
      <c r="F426" t="s">
        <v>1030</v>
      </c>
      <c r="G426" s="7">
        <v>480</v>
      </c>
      <c r="H426" s="7">
        <v>396</v>
      </c>
      <c r="I426" s="7">
        <f t="shared" si="6"/>
        <v>84</v>
      </c>
      <c r="J426" t="s">
        <v>894</v>
      </c>
    </row>
    <row r="427" spans="2:10" x14ac:dyDescent="0.25">
      <c r="B427" t="s">
        <v>726</v>
      </c>
      <c r="C427" t="s">
        <v>37</v>
      </c>
      <c r="D427" t="s">
        <v>38</v>
      </c>
      <c r="E427" t="s">
        <v>1324</v>
      </c>
      <c r="F427" t="s">
        <v>426</v>
      </c>
      <c r="G427" s="7">
        <v>550</v>
      </c>
      <c r="H427" s="7">
        <v>453.75</v>
      </c>
      <c r="I427" s="7">
        <f t="shared" si="6"/>
        <v>96.25</v>
      </c>
      <c r="J427" t="s">
        <v>894</v>
      </c>
    </row>
    <row r="428" spans="2:10" x14ac:dyDescent="0.25">
      <c r="B428" t="s">
        <v>726</v>
      </c>
      <c r="C428" t="s">
        <v>373</v>
      </c>
      <c r="D428" t="s">
        <v>38</v>
      </c>
      <c r="E428" t="s">
        <v>1324</v>
      </c>
      <c r="F428" t="s">
        <v>427</v>
      </c>
      <c r="G428" s="7">
        <v>550</v>
      </c>
      <c r="H428" s="7">
        <v>453.75</v>
      </c>
      <c r="I428" s="7">
        <f t="shared" si="6"/>
        <v>96.25</v>
      </c>
      <c r="J428" t="s">
        <v>894</v>
      </c>
    </row>
    <row r="429" spans="2:10" x14ac:dyDescent="0.25">
      <c r="B429" t="s">
        <v>726</v>
      </c>
      <c r="C429" t="s">
        <v>338</v>
      </c>
      <c r="D429" t="s">
        <v>38</v>
      </c>
      <c r="E429" t="s">
        <v>1324</v>
      </c>
      <c r="F429" t="s">
        <v>427</v>
      </c>
      <c r="G429" s="7">
        <v>660</v>
      </c>
      <c r="H429" s="7">
        <v>544.5</v>
      </c>
      <c r="I429" s="7">
        <f t="shared" si="6"/>
        <v>115.5</v>
      </c>
      <c r="J429" t="s">
        <v>894</v>
      </c>
    </row>
    <row r="430" spans="2:10" x14ac:dyDescent="0.25">
      <c r="B430" t="s">
        <v>726</v>
      </c>
      <c r="C430" t="s">
        <v>37</v>
      </c>
      <c r="D430" t="s">
        <v>38</v>
      </c>
      <c r="E430" t="s">
        <v>1325</v>
      </c>
      <c r="F430" t="s">
        <v>426</v>
      </c>
      <c r="G430" s="7">
        <v>800</v>
      </c>
      <c r="H430" s="7">
        <v>660</v>
      </c>
      <c r="I430" s="7">
        <f t="shared" si="6"/>
        <v>140</v>
      </c>
      <c r="J430" t="s">
        <v>894</v>
      </c>
    </row>
    <row r="431" spans="2:10" x14ac:dyDescent="0.25">
      <c r="B431" t="s">
        <v>726</v>
      </c>
      <c r="C431" t="s">
        <v>373</v>
      </c>
      <c r="D431" t="s">
        <v>38</v>
      </c>
      <c r="E431" t="s">
        <v>1325</v>
      </c>
      <c r="F431" t="s">
        <v>427</v>
      </c>
      <c r="G431" s="7">
        <v>800</v>
      </c>
      <c r="H431" s="7">
        <v>660</v>
      </c>
      <c r="I431" s="7">
        <f t="shared" si="6"/>
        <v>140</v>
      </c>
      <c r="J431" t="s">
        <v>894</v>
      </c>
    </row>
    <row r="432" spans="2:10" x14ac:dyDescent="0.25">
      <c r="B432" t="s">
        <v>726</v>
      </c>
      <c r="C432" t="s">
        <v>338</v>
      </c>
      <c r="D432" t="s">
        <v>38</v>
      </c>
      <c r="E432" t="s">
        <v>1325</v>
      </c>
      <c r="F432" t="s">
        <v>1030</v>
      </c>
      <c r="G432" s="7">
        <v>960</v>
      </c>
      <c r="H432" s="7">
        <v>792</v>
      </c>
      <c r="I432" s="7">
        <f t="shared" si="6"/>
        <v>168</v>
      </c>
      <c r="J432" t="s">
        <v>894</v>
      </c>
    </row>
    <row r="433" spans="2:10" x14ac:dyDescent="0.25">
      <c r="B433" t="s">
        <v>726</v>
      </c>
      <c r="C433" t="s">
        <v>37</v>
      </c>
      <c r="D433" t="s">
        <v>38</v>
      </c>
      <c r="E433" t="s">
        <v>1326</v>
      </c>
      <c r="F433" t="s">
        <v>426</v>
      </c>
      <c r="G433" s="7">
        <v>1100</v>
      </c>
      <c r="H433" s="7">
        <v>907.5</v>
      </c>
      <c r="I433" s="7">
        <f t="shared" si="6"/>
        <v>192.5</v>
      </c>
      <c r="J433" t="s">
        <v>894</v>
      </c>
    </row>
    <row r="434" spans="2:10" x14ac:dyDescent="0.25">
      <c r="B434" t="s">
        <v>726</v>
      </c>
      <c r="C434" t="s">
        <v>373</v>
      </c>
      <c r="D434" t="s">
        <v>38</v>
      </c>
      <c r="E434" t="s">
        <v>1326</v>
      </c>
      <c r="F434" t="s">
        <v>427</v>
      </c>
      <c r="G434" s="7">
        <v>1100</v>
      </c>
      <c r="H434" s="7">
        <v>907.5</v>
      </c>
      <c r="I434" s="7">
        <f t="shared" si="6"/>
        <v>192.5</v>
      </c>
      <c r="J434" t="s">
        <v>894</v>
      </c>
    </row>
    <row r="435" spans="2:10" x14ac:dyDescent="0.25">
      <c r="B435" t="s">
        <v>726</v>
      </c>
      <c r="C435" t="s">
        <v>338</v>
      </c>
      <c r="D435" t="s">
        <v>38</v>
      </c>
      <c r="E435" t="s">
        <v>1326</v>
      </c>
      <c r="F435" t="s">
        <v>1030</v>
      </c>
      <c r="G435" s="7">
        <v>1320</v>
      </c>
      <c r="H435" s="7">
        <v>1089</v>
      </c>
      <c r="I435" s="7">
        <f t="shared" si="6"/>
        <v>231</v>
      </c>
      <c r="J435" t="s">
        <v>894</v>
      </c>
    </row>
    <row r="436" spans="2:10" x14ac:dyDescent="0.25">
      <c r="I436" s="7"/>
    </row>
    <row r="437" spans="2:10" x14ac:dyDescent="0.25">
      <c r="E437" s="8" t="s">
        <v>403</v>
      </c>
      <c r="I437" s="7"/>
    </row>
    <row r="438" spans="2:10" x14ac:dyDescent="0.25">
      <c r="B438" t="s">
        <v>280</v>
      </c>
      <c r="C438" t="s">
        <v>338</v>
      </c>
      <c r="D438" t="s">
        <v>38</v>
      </c>
      <c r="E438" t="s">
        <v>1068</v>
      </c>
      <c r="F438" t="s">
        <v>1030</v>
      </c>
      <c r="G438" s="7">
        <v>45.6</v>
      </c>
      <c r="H438" s="7">
        <v>37.619999999999997</v>
      </c>
      <c r="I438" s="7">
        <f>G438-H438</f>
        <v>7.980000000000004</v>
      </c>
      <c r="J438" t="s">
        <v>894</v>
      </c>
    </row>
    <row r="439" spans="2:10" x14ac:dyDescent="0.25">
      <c r="B439" t="s">
        <v>280</v>
      </c>
      <c r="C439" t="s">
        <v>37</v>
      </c>
      <c r="D439" t="s">
        <v>38</v>
      </c>
      <c r="E439" t="s">
        <v>1068</v>
      </c>
      <c r="F439" t="s">
        <v>426</v>
      </c>
      <c r="G439" s="7">
        <v>38</v>
      </c>
      <c r="H439" s="7">
        <v>31.35</v>
      </c>
      <c r="I439" s="7">
        <f t="shared" ref="I439:I440" si="7">G439-H439</f>
        <v>6.6499999999999986</v>
      </c>
      <c r="J439" t="s">
        <v>894</v>
      </c>
    </row>
    <row r="440" spans="2:10" x14ac:dyDescent="0.25">
      <c r="B440" t="s">
        <v>280</v>
      </c>
      <c r="C440" t="s">
        <v>338</v>
      </c>
      <c r="D440" t="s">
        <v>38</v>
      </c>
      <c r="E440" t="s">
        <v>971</v>
      </c>
      <c r="F440" t="s">
        <v>1030</v>
      </c>
      <c r="G440" s="7">
        <v>62.76</v>
      </c>
      <c r="H440" s="7">
        <v>51.78</v>
      </c>
      <c r="I440" s="7">
        <f t="shared" si="7"/>
        <v>10.979999999999997</v>
      </c>
      <c r="J440" t="s">
        <v>894</v>
      </c>
    </row>
    <row r="441" spans="2:10" x14ac:dyDescent="0.25">
      <c r="B441" t="s">
        <v>280</v>
      </c>
      <c r="C441" t="s">
        <v>37</v>
      </c>
      <c r="D441" t="s">
        <v>38</v>
      </c>
      <c r="E441" t="s">
        <v>971</v>
      </c>
      <c r="F441" t="s">
        <v>426</v>
      </c>
      <c r="G441" s="7">
        <v>52.3</v>
      </c>
      <c r="H441" s="7">
        <v>43.15</v>
      </c>
      <c r="I441" s="7">
        <f t="shared" si="5"/>
        <v>9.1499999999999986</v>
      </c>
      <c r="J441" t="s">
        <v>894</v>
      </c>
    </row>
    <row r="442" spans="2:10" x14ac:dyDescent="0.25">
      <c r="B442" t="s">
        <v>280</v>
      </c>
      <c r="C442" t="s">
        <v>338</v>
      </c>
      <c r="D442" t="s">
        <v>38</v>
      </c>
      <c r="E442" t="s">
        <v>972</v>
      </c>
      <c r="F442" t="s">
        <v>1030</v>
      </c>
      <c r="G442" s="7">
        <v>13.2</v>
      </c>
      <c r="H442" s="7">
        <v>10.89</v>
      </c>
      <c r="I442" s="7">
        <f t="shared" si="5"/>
        <v>2.3099999999999987</v>
      </c>
      <c r="J442" t="s">
        <v>894</v>
      </c>
    </row>
    <row r="443" spans="2:10" x14ac:dyDescent="0.25">
      <c r="B443" t="s">
        <v>280</v>
      </c>
      <c r="C443" t="s">
        <v>37</v>
      </c>
      <c r="D443" t="s">
        <v>38</v>
      </c>
      <c r="E443" t="s">
        <v>972</v>
      </c>
      <c r="F443" t="s">
        <v>426</v>
      </c>
      <c r="G443" s="7">
        <v>11</v>
      </c>
      <c r="H443" s="7">
        <v>9.08</v>
      </c>
      <c r="I443" s="7">
        <f t="shared" si="5"/>
        <v>1.92</v>
      </c>
      <c r="J443" t="s">
        <v>894</v>
      </c>
    </row>
    <row r="444" spans="2:10" x14ac:dyDescent="0.25">
      <c r="B444" t="s">
        <v>280</v>
      </c>
      <c r="C444" t="s">
        <v>338</v>
      </c>
      <c r="D444" t="s">
        <v>38</v>
      </c>
      <c r="E444" t="s">
        <v>1069</v>
      </c>
      <c r="F444" t="s">
        <v>1030</v>
      </c>
      <c r="G444" s="7">
        <v>9.6</v>
      </c>
      <c r="H444" s="7">
        <v>7.92</v>
      </c>
      <c r="I444" s="7">
        <f t="shared" si="5"/>
        <v>1.6799999999999997</v>
      </c>
      <c r="J444" t="s">
        <v>894</v>
      </c>
    </row>
    <row r="445" spans="2:10" x14ac:dyDescent="0.25">
      <c r="B445" t="s">
        <v>280</v>
      </c>
      <c r="C445" t="s">
        <v>37</v>
      </c>
      <c r="D445" t="s">
        <v>38</v>
      </c>
      <c r="E445" t="s">
        <v>1069</v>
      </c>
      <c r="F445" t="s">
        <v>426</v>
      </c>
      <c r="G445" s="7">
        <v>8</v>
      </c>
      <c r="H445" s="7">
        <v>6.6</v>
      </c>
      <c r="I445" s="7">
        <f t="shared" si="5"/>
        <v>1.4000000000000004</v>
      </c>
      <c r="J445" t="s">
        <v>894</v>
      </c>
    </row>
    <row r="446" spans="2:10" x14ac:dyDescent="0.25">
      <c r="I446" s="7"/>
    </row>
    <row r="447" spans="2:10" x14ac:dyDescent="0.25">
      <c r="E447" s="8" t="s">
        <v>376</v>
      </c>
      <c r="I447" s="7"/>
    </row>
    <row r="448" spans="2:10" x14ac:dyDescent="0.25">
      <c r="B448" t="s">
        <v>174</v>
      </c>
      <c r="C448" t="s">
        <v>338</v>
      </c>
      <c r="D448" t="s">
        <v>38</v>
      </c>
      <c r="E448" t="s">
        <v>973</v>
      </c>
      <c r="F448" t="s">
        <v>1030</v>
      </c>
      <c r="G448" s="7">
        <v>118.8</v>
      </c>
      <c r="H448" s="7">
        <v>91.48</v>
      </c>
      <c r="I448" s="7">
        <f t="shared" si="5"/>
        <v>27.319999999999993</v>
      </c>
      <c r="J448" t="s">
        <v>894</v>
      </c>
    </row>
    <row r="449" spans="2:10" x14ac:dyDescent="0.25">
      <c r="B449" t="s">
        <v>174</v>
      </c>
      <c r="C449" t="s">
        <v>37</v>
      </c>
      <c r="D449" t="s">
        <v>38</v>
      </c>
      <c r="E449" t="s">
        <v>973</v>
      </c>
      <c r="F449" t="s">
        <v>426</v>
      </c>
      <c r="G449" s="7">
        <v>99</v>
      </c>
      <c r="H449" s="7">
        <v>76.23</v>
      </c>
      <c r="I449" s="7">
        <f t="shared" si="5"/>
        <v>22.769999999999996</v>
      </c>
      <c r="J449" t="s">
        <v>894</v>
      </c>
    </row>
    <row r="450" spans="2:10" x14ac:dyDescent="0.25">
      <c r="B450" t="s">
        <v>174</v>
      </c>
      <c r="C450" t="s">
        <v>338</v>
      </c>
      <c r="D450" t="s">
        <v>38</v>
      </c>
      <c r="E450" t="s">
        <v>1070</v>
      </c>
      <c r="F450" t="s">
        <v>1030</v>
      </c>
      <c r="G450" s="7">
        <v>86.4</v>
      </c>
      <c r="H450" s="7">
        <v>66.53</v>
      </c>
      <c r="I450" s="7">
        <f t="shared" si="5"/>
        <v>19.870000000000005</v>
      </c>
      <c r="J450" t="s">
        <v>894</v>
      </c>
    </row>
    <row r="451" spans="2:10" x14ac:dyDescent="0.25">
      <c r="B451" t="s">
        <v>174</v>
      </c>
      <c r="C451" t="s">
        <v>37</v>
      </c>
      <c r="D451" t="s">
        <v>38</v>
      </c>
      <c r="E451" t="s">
        <v>1070</v>
      </c>
      <c r="F451" t="s">
        <v>426</v>
      </c>
      <c r="G451" s="7">
        <v>72</v>
      </c>
      <c r="H451" s="7">
        <v>55.44</v>
      </c>
      <c r="I451" s="7">
        <f t="shared" si="5"/>
        <v>16.560000000000002</v>
      </c>
      <c r="J451" t="s">
        <v>894</v>
      </c>
    </row>
    <row r="452" spans="2:10" x14ac:dyDescent="0.25">
      <c r="B452" t="s">
        <v>174</v>
      </c>
      <c r="C452" t="s">
        <v>338</v>
      </c>
      <c r="D452" t="s">
        <v>38</v>
      </c>
      <c r="E452" t="s">
        <v>974</v>
      </c>
      <c r="F452" t="s">
        <v>1030</v>
      </c>
      <c r="G452" s="7">
        <v>19.8</v>
      </c>
      <c r="H452" s="7">
        <v>15.25</v>
      </c>
      <c r="I452" s="7">
        <f t="shared" si="5"/>
        <v>4.5500000000000007</v>
      </c>
      <c r="J452" t="s">
        <v>894</v>
      </c>
    </row>
    <row r="453" spans="2:10" x14ac:dyDescent="0.25">
      <c r="B453" t="s">
        <v>174</v>
      </c>
      <c r="C453" t="s">
        <v>37</v>
      </c>
      <c r="D453" t="s">
        <v>38</v>
      </c>
      <c r="E453" t="s">
        <v>974</v>
      </c>
      <c r="F453" t="s">
        <v>426</v>
      </c>
      <c r="G453" s="7">
        <v>16.5</v>
      </c>
      <c r="H453" s="7">
        <v>12.71</v>
      </c>
      <c r="I453" s="7">
        <f t="shared" si="5"/>
        <v>3.7899999999999991</v>
      </c>
      <c r="J453" t="s">
        <v>894</v>
      </c>
    </row>
    <row r="454" spans="2:10" x14ac:dyDescent="0.25">
      <c r="B454" t="s">
        <v>174</v>
      </c>
      <c r="C454" t="s">
        <v>338</v>
      </c>
      <c r="D454" t="s">
        <v>38</v>
      </c>
      <c r="E454" t="s">
        <v>1071</v>
      </c>
      <c r="F454" t="s">
        <v>1030</v>
      </c>
      <c r="G454" s="7">
        <v>14</v>
      </c>
      <c r="H454" s="7">
        <v>11.9</v>
      </c>
      <c r="I454" s="7">
        <f t="shared" si="5"/>
        <v>2.0999999999999996</v>
      </c>
      <c r="J454" t="s">
        <v>894</v>
      </c>
    </row>
    <row r="455" spans="2:10" x14ac:dyDescent="0.25">
      <c r="B455" t="s">
        <v>174</v>
      </c>
      <c r="C455" t="s">
        <v>37</v>
      </c>
      <c r="D455" t="s">
        <v>38</v>
      </c>
      <c r="E455" t="s">
        <v>1071</v>
      </c>
      <c r="F455" t="s">
        <v>426</v>
      </c>
      <c r="G455" s="7">
        <v>12</v>
      </c>
      <c r="H455" s="7">
        <v>9.24</v>
      </c>
      <c r="I455" s="7">
        <f t="shared" si="5"/>
        <v>2.76</v>
      </c>
      <c r="J455" t="s">
        <v>894</v>
      </c>
    </row>
    <row r="456" spans="2:10" x14ac:dyDescent="0.25">
      <c r="B456" t="s">
        <v>849</v>
      </c>
      <c r="C456" t="s">
        <v>338</v>
      </c>
      <c r="D456" t="s">
        <v>38</v>
      </c>
      <c r="E456" t="s">
        <v>1403</v>
      </c>
      <c r="F456" t="s">
        <v>1030</v>
      </c>
      <c r="G456" s="7">
        <v>144</v>
      </c>
      <c r="H456" s="7">
        <v>110.88</v>
      </c>
      <c r="I456" s="7">
        <f t="shared" si="5"/>
        <v>33.120000000000005</v>
      </c>
      <c r="J456" t="s">
        <v>894</v>
      </c>
    </row>
    <row r="457" spans="2:10" x14ac:dyDescent="0.25">
      <c r="B457" t="s">
        <v>849</v>
      </c>
      <c r="C457" t="s">
        <v>37</v>
      </c>
      <c r="D457" t="s">
        <v>38</v>
      </c>
      <c r="E457" t="s">
        <v>1403</v>
      </c>
      <c r="F457" t="s">
        <v>426</v>
      </c>
      <c r="G457" s="7">
        <v>120</v>
      </c>
      <c r="H457" s="7">
        <v>92.4</v>
      </c>
      <c r="I457" s="7">
        <f t="shared" si="5"/>
        <v>27.599999999999994</v>
      </c>
      <c r="J457" t="s">
        <v>894</v>
      </c>
    </row>
    <row r="458" spans="2:10" x14ac:dyDescent="0.25">
      <c r="B458" t="s">
        <v>849</v>
      </c>
      <c r="C458" t="s">
        <v>338</v>
      </c>
      <c r="D458" t="s">
        <v>38</v>
      </c>
      <c r="E458" t="s">
        <v>1404</v>
      </c>
      <c r="F458" t="s">
        <v>1030</v>
      </c>
      <c r="G458" s="7">
        <v>198</v>
      </c>
      <c r="H458" s="7">
        <v>152.46</v>
      </c>
      <c r="I458" s="7">
        <f t="shared" si="5"/>
        <v>45.539999999999992</v>
      </c>
      <c r="J458" t="s">
        <v>894</v>
      </c>
    </row>
    <row r="459" spans="2:10" x14ac:dyDescent="0.25">
      <c r="B459" t="s">
        <v>849</v>
      </c>
      <c r="C459" t="s">
        <v>37</v>
      </c>
      <c r="D459" t="s">
        <v>38</v>
      </c>
      <c r="E459" t="s">
        <v>1404</v>
      </c>
      <c r="F459" t="s">
        <v>426</v>
      </c>
      <c r="G459" s="7">
        <v>165</v>
      </c>
      <c r="H459" s="7">
        <v>127.05</v>
      </c>
      <c r="I459" s="7">
        <f t="shared" si="5"/>
        <v>37.950000000000003</v>
      </c>
      <c r="J459" t="s">
        <v>894</v>
      </c>
    </row>
    <row r="460" spans="2:10" x14ac:dyDescent="0.25">
      <c r="I460" s="7"/>
    </row>
    <row r="461" spans="2:10" x14ac:dyDescent="0.25">
      <c r="E461" s="8" t="s">
        <v>407</v>
      </c>
      <c r="I461" s="7"/>
    </row>
    <row r="462" spans="2:10" x14ac:dyDescent="0.25">
      <c r="B462" t="s">
        <v>290</v>
      </c>
      <c r="C462" t="s">
        <v>338</v>
      </c>
      <c r="D462" t="s">
        <v>38</v>
      </c>
      <c r="E462" t="s">
        <v>975</v>
      </c>
      <c r="F462" t="s">
        <v>1030</v>
      </c>
      <c r="G462" s="7">
        <v>660</v>
      </c>
      <c r="H462" s="7">
        <v>508.2</v>
      </c>
      <c r="I462" s="7">
        <f t="shared" si="5"/>
        <v>151.80000000000001</v>
      </c>
      <c r="J462" t="s">
        <v>894</v>
      </c>
    </row>
    <row r="463" spans="2:10" x14ac:dyDescent="0.25">
      <c r="B463" t="s">
        <v>290</v>
      </c>
      <c r="C463" t="s">
        <v>37</v>
      </c>
      <c r="D463" t="s">
        <v>38</v>
      </c>
      <c r="E463" t="s">
        <v>975</v>
      </c>
      <c r="F463" t="s">
        <v>426</v>
      </c>
      <c r="G463" s="7">
        <v>550</v>
      </c>
      <c r="H463" s="7">
        <v>423.5</v>
      </c>
      <c r="I463" s="7">
        <f t="shared" si="5"/>
        <v>126.5</v>
      </c>
      <c r="J463" t="s">
        <v>894</v>
      </c>
    </row>
    <row r="464" spans="2:10" x14ac:dyDescent="0.25">
      <c r="B464" t="s">
        <v>290</v>
      </c>
      <c r="C464" t="s">
        <v>338</v>
      </c>
      <c r="D464" t="s">
        <v>38</v>
      </c>
      <c r="E464" t="s">
        <v>1072</v>
      </c>
      <c r="F464" t="s">
        <v>1030</v>
      </c>
      <c r="G464" s="7">
        <v>99</v>
      </c>
      <c r="H464" s="7">
        <v>76.23</v>
      </c>
      <c r="I464" s="7">
        <f t="shared" si="5"/>
        <v>22.769999999999996</v>
      </c>
      <c r="J464" t="s">
        <v>894</v>
      </c>
    </row>
    <row r="465" spans="1:10" x14ac:dyDescent="0.25">
      <c r="B465" t="s">
        <v>290</v>
      </c>
      <c r="C465" t="s">
        <v>37</v>
      </c>
      <c r="D465" t="s">
        <v>38</v>
      </c>
      <c r="E465" t="s">
        <v>1072</v>
      </c>
      <c r="F465" t="s">
        <v>426</v>
      </c>
      <c r="G465" s="7">
        <v>82.5</v>
      </c>
      <c r="H465" s="7">
        <v>63.53</v>
      </c>
      <c r="I465" s="7">
        <f t="shared" si="5"/>
        <v>18.97</v>
      </c>
      <c r="J465" t="s">
        <v>894</v>
      </c>
    </row>
    <row r="466" spans="1:10" x14ac:dyDescent="0.25">
      <c r="B466" t="s">
        <v>293</v>
      </c>
      <c r="C466" t="s">
        <v>338</v>
      </c>
      <c r="D466" t="s">
        <v>38</v>
      </c>
      <c r="E466" t="s">
        <v>1073</v>
      </c>
      <c r="F466" t="s">
        <v>1030</v>
      </c>
      <c r="G466" s="7">
        <v>99</v>
      </c>
      <c r="H466" s="7">
        <v>76.23</v>
      </c>
      <c r="I466" s="7">
        <f t="shared" si="5"/>
        <v>22.769999999999996</v>
      </c>
      <c r="J466" t="s">
        <v>894</v>
      </c>
    </row>
    <row r="467" spans="1:10" x14ac:dyDescent="0.25">
      <c r="B467" t="s">
        <v>293</v>
      </c>
      <c r="C467" t="s">
        <v>37</v>
      </c>
      <c r="D467" t="s">
        <v>38</v>
      </c>
      <c r="E467" t="s">
        <v>1073</v>
      </c>
      <c r="F467" t="s">
        <v>426</v>
      </c>
      <c r="G467" s="7">
        <v>82.5</v>
      </c>
      <c r="H467" s="7">
        <v>63.53</v>
      </c>
      <c r="I467" s="7">
        <f t="shared" si="5"/>
        <v>18.97</v>
      </c>
      <c r="J467" t="s">
        <v>894</v>
      </c>
    </row>
    <row r="468" spans="1:10" x14ac:dyDescent="0.25">
      <c r="A468" t="s">
        <v>289</v>
      </c>
      <c r="B468" t="s">
        <v>293</v>
      </c>
      <c r="C468" t="s">
        <v>338</v>
      </c>
      <c r="D468" t="s">
        <v>38</v>
      </c>
      <c r="E468" t="s">
        <v>976</v>
      </c>
      <c r="F468" t="s">
        <v>1030</v>
      </c>
      <c r="G468" s="7">
        <v>660</v>
      </c>
      <c r="H468" s="7">
        <v>508.2</v>
      </c>
      <c r="I468" s="7">
        <f t="shared" si="5"/>
        <v>151.80000000000001</v>
      </c>
      <c r="J468" t="s">
        <v>894</v>
      </c>
    </row>
    <row r="469" spans="1:10" x14ac:dyDescent="0.25">
      <c r="B469" t="s">
        <v>293</v>
      </c>
      <c r="C469" t="s">
        <v>37</v>
      </c>
      <c r="D469" t="s">
        <v>38</v>
      </c>
      <c r="E469" t="s">
        <v>976</v>
      </c>
      <c r="F469" t="s">
        <v>426</v>
      </c>
      <c r="G469" s="7">
        <v>550</v>
      </c>
      <c r="H469" s="7">
        <v>423.5</v>
      </c>
      <c r="I469" s="7">
        <f t="shared" si="5"/>
        <v>126.5</v>
      </c>
      <c r="J469" t="s">
        <v>894</v>
      </c>
    </row>
    <row r="470" spans="1:10" x14ac:dyDescent="0.25">
      <c r="B470" t="s">
        <v>296</v>
      </c>
      <c r="C470" t="s">
        <v>37</v>
      </c>
      <c r="D470" t="s">
        <v>38</v>
      </c>
      <c r="E470" t="s">
        <v>1074</v>
      </c>
      <c r="F470" t="s">
        <v>426</v>
      </c>
      <c r="G470" s="7">
        <v>550</v>
      </c>
      <c r="H470" s="7">
        <v>423.5</v>
      </c>
      <c r="I470" s="7">
        <f t="shared" si="5"/>
        <v>126.5</v>
      </c>
      <c r="J470" t="s">
        <v>894</v>
      </c>
    </row>
    <row r="471" spans="1:10" x14ac:dyDescent="0.25">
      <c r="B471" t="s">
        <v>296</v>
      </c>
      <c r="C471" t="s">
        <v>338</v>
      </c>
      <c r="D471" t="s">
        <v>38</v>
      </c>
      <c r="E471" t="s">
        <v>1074</v>
      </c>
      <c r="F471" t="s">
        <v>1030</v>
      </c>
      <c r="G471" s="7">
        <v>660</v>
      </c>
      <c r="H471" s="7">
        <v>508.2</v>
      </c>
      <c r="I471" s="7">
        <f t="shared" si="5"/>
        <v>151.80000000000001</v>
      </c>
      <c r="J471" t="s">
        <v>894</v>
      </c>
    </row>
    <row r="472" spans="1:10" x14ac:dyDescent="0.25">
      <c r="B472" t="s">
        <v>296</v>
      </c>
      <c r="C472" t="s">
        <v>338</v>
      </c>
      <c r="D472" t="s">
        <v>38</v>
      </c>
      <c r="E472" t="s">
        <v>1075</v>
      </c>
      <c r="F472" t="s">
        <v>1030</v>
      </c>
      <c r="G472" s="7">
        <v>99</v>
      </c>
      <c r="H472" s="7">
        <v>76.23</v>
      </c>
      <c r="I472" s="7">
        <f t="shared" si="5"/>
        <v>22.769999999999996</v>
      </c>
      <c r="J472" t="s">
        <v>894</v>
      </c>
    </row>
    <row r="473" spans="1:10" x14ac:dyDescent="0.25">
      <c r="B473" t="s">
        <v>296</v>
      </c>
      <c r="C473" t="s">
        <v>37</v>
      </c>
      <c r="D473" t="s">
        <v>38</v>
      </c>
      <c r="E473" t="s">
        <v>1075</v>
      </c>
      <c r="F473" t="s">
        <v>426</v>
      </c>
      <c r="G473" s="7">
        <v>82.5</v>
      </c>
      <c r="H473" s="7">
        <v>63.53</v>
      </c>
      <c r="I473" s="7">
        <f t="shared" si="5"/>
        <v>18.97</v>
      </c>
      <c r="J473" t="s">
        <v>894</v>
      </c>
    </row>
    <row r="474" spans="1:10" x14ac:dyDescent="0.25">
      <c r="I474" s="7"/>
    </row>
    <row r="475" spans="1:10" x14ac:dyDescent="0.25">
      <c r="E475" s="8" t="s">
        <v>190</v>
      </c>
      <c r="I475" s="7"/>
    </row>
    <row r="476" spans="1:10" x14ac:dyDescent="0.25">
      <c r="B476" t="s">
        <v>977</v>
      </c>
      <c r="C476" t="s">
        <v>338</v>
      </c>
      <c r="D476" t="s">
        <v>38</v>
      </c>
      <c r="E476" t="s">
        <v>978</v>
      </c>
      <c r="F476" t="s">
        <v>1030</v>
      </c>
      <c r="G476" s="7">
        <v>42.96</v>
      </c>
      <c r="H476" s="7">
        <v>37.81</v>
      </c>
      <c r="I476" s="7">
        <f t="shared" si="5"/>
        <v>5.1499999999999986</v>
      </c>
      <c r="J476" t="s">
        <v>894</v>
      </c>
    </row>
    <row r="477" spans="1:10" x14ac:dyDescent="0.25">
      <c r="B477" t="s">
        <v>977</v>
      </c>
      <c r="C477" t="s">
        <v>37</v>
      </c>
      <c r="D477" t="s">
        <v>38</v>
      </c>
      <c r="E477" t="s">
        <v>978</v>
      </c>
      <c r="F477" t="s">
        <v>426</v>
      </c>
      <c r="G477" s="7">
        <v>35.799999999999997</v>
      </c>
      <c r="H477" s="7">
        <v>31.5</v>
      </c>
      <c r="I477" s="7">
        <f t="shared" si="5"/>
        <v>4.2999999999999972</v>
      </c>
      <c r="J477" t="s">
        <v>894</v>
      </c>
    </row>
    <row r="478" spans="1:10" x14ac:dyDescent="0.25">
      <c r="B478" t="s">
        <v>979</v>
      </c>
      <c r="C478" t="s">
        <v>338</v>
      </c>
      <c r="D478" t="s">
        <v>38</v>
      </c>
      <c r="E478" t="s">
        <v>980</v>
      </c>
      <c r="F478" t="s">
        <v>1030</v>
      </c>
      <c r="G478" s="7">
        <v>31.2</v>
      </c>
      <c r="H478" s="7">
        <v>27.46</v>
      </c>
      <c r="I478" s="7">
        <f t="shared" si="5"/>
        <v>3.7399999999999984</v>
      </c>
      <c r="J478" t="s">
        <v>894</v>
      </c>
    </row>
    <row r="479" spans="1:10" x14ac:dyDescent="0.25">
      <c r="B479" t="s">
        <v>979</v>
      </c>
      <c r="C479" t="s">
        <v>37</v>
      </c>
      <c r="D479" t="s">
        <v>38</v>
      </c>
      <c r="E479" t="s">
        <v>980</v>
      </c>
      <c r="F479" t="s">
        <v>426</v>
      </c>
      <c r="G479" s="7">
        <v>26</v>
      </c>
      <c r="H479" s="7">
        <v>22.88</v>
      </c>
      <c r="I479" s="7">
        <f t="shared" si="5"/>
        <v>3.120000000000001</v>
      </c>
      <c r="J479" t="s">
        <v>894</v>
      </c>
    </row>
    <row r="480" spans="1:10" x14ac:dyDescent="0.25">
      <c r="I480" s="7"/>
    </row>
    <row r="481" spans="2:10" x14ac:dyDescent="0.25">
      <c r="E481" s="8" t="s">
        <v>405</v>
      </c>
      <c r="I481" s="7"/>
    </row>
    <row r="482" spans="2:10" x14ac:dyDescent="0.25">
      <c r="B482" t="s">
        <v>284</v>
      </c>
      <c r="C482" t="s">
        <v>338</v>
      </c>
      <c r="D482" t="s">
        <v>38</v>
      </c>
      <c r="E482" t="s">
        <v>981</v>
      </c>
      <c r="F482" t="s">
        <v>1030</v>
      </c>
      <c r="G482" s="7">
        <v>79.2</v>
      </c>
      <c r="H482" s="7">
        <v>50.82</v>
      </c>
      <c r="I482" s="7">
        <f t="shared" si="5"/>
        <v>28.380000000000003</v>
      </c>
      <c r="J482" t="s">
        <v>894</v>
      </c>
    </row>
    <row r="483" spans="2:10" x14ac:dyDescent="0.25">
      <c r="B483" t="s">
        <v>284</v>
      </c>
      <c r="C483" t="s">
        <v>37</v>
      </c>
      <c r="D483" t="s">
        <v>38</v>
      </c>
      <c r="E483" t="s">
        <v>981</v>
      </c>
      <c r="F483" t="s">
        <v>426</v>
      </c>
      <c r="G483" s="7">
        <v>66</v>
      </c>
      <c r="H483" s="7">
        <v>50.82</v>
      </c>
      <c r="I483" s="7">
        <f t="shared" si="5"/>
        <v>15.18</v>
      </c>
      <c r="J483" t="s">
        <v>894</v>
      </c>
    </row>
    <row r="484" spans="2:10" x14ac:dyDescent="0.25">
      <c r="B484" t="s">
        <v>284</v>
      </c>
      <c r="C484" t="s">
        <v>338</v>
      </c>
      <c r="D484" t="s">
        <v>38</v>
      </c>
      <c r="E484" t="s">
        <v>982</v>
      </c>
      <c r="F484" t="s">
        <v>1030</v>
      </c>
      <c r="G484" s="7">
        <v>924</v>
      </c>
      <c r="H484" s="7">
        <v>711.48</v>
      </c>
      <c r="I484" s="7">
        <f t="shared" si="5"/>
        <v>212.51999999999998</v>
      </c>
      <c r="J484" t="s">
        <v>894</v>
      </c>
    </row>
    <row r="485" spans="2:10" x14ac:dyDescent="0.25">
      <c r="B485" t="s">
        <v>284</v>
      </c>
      <c r="C485" t="s">
        <v>37</v>
      </c>
      <c r="D485" t="s">
        <v>38</v>
      </c>
      <c r="E485" t="s">
        <v>982</v>
      </c>
      <c r="F485" t="s">
        <v>426</v>
      </c>
      <c r="G485" s="7">
        <v>770</v>
      </c>
      <c r="H485" s="7">
        <v>592.9</v>
      </c>
      <c r="I485" s="7">
        <f t="shared" si="5"/>
        <v>177.10000000000002</v>
      </c>
      <c r="J485" t="s">
        <v>894</v>
      </c>
    </row>
    <row r="486" spans="2:10" x14ac:dyDescent="0.25">
      <c r="B486" t="s">
        <v>284</v>
      </c>
      <c r="C486" t="s">
        <v>338</v>
      </c>
      <c r="D486" t="s">
        <v>38</v>
      </c>
      <c r="E486" t="s">
        <v>983</v>
      </c>
      <c r="F486" t="s">
        <v>1030</v>
      </c>
      <c r="G486" s="7">
        <v>19.8</v>
      </c>
      <c r="H486" s="7">
        <v>15.25</v>
      </c>
      <c r="I486" s="7">
        <f t="shared" si="5"/>
        <v>4.5500000000000007</v>
      </c>
      <c r="J486" t="s">
        <v>894</v>
      </c>
    </row>
    <row r="487" spans="2:10" x14ac:dyDescent="0.25">
      <c r="B487" t="s">
        <v>284</v>
      </c>
      <c r="C487" t="s">
        <v>37</v>
      </c>
      <c r="D487" t="s">
        <v>38</v>
      </c>
      <c r="E487" t="s">
        <v>983</v>
      </c>
      <c r="F487" t="s">
        <v>426</v>
      </c>
      <c r="G487" s="7">
        <v>16.5</v>
      </c>
      <c r="H487" s="7">
        <v>12.71</v>
      </c>
      <c r="I487" s="7">
        <f t="shared" si="5"/>
        <v>3.7899999999999991</v>
      </c>
      <c r="J487" t="s">
        <v>894</v>
      </c>
    </row>
    <row r="488" spans="2:10" x14ac:dyDescent="0.25">
      <c r="B488" t="s">
        <v>284</v>
      </c>
      <c r="C488" t="s">
        <v>338</v>
      </c>
      <c r="D488" t="s">
        <v>38</v>
      </c>
      <c r="E488" t="s">
        <v>984</v>
      </c>
      <c r="F488" t="s">
        <v>1030</v>
      </c>
      <c r="G488" s="7">
        <v>2.64</v>
      </c>
      <c r="H488" s="7">
        <v>2.04</v>
      </c>
      <c r="I488" s="7">
        <f t="shared" si="5"/>
        <v>0.60000000000000009</v>
      </c>
      <c r="J488" t="s">
        <v>894</v>
      </c>
    </row>
    <row r="489" spans="2:10" x14ac:dyDescent="0.25">
      <c r="B489" t="s">
        <v>284</v>
      </c>
      <c r="C489" t="s">
        <v>37</v>
      </c>
      <c r="D489" t="s">
        <v>38</v>
      </c>
      <c r="E489" t="s">
        <v>984</v>
      </c>
      <c r="F489" t="s">
        <v>426</v>
      </c>
      <c r="G489" s="7">
        <v>2.2000000000000002</v>
      </c>
      <c r="H489" s="7">
        <v>1.69</v>
      </c>
      <c r="I489" s="7">
        <f t="shared" si="5"/>
        <v>0.51000000000000023</v>
      </c>
      <c r="J489" t="s">
        <v>894</v>
      </c>
    </row>
    <row r="490" spans="2:10" x14ac:dyDescent="0.25">
      <c r="B490" t="s">
        <v>284</v>
      </c>
      <c r="C490" t="s">
        <v>338</v>
      </c>
      <c r="D490" t="s">
        <v>38</v>
      </c>
      <c r="E490" t="s">
        <v>1076</v>
      </c>
      <c r="F490" t="s">
        <v>1030</v>
      </c>
      <c r="G490" s="7">
        <v>57.6</v>
      </c>
      <c r="H490" s="7">
        <v>44.35</v>
      </c>
      <c r="I490" s="7">
        <f t="shared" si="5"/>
        <v>13.25</v>
      </c>
      <c r="J490" t="s">
        <v>894</v>
      </c>
    </row>
    <row r="491" spans="2:10" x14ac:dyDescent="0.25">
      <c r="B491" t="s">
        <v>284</v>
      </c>
      <c r="C491" t="s">
        <v>37</v>
      </c>
      <c r="D491" t="s">
        <v>38</v>
      </c>
      <c r="E491" t="s">
        <v>1076</v>
      </c>
      <c r="F491" t="s">
        <v>426</v>
      </c>
      <c r="G491" s="7">
        <v>48</v>
      </c>
      <c r="H491" s="7">
        <v>36.96</v>
      </c>
      <c r="I491" s="7">
        <f t="shared" si="5"/>
        <v>11.04</v>
      </c>
      <c r="J491" t="s">
        <v>894</v>
      </c>
    </row>
    <row r="492" spans="2:10" x14ac:dyDescent="0.25">
      <c r="B492" t="s">
        <v>284</v>
      </c>
      <c r="C492" t="s">
        <v>338</v>
      </c>
      <c r="D492" t="s">
        <v>38</v>
      </c>
      <c r="E492" t="s">
        <v>1077</v>
      </c>
      <c r="F492" t="s">
        <v>1030</v>
      </c>
      <c r="G492" s="7">
        <v>1.92</v>
      </c>
      <c r="H492" s="7">
        <v>1.47</v>
      </c>
      <c r="I492" s="7">
        <f t="shared" si="5"/>
        <v>0.44999999999999996</v>
      </c>
      <c r="J492" t="s">
        <v>894</v>
      </c>
    </row>
    <row r="493" spans="2:10" x14ac:dyDescent="0.25">
      <c r="B493" t="s">
        <v>284</v>
      </c>
      <c r="C493" t="s">
        <v>37</v>
      </c>
      <c r="D493" t="s">
        <v>38</v>
      </c>
      <c r="E493" t="s">
        <v>1077</v>
      </c>
      <c r="F493" t="s">
        <v>426</v>
      </c>
      <c r="G493" s="7">
        <v>1.6</v>
      </c>
      <c r="H493" s="7">
        <v>1.23</v>
      </c>
      <c r="I493" s="7">
        <f t="shared" si="5"/>
        <v>0.37000000000000011</v>
      </c>
      <c r="J493" t="s">
        <v>894</v>
      </c>
    </row>
    <row r="494" spans="2:10" x14ac:dyDescent="0.25">
      <c r="B494" t="s">
        <v>284</v>
      </c>
      <c r="C494" t="s">
        <v>338</v>
      </c>
      <c r="D494" t="s">
        <v>38</v>
      </c>
      <c r="E494" t="s">
        <v>1078</v>
      </c>
      <c r="F494" t="s">
        <v>1030</v>
      </c>
      <c r="G494" s="7">
        <v>14.4</v>
      </c>
      <c r="H494" s="7">
        <v>11.09</v>
      </c>
      <c r="I494" s="7">
        <f t="shared" si="5"/>
        <v>3.3100000000000005</v>
      </c>
      <c r="J494" t="s">
        <v>894</v>
      </c>
    </row>
    <row r="495" spans="2:10" x14ac:dyDescent="0.25">
      <c r="B495" t="s">
        <v>284</v>
      </c>
      <c r="C495" t="s">
        <v>37</v>
      </c>
      <c r="D495" t="s">
        <v>38</v>
      </c>
      <c r="E495" t="s">
        <v>1078</v>
      </c>
      <c r="F495" t="s">
        <v>426</v>
      </c>
      <c r="G495" s="7">
        <v>12</v>
      </c>
      <c r="H495" s="7">
        <v>9.24</v>
      </c>
      <c r="I495" s="7">
        <f t="shared" si="5"/>
        <v>2.76</v>
      </c>
      <c r="J495" t="s">
        <v>894</v>
      </c>
    </row>
    <row r="496" spans="2:10" x14ac:dyDescent="0.25">
      <c r="B496" t="s">
        <v>284</v>
      </c>
      <c r="C496" t="s">
        <v>338</v>
      </c>
      <c r="D496" t="s">
        <v>38</v>
      </c>
      <c r="E496" t="s">
        <v>1079</v>
      </c>
      <c r="F496" t="s">
        <v>1030</v>
      </c>
      <c r="G496" s="7">
        <v>672</v>
      </c>
      <c r="H496" s="7">
        <v>517.44000000000005</v>
      </c>
      <c r="I496" s="7">
        <f t="shared" si="5"/>
        <v>154.55999999999995</v>
      </c>
      <c r="J496" t="s">
        <v>894</v>
      </c>
    </row>
    <row r="497" spans="2:10" x14ac:dyDescent="0.25">
      <c r="B497" t="s">
        <v>284</v>
      </c>
      <c r="C497" t="s">
        <v>37</v>
      </c>
      <c r="D497" t="s">
        <v>38</v>
      </c>
      <c r="E497" t="s">
        <v>1079</v>
      </c>
      <c r="F497" t="s">
        <v>426</v>
      </c>
      <c r="G497" s="7">
        <v>560</v>
      </c>
      <c r="H497" s="7">
        <v>431.2</v>
      </c>
      <c r="I497" s="7">
        <f t="shared" si="5"/>
        <v>128.80000000000001</v>
      </c>
      <c r="J497" t="s">
        <v>894</v>
      </c>
    </row>
    <row r="498" spans="2:10" x14ac:dyDescent="0.25">
      <c r="I498" s="7"/>
    </row>
    <row r="499" spans="2:10" x14ac:dyDescent="0.25">
      <c r="E499" s="8" t="s">
        <v>401</v>
      </c>
      <c r="I499" s="7"/>
    </row>
    <row r="500" spans="2:10" x14ac:dyDescent="0.25">
      <c r="B500" t="s">
        <v>275</v>
      </c>
      <c r="C500" t="s">
        <v>338</v>
      </c>
      <c r="D500" t="s">
        <v>38</v>
      </c>
      <c r="E500" t="s">
        <v>985</v>
      </c>
      <c r="F500" t="s">
        <v>1030</v>
      </c>
      <c r="G500" s="7">
        <v>19.8</v>
      </c>
      <c r="H500" s="7">
        <v>15.25</v>
      </c>
      <c r="I500" s="7">
        <f t="shared" si="5"/>
        <v>4.5500000000000007</v>
      </c>
      <c r="J500" t="s">
        <v>894</v>
      </c>
    </row>
    <row r="501" spans="2:10" x14ac:dyDescent="0.25">
      <c r="B501" t="s">
        <v>275</v>
      </c>
      <c r="C501" t="s">
        <v>37</v>
      </c>
      <c r="D501" t="s">
        <v>38</v>
      </c>
      <c r="E501" t="s">
        <v>985</v>
      </c>
      <c r="F501" t="s">
        <v>426</v>
      </c>
      <c r="G501" s="7">
        <v>16.5</v>
      </c>
      <c r="H501" s="7">
        <v>12.71</v>
      </c>
      <c r="I501" s="7">
        <f t="shared" si="5"/>
        <v>3.7899999999999991</v>
      </c>
      <c r="J501" t="s">
        <v>894</v>
      </c>
    </row>
    <row r="502" spans="2:10" x14ac:dyDescent="0.25">
      <c r="B502" t="s">
        <v>275</v>
      </c>
      <c r="C502" t="s">
        <v>338</v>
      </c>
      <c r="D502" t="s">
        <v>38</v>
      </c>
      <c r="E502" t="s">
        <v>986</v>
      </c>
      <c r="F502" t="s">
        <v>1030</v>
      </c>
      <c r="G502" s="7">
        <v>79.2</v>
      </c>
      <c r="H502" s="7">
        <v>60.98</v>
      </c>
      <c r="I502" s="7">
        <f t="shared" si="5"/>
        <v>18.220000000000006</v>
      </c>
      <c r="J502" t="s">
        <v>894</v>
      </c>
    </row>
    <row r="503" spans="2:10" x14ac:dyDescent="0.25">
      <c r="B503" t="s">
        <v>275</v>
      </c>
      <c r="C503" t="s">
        <v>37</v>
      </c>
      <c r="D503" t="s">
        <v>38</v>
      </c>
      <c r="E503" t="s">
        <v>986</v>
      </c>
      <c r="F503" t="s">
        <v>426</v>
      </c>
      <c r="G503" s="7">
        <v>66</v>
      </c>
      <c r="H503" s="7">
        <v>50.82</v>
      </c>
      <c r="I503" s="7">
        <f t="shared" si="5"/>
        <v>15.18</v>
      </c>
      <c r="J503" t="s">
        <v>894</v>
      </c>
    </row>
    <row r="504" spans="2:10" x14ac:dyDescent="0.25">
      <c r="B504" t="s">
        <v>275</v>
      </c>
      <c r="C504" t="s">
        <v>338</v>
      </c>
      <c r="D504" t="s">
        <v>38</v>
      </c>
      <c r="E504" t="s">
        <v>1084</v>
      </c>
      <c r="G504" s="7">
        <v>57.6</v>
      </c>
      <c r="H504" s="7">
        <v>44.35</v>
      </c>
      <c r="I504" s="7">
        <f t="shared" si="5"/>
        <v>13.25</v>
      </c>
      <c r="J504" t="s">
        <v>894</v>
      </c>
    </row>
    <row r="505" spans="2:10" x14ac:dyDescent="0.25">
      <c r="B505" t="s">
        <v>275</v>
      </c>
      <c r="C505" t="s">
        <v>37</v>
      </c>
      <c r="D505" t="s">
        <v>38</v>
      </c>
      <c r="E505" t="s">
        <v>1084</v>
      </c>
      <c r="G505" s="7">
        <v>48</v>
      </c>
      <c r="H505" s="7">
        <v>36.96</v>
      </c>
      <c r="I505" s="7">
        <f t="shared" si="5"/>
        <v>11.04</v>
      </c>
      <c r="J505" t="s">
        <v>894</v>
      </c>
    </row>
    <row r="506" spans="2:10" x14ac:dyDescent="0.25">
      <c r="B506" t="s">
        <v>275</v>
      </c>
      <c r="C506" t="s">
        <v>338</v>
      </c>
      <c r="D506" t="s">
        <v>38</v>
      </c>
      <c r="E506" t="s">
        <v>1085</v>
      </c>
      <c r="G506" s="7">
        <v>14.4</v>
      </c>
      <c r="H506" s="7">
        <v>11.09</v>
      </c>
      <c r="I506" s="7">
        <f t="shared" si="5"/>
        <v>3.3100000000000005</v>
      </c>
      <c r="J506" t="s">
        <v>894</v>
      </c>
    </row>
    <row r="507" spans="2:10" x14ac:dyDescent="0.25">
      <c r="B507" t="s">
        <v>275</v>
      </c>
      <c r="C507" t="s">
        <v>37</v>
      </c>
      <c r="D507" t="s">
        <v>38</v>
      </c>
      <c r="E507" t="s">
        <v>1085</v>
      </c>
      <c r="G507" s="7">
        <v>123</v>
      </c>
      <c r="H507" s="7">
        <v>9.24</v>
      </c>
      <c r="I507" s="7">
        <f t="shared" si="5"/>
        <v>113.76</v>
      </c>
      <c r="J507" t="s">
        <v>894</v>
      </c>
    </row>
    <row r="508" spans="2:10" x14ac:dyDescent="0.25">
      <c r="I508" s="7"/>
    </row>
    <row r="509" spans="2:10" x14ac:dyDescent="0.25">
      <c r="E509" s="8" t="s">
        <v>410</v>
      </c>
      <c r="I509" s="7"/>
    </row>
    <row r="510" spans="2:10" x14ac:dyDescent="0.25">
      <c r="B510" t="s">
        <v>1407</v>
      </c>
      <c r="C510" t="s">
        <v>338</v>
      </c>
      <c r="D510" t="s">
        <v>38</v>
      </c>
      <c r="E510" t="s">
        <v>1405</v>
      </c>
      <c r="F510" t="s">
        <v>1030</v>
      </c>
      <c r="G510" s="7">
        <v>11</v>
      </c>
      <c r="H510" s="7">
        <v>9.68</v>
      </c>
      <c r="I510" s="7">
        <f>G510-H510</f>
        <v>1.3200000000000003</v>
      </c>
      <c r="J510" t="s">
        <v>894</v>
      </c>
    </row>
    <row r="511" spans="2:10" x14ac:dyDescent="0.25">
      <c r="B511" t="s">
        <v>1407</v>
      </c>
      <c r="C511" t="s">
        <v>37</v>
      </c>
      <c r="D511" t="s">
        <v>38</v>
      </c>
      <c r="E511" t="s">
        <v>1405</v>
      </c>
      <c r="F511" t="s">
        <v>426</v>
      </c>
      <c r="G511" s="7">
        <v>13.2</v>
      </c>
      <c r="H511" s="7">
        <v>11.616</v>
      </c>
      <c r="I511" s="7">
        <f t="shared" ref="I511:I513" si="8">G511-H511</f>
        <v>1.5839999999999996</v>
      </c>
      <c r="J511" t="s">
        <v>894</v>
      </c>
    </row>
    <row r="512" spans="2:10" x14ac:dyDescent="0.25">
      <c r="B512" t="s">
        <v>1408</v>
      </c>
      <c r="C512" t="s">
        <v>338</v>
      </c>
      <c r="D512" t="s">
        <v>38</v>
      </c>
      <c r="E512" t="s">
        <v>1406</v>
      </c>
      <c r="F512" t="s">
        <v>1030</v>
      </c>
      <c r="G512" s="7">
        <v>8</v>
      </c>
      <c r="H512" s="7">
        <v>7.0399999999999991</v>
      </c>
      <c r="I512" s="7">
        <f t="shared" si="8"/>
        <v>0.96000000000000085</v>
      </c>
      <c r="J512" t="s">
        <v>894</v>
      </c>
    </row>
    <row r="513" spans="2:10" x14ac:dyDescent="0.25">
      <c r="B513" t="s">
        <v>1408</v>
      </c>
      <c r="C513" t="s">
        <v>37</v>
      </c>
      <c r="D513" t="s">
        <v>38</v>
      </c>
      <c r="E513" t="s">
        <v>1406</v>
      </c>
      <c r="F513" t="s">
        <v>426</v>
      </c>
      <c r="G513" s="7">
        <v>9.6</v>
      </c>
      <c r="H513" s="7">
        <v>8.4480000000000004</v>
      </c>
      <c r="I513" s="7">
        <f t="shared" si="8"/>
        <v>1.1519999999999992</v>
      </c>
      <c r="J513" t="s">
        <v>894</v>
      </c>
    </row>
    <row r="514" spans="2:10" x14ac:dyDescent="0.25">
      <c r="B514" t="s">
        <v>987</v>
      </c>
      <c r="C514" t="s">
        <v>338</v>
      </c>
      <c r="D514" t="s">
        <v>38</v>
      </c>
      <c r="E514" t="s">
        <v>988</v>
      </c>
      <c r="F514" t="s">
        <v>1030</v>
      </c>
      <c r="G514" s="7">
        <v>42.96</v>
      </c>
      <c r="H514" s="7">
        <v>37.81</v>
      </c>
      <c r="I514" s="7">
        <f t="shared" si="5"/>
        <v>5.1499999999999986</v>
      </c>
      <c r="J514" t="s">
        <v>894</v>
      </c>
    </row>
    <row r="515" spans="2:10" x14ac:dyDescent="0.25">
      <c r="B515" t="s">
        <v>987</v>
      </c>
      <c r="C515" t="s">
        <v>37</v>
      </c>
      <c r="D515" t="s">
        <v>38</v>
      </c>
      <c r="E515" t="s">
        <v>988</v>
      </c>
      <c r="F515" t="s">
        <v>426</v>
      </c>
      <c r="G515" s="7">
        <v>35.28</v>
      </c>
      <c r="H515" s="7">
        <v>31.5</v>
      </c>
      <c r="I515" s="7">
        <f t="shared" si="5"/>
        <v>3.7800000000000011</v>
      </c>
      <c r="J515" t="s">
        <v>894</v>
      </c>
    </row>
    <row r="516" spans="2:10" x14ac:dyDescent="0.25">
      <c r="B516" t="s">
        <v>989</v>
      </c>
      <c r="C516" t="s">
        <v>338</v>
      </c>
      <c r="D516" t="s">
        <v>38</v>
      </c>
      <c r="E516" t="s">
        <v>990</v>
      </c>
      <c r="F516" t="s">
        <v>1030</v>
      </c>
      <c r="G516" s="7">
        <v>31.2</v>
      </c>
      <c r="H516" s="7">
        <v>27.46</v>
      </c>
      <c r="I516" s="7">
        <f t="shared" si="5"/>
        <v>3.7399999999999984</v>
      </c>
      <c r="J516" t="s">
        <v>894</v>
      </c>
    </row>
    <row r="517" spans="2:10" x14ac:dyDescent="0.25">
      <c r="B517" t="s">
        <v>989</v>
      </c>
      <c r="C517" t="s">
        <v>37</v>
      </c>
      <c r="D517" t="s">
        <v>38</v>
      </c>
      <c r="E517" t="s">
        <v>990</v>
      </c>
      <c r="F517" t="s">
        <v>426</v>
      </c>
      <c r="G517" s="7">
        <v>26</v>
      </c>
      <c r="H517" s="7">
        <v>22.88</v>
      </c>
      <c r="I517" s="7">
        <f t="shared" si="5"/>
        <v>3.120000000000001</v>
      </c>
      <c r="J517" t="s">
        <v>894</v>
      </c>
    </row>
    <row r="518" spans="2:10" x14ac:dyDescent="0.25">
      <c r="I518" s="7"/>
    </row>
    <row r="519" spans="2:10" x14ac:dyDescent="0.25">
      <c r="E519" s="8" t="s">
        <v>388</v>
      </c>
      <c r="I519" s="7"/>
    </row>
    <row r="520" spans="2:10" x14ac:dyDescent="0.25">
      <c r="B520" t="s">
        <v>255</v>
      </c>
      <c r="C520" t="s">
        <v>338</v>
      </c>
      <c r="D520" t="s">
        <v>38</v>
      </c>
      <c r="E520" t="s">
        <v>991</v>
      </c>
      <c r="F520" t="s">
        <v>1030</v>
      </c>
      <c r="G520" s="7">
        <v>62.76</v>
      </c>
      <c r="H520" s="7">
        <v>51.78</v>
      </c>
      <c r="I520" s="7">
        <f t="shared" si="5"/>
        <v>10.979999999999997</v>
      </c>
      <c r="J520" t="s">
        <v>894</v>
      </c>
    </row>
    <row r="521" spans="2:10" x14ac:dyDescent="0.25">
      <c r="B521" t="s">
        <v>255</v>
      </c>
      <c r="C521" t="s">
        <v>37</v>
      </c>
      <c r="D521" t="s">
        <v>38</v>
      </c>
      <c r="E521" t="s">
        <v>991</v>
      </c>
      <c r="F521" t="s">
        <v>426</v>
      </c>
      <c r="G521" s="7">
        <v>52.3</v>
      </c>
      <c r="H521" s="7">
        <v>43.15</v>
      </c>
      <c r="I521" s="7">
        <f t="shared" si="5"/>
        <v>9.1499999999999986</v>
      </c>
      <c r="J521" t="s">
        <v>894</v>
      </c>
    </row>
    <row r="522" spans="2:10" x14ac:dyDescent="0.25">
      <c r="B522" t="s">
        <v>255</v>
      </c>
      <c r="C522" t="s">
        <v>338</v>
      </c>
      <c r="D522" t="s">
        <v>38</v>
      </c>
      <c r="E522" t="s">
        <v>1086</v>
      </c>
      <c r="F522" t="s">
        <v>1030</v>
      </c>
      <c r="G522" s="7">
        <v>45.6</v>
      </c>
      <c r="H522" s="7">
        <v>37.619999999999997</v>
      </c>
      <c r="I522" s="7">
        <f t="shared" si="5"/>
        <v>7.980000000000004</v>
      </c>
      <c r="J522" t="s">
        <v>894</v>
      </c>
    </row>
    <row r="523" spans="2:10" x14ac:dyDescent="0.25">
      <c r="B523" t="s">
        <v>255</v>
      </c>
      <c r="C523" t="s">
        <v>37</v>
      </c>
      <c r="D523" t="s">
        <v>38</v>
      </c>
      <c r="E523" t="s">
        <v>1086</v>
      </c>
      <c r="F523" t="s">
        <v>426</v>
      </c>
      <c r="G523" s="7">
        <v>38</v>
      </c>
      <c r="H523" s="7">
        <v>31.35</v>
      </c>
      <c r="I523" s="7">
        <f t="shared" si="5"/>
        <v>6.6499999999999986</v>
      </c>
      <c r="J523" t="s">
        <v>894</v>
      </c>
    </row>
    <row r="524" spans="2:10" x14ac:dyDescent="0.25">
      <c r="B524" t="s">
        <v>255</v>
      </c>
      <c r="C524" t="s">
        <v>338</v>
      </c>
      <c r="D524" t="s">
        <v>38</v>
      </c>
      <c r="E524" t="s">
        <v>992</v>
      </c>
      <c r="F524" t="s">
        <v>1030</v>
      </c>
      <c r="G524" s="7">
        <v>9.6</v>
      </c>
      <c r="H524" s="7">
        <v>7.92</v>
      </c>
      <c r="I524" s="7">
        <f t="shared" si="5"/>
        <v>1.6799999999999997</v>
      </c>
      <c r="J524" t="s">
        <v>894</v>
      </c>
    </row>
    <row r="525" spans="2:10" x14ac:dyDescent="0.25">
      <c r="B525" t="s">
        <v>255</v>
      </c>
      <c r="C525" t="s">
        <v>37</v>
      </c>
      <c r="D525" t="s">
        <v>38</v>
      </c>
      <c r="E525" t="s">
        <v>992</v>
      </c>
      <c r="F525" t="s">
        <v>426</v>
      </c>
      <c r="G525" s="7">
        <v>8</v>
      </c>
      <c r="H525" s="7">
        <v>6.6</v>
      </c>
      <c r="I525" s="7">
        <f t="shared" si="5"/>
        <v>1.4000000000000004</v>
      </c>
      <c r="J525" t="s">
        <v>894</v>
      </c>
    </row>
    <row r="526" spans="2:10" x14ac:dyDescent="0.25">
      <c r="B526" t="s">
        <v>255</v>
      </c>
      <c r="C526" t="s">
        <v>338</v>
      </c>
      <c r="D526" t="s">
        <v>38</v>
      </c>
      <c r="E526" t="s">
        <v>993</v>
      </c>
      <c r="F526" t="s">
        <v>1030</v>
      </c>
      <c r="G526" s="7">
        <v>13.2</v>
      </c>
      <c r="H526" s="7">
        <v>10.89</v>
      </c>
      <c r="I526" s="7">
        <f t="shared" si="5"/>
        <v>2.3099999999999987</v>
      </c>
      <c r="J526" t="s">
        <v>894</v>
      </c>
    </row>
    <row r="527" spans="2:10" x14ac:dyDescent="0.25">
      <c r="B527" t="s">
        <v>255</v>
      </c>
      <c r="C527" t="s">
        <v>37</v>
      </c>
      <c r="D527" t="s">
        <v>38</v>
      </c>
      <c r="E527" t="s">
        <v>993</v>
      </c>
      <c r="F527" t="s">
        <v>426</v>
      </c>
      <c r="G527" s="7">
        <v>11</v>
      </c>
      <c r="H527" s="7">
        <v>9.08</v>
      </c>
      <c r="I527" s="7">
        <f t="shared" si="5"/>
        <v>1.92</v>
      </c>
      <c r="J527" t="s">
        <v>894</v>
      </c>
    </row>
    <row r="528" spans="2:10" x14ac:dyDescent="0.25">
      <c r="B528" t="s">
        <v>258</v>
      </c>
      <c r="C528" t="s">
        <v>338</v>
      </c>
      <c r="D528" t="s">
        <v>38</v>
      </c>
      <c r="E528" t="s">
        <v>994</v>
      </c>
      <c r="F528" t="s">
        <v>1030</v>
      </c>
      <c r="G528" s="7">
        <v>33</v>
      </c>
      <c r="H528" s="7">
        <v>27.23</v>
      </c>
      <c r="I528" s="7">
        <f t="shared" ref="I528:I628" si="9">G528-H528</f>
        <v>5.77</v>
      </c>
      <c r="J528" t="s">
        <v>894</v>
      </c>
    </row>
    <row r="529" spans="2:10" x14ac:dyDescent="0.25">
      <c r="B529" t="s">
        <v>258</v>
      </c>
      <c r="C529" t="s">
        <v>37</v>
      </c>
      <c r="D529" t="s">
        <v>38</v>
      </c>
      <c r="E529" t="s">
        <v>994</v>
      </c>
      <c r="F529" t="s">
        <v>426</v>
      </c>
      <c r="G529" s="7">
        <v>27.5</v>
      </c>
      <c r="H529" s="7">
        <v>22.69</v>
      </c>
      <c r="I529" s="7">
        <f t="shared" si="9"/>
        <v>4.8099999999999987</v>
      </c>
      <c r="J529" t="s">
        <v>894</v>
      </c>
    </row>
    <row r="530" spans="2:10" x14ac:dyDescent="0.25">
      <c r="B530" t="s">
        <v>258</v>
      </c>
      <c r="C530" t="s">
        <v>338</v>
      </c>
      <c r="D530" t="s">
        <v>38</v>
      </c>
      <c r="E530" t="s">
        <v>1087</v>
      </c>
      <c r="F530" t="s">
        <v>1030</v>
      </c>
      <c r="G530" s="7">
        <v>24</v>
      </c>
      <c r="H530" s="7">
        <v>19.8</v>
      </c>
      <c r="I530" s="7">
        <f t="shared" si="9"/>
        <v>4.1999999999999993</v>
      </c>
      <c r="J530" t="s">
        <v>894</v>
      </c>
    </row>
    <row r="531" spans="2:10" x14ac:dyDescent="0.25">
      <c r="B531" t="s">
        <v>258</v>
      </c>
      <c r="C531" t="s">
        <v>37</v>
      </c>
      <c r="D531" t="s">
        <v>38</v>
      </c>
      <c r="E531" t="s">
        <v>1087</v>
      </c>
      <c r="F531" t="s">
        <v>426</v>
      </c>
      <c r="G531" s="7">
        <v>20</v>
      </c>
      <c r="H531" s="7">
        <v>16.5</v>
      </c>
      <c r="I531" s="7">
        <f t="shared" si="9"/>
        <v>3.5</v>
      </c>
      <c r="J531" t="s">
        <v>894</v>
      </c>
    </row>
    <row r="532" spans="2:10" x14ac:dyDescent="0.25">
      <c r="B532" t="s">
        <v>262</v>
      </c>
      <c r="C532" t="s">
        <v>338</v>
      </c>
      <c r="D532" t="s">
        <v>38</v>
      </c>
      <c r="E532" t="s">
        <v>995</v>
      </c>
      <c r="F532" t="s">
        <v>1030</v>
      </c>
      <c r="G532" s="7">
        <v>64.8</v>
      </c>
      <c r="H532" s="7">
        <v>53.46</v>
      </c>
      <c r="I532" s="7">
        <f t="shared" si="9"/>
        <v>11.339999999999996</v>
      </c>
      <c r="J532" t="s">
        <v>894</v>
      </c>
    </row>
    <row r="533" spans="2:10" x14ac:dyDescent="0.25">
      <c r="B533" t="s">
        <v>262</v>
      </c>
      <c r="C533" t="s">
        <v>37</v>
      </c>
      <c r="D533" t="s">
        <v>38</v>
      </c>
      <c r="E533" t="s">
        <v>995</v>
      </c>
      <c r="F533" t="s">
        <v>426</v>
      </c>
      <c r="G533" s="7">
        <v>54</v>
      </c>
      <c r="H533" s="7">
        <v>44.55</v>
      </c>
      <c r="I533" s="7">
        <f t="shared" si="9"/>
        <v>9.4500000000000028</v>
      </c>
      <c r="J533" t="s">
        <v>894</v>
      </c>
    </row>
    <row r="534" spans="2:10" x14ac:dyDescent="0.25">
      <c r="B534" t="s">
        <v>262</v>
      </c>
      <c r="C534" t="s">
        <v>338</v>
      </c>
      <c r="D534" t="s">
        <v>38</v>
      </c>
      <c r="E534" t="s">
        <v>996</v>
      </c>
      <c r="F534" t="s">
        <v>1030</v>
      </c>
      <c r="G534" s="7">
        <v>89.16</v>
      </c>
      <c r="H534" s="7">
        <v>73.56</v>
      </c>
      <c r="I534" s="7">
        <f t="shared" si="9"/>
        <v>15.599999999999994</v>
      </c>
      <c r="J534" t="s">
        <v>894</v>
      </c>
    </row>
    <row r="535" spans="2:10" x14ac:dyDescent="0.25">
      <c r="B535" t="s">
        <v>262</v>
      </c>
      <c r="C535" t="s">
        <v>37</v>
      </c>
      <c r="D535" t="s">
        <v>38</v>
      </c>
      <c r="E535" t="s">
        <v>996</v>
      </c>
      <c r="F535" t="s">
        <v>426</v>
      </c>
      <c r="G535" s="7">
        <v>74.3</v>
      </c>
      <c r="H535" s="7">
        <v>61.3</v>
      </c>
      <c r="I535" s="7">
        <f t="shared" si="9"/>
        <v>13</v>
      </c>
      <c r="J535" t="s">
        <v>894</v>
      </c>
    </row>
    <row r="536" spans="2:10" x14ac:dyDescent="0.25">
      <c r="B536" t="s">
        <v>260</v>
      </c>
      <c r="C536" t="s">
        <v>338</v>
      </c>
      <c r="D536" t="s">
        <v>38</v>
      </c>
      <c r="E536" t="s">
        <v>997</v>
      </c>
      <c r="F536" t="s">
        <v>1030</v>
      </c>
      <c r="G536" s="7">
        <v>13.2</v>
      </c>
      <c r="H536" s="7">
        <v>10.89</v>
      </c>
      <c r="I536" s="7">
        <f t="shared" si="9"/>
        <v>2.3099999999999987</v>
      </c>
      <c r="J536" t="s">
        <v>894</v>
      </c>
    </row>
    <row r="537" spans="2:10" x14ac:dyDescent="0.25">
      <c r="B537" t="s">
        <v>260</v>
      </c>
      <c r="C537" t="s">
        <v>37</v>
      </c>
      <c r="D537" t="s">
        <v>38</v>
      </c>
      <c r="E537" t="s">
        <v>997</v>
      </c>
      <c r="F537" t="s">
        <v>426</v>
      </c>
      <c r="G537" s="7">
        <v>11</v>
      </c>
      <c r="H537" s="7">
        <v>9.08</v>
      </c>
      <c r="I537" s="7">
        <f t="shared" si="9"/>
        <v>1.92</v>
      </c>
      <c r="J537" t="s">
        <v>894</v>
      </c>
    </row>
    <row r="538" spans="2:10" x14ac:dyDescent="0.25">
      <c r="B538" t="s">
        <v>260</v>
      </c>
      <c r="C538" t="s">
        <v>338</v>
      </c>
      <c r="D538" t="s">
        <v>38</v>
      </c>
      <c r="E538" t="s">
        <v>1088</v>
      </c>
      <c r="F538" t="s">
        <v>1030</v>
      </c>
      <c r="G538" s="7">
        <v>9.6</v>
      </c>
      <c r="H538" s="7">
        <v>7.92</v>
      </c>
      <c r="I538" s="7">
        <f t="shared" si="9"/>
        <v>1.6799999999999997</v>
      </c>
      <c r="J538" t="s">
        <v>894</v>
      </c>
    </row>
    <row r="539" spans="2:10" x14ac:dyDescent="0.25">
      <c r="B539" t="s">
        <v>260</v>
      </c>
      <c r="C539" t="s">
        <v>37</v>
      </c>
      <c r="D539" t="s">
        <v>38</v>
      </c>
      <c r="E539" t="s">
        <v>1088</v>
      </c>
      <c r="F539" t="s">
        <v>426</v>
      </c>
      <c r="G539" s="7">
        <v>8</v>
      </c>
      <c r="H539" s="7">
        <v>6.6</v>
      </c>
      <c r="I539" s="7">
        <f t="shared" si="9"/>
        <v>1.4000000000000004</v>
      </c>
      <c r="J539" t="s">
        <v>894</v>
      </c>
    </row>
    <row r="540" spans="2:10" x14ac:dyDescent="0.25">
      <c r="B540" t="s">
        <v>187</v>
      </c>
      <c r="C540" t="s">
        <v>338</v>
      </c>
      <c r="D540" t="s">
        <v>38</v>
      </c>
      <c r="E540" t="s">
        <v>1091</v>
      </c>
      <c r="F540" t="s">
        <v>1030</v>
      </c>
      <c r="G540" s="7">
        <v>5.28</v>
      </c>
      <c r="H540" s="7">
        <v>4.3600000000000003</v>
      </c>
      <c r="I540" s="7">
        <f t="shared" si="9"/>
        <v>0.91999999999999993</v>
      </c>
      <c r="J540" t="s">
        <v>894</v>
      </c>
    </row>
    <row r="541" spans="2:10" x14ac:dyDescent="0.25">
      <c r="B541" t="s">
        <v>187</v>
      </c>
      <c r="C541" t="s">
        <v>37</v>
      </c>
      <c r="D541" t="s">
        <v>38</v>
      </c>
      <c r="E541" t="s">
        <v>1091</v>
      </c>
      <c r="F541" t="s">
        <v>426</v>
      </c>
      <c r="G541" s="7">
        <v>4.4000000000000004</v>
      </c>
      <c r="H541" s="7">
        <v>3.63</v>
      </c>
      <c r="I541" s="7">
        <f t="shared" si="9"/>
        <v>0.77000000000000046</v>
      </c>
      <c r="J541" t="s">
        <v>894</v>
      </c>
    </row>
    <row r="542" spans="2:10" x14ac:dyDescent="0.25">
      <c r="B542" t="s">
        <v>187</v>
      </c>
      <c r="C542" t="s">
        <v>338</v>
      </c>
      <c r="D542" t="s">
        <v>38</v>
      </c>
      <c r="E542" t="s">
        <v>1092</v>
      </c>
      <c r="F542" t="s">
        <v>1030</v>
      </c>
      <c r="G542" s="7">
        <v>3.84</v>
      </c>
      <c r="H542" s="7">
        <v>3.17</v>
      </c>
      <c r="I542" s="7">
        <f t="shared" si="9"/>
        <v>0.66999999999999993</v>
      </c>
      <c r="J542" t="s">
        <v>894</v>
      </c>
    </row>
    <row r="543" spans="2:10" x14ac:dyDescent="0.25">
      <c r="B543" t="s">
        <v>187</v>
      </c>
      <c r="C543" t="s">
        <v>37</v>
      </c>
      <c r="D543" t="s">
        <v>38</v>
      </c>
      <c r="E543" t="s">
        <v>1092</v>
      </c>
      <c r="F543" t="s">
        <v>426</v>
      </c>
      <c r="G543" s="7">
        <v>3.2</v>
      </c>
      <c r="H543" s="7">
        <v>2.64</v>
      </c>
      <c r="I543" s="7">
        <f t="shared" si="9"/>
        <v>0.56000000000000005</v>
      </c>
      <c r="J543" t="s">
        <v>894</v>
      </c>
    </row>
    <row r="544" spans="2:10" x14ac:dyDescent="0.25">
      <c r="I544" s="7"/>
    </row>
    <row r="545" spans="2:10" x14ac:dyDescent="0.25">
      <c r="E545" s="8" t="s">
        <v>412</v>
      </c>
      <c r="I545" s="7"/>
    </row>
    <row r="546" spans="2:10" x14ac:dyDescent="0.25">
      <c r="B546" t="s">
        <v>998</v>
      </c>
      <c r="C546" t="s">
        <v>338</v>
      </c>
      <c r="D546" t="s">
        <v>38</v>
      </c>
      <c r="E546" t="s">
        <v>999</v>
      </c>
      <c r="F546" t="s">
        <v>1030</v>
      </c>
      <c r="G546" s="7">
        <v>0.9</v>
      </c>
      <c r="H546" s="7">
        <v>0.79</v>
      </c>
      <c r="I546" s="7">
        <f t="shared" si="9"/>
        <v>0.10999999999999999</v>
      </c>
      <c r="J546" t="s">
        <v>894</v>
      </c>
    </row>
    <row r="547" spans="2:10" x14ac:dyDescent="0.25">
      <c r="C547" t="s">
        <v>37</v>
      </c>
      <c r="D547" t="s">
        <v>38</v>
      </c>
      <c r="E547" t="s">
        <v>999</v>
      </c>
      <c r="F547" t="s">
        <v>426</v>
      </c>
      <c r="G547" s="7">
        <v>0.75</v>
      </c>
      <c r="H547" s="7">
        <v>0.66</v>
      </c>
      <c r="I547" s="7">
        <f t="shared" si="9"/>
        <v>8.9999999999999969E-2</v>
      </c>
      <c r="J547" t="s">
        <v>894</v>
      </c>
    </row>
    <row r="548" spans="2:10" x14ac:dyDescent="0.25">
      <c r="B548" t="s">
        <v>303</v>
      </c>
      <c r="C548" t="s">
        <v>338</v>
      </c>
      <c r="D548" t="s">
        <v>38</v>
      </c>
      <c r="E548" t="s">
        <v>1119</v>
      </c>
      <c r="F548" t="s">
        <v>1030</v>
      </c>
      <c r="G548" s="7">
        <v>0.72</v>
      </c>
      <c r="H548" s="7">
        <v>0.64</v>
      </c>
      <c r="I548" s="7">
        <f t="shared" si="9"/>
        <v>7.999999999999996E-2</v>
      </c>
      <c r="J548" t="s">
        <v>894</v>
      </c>
    </row>
    <row r="549" spans="2:10" x14ac:dyDescent="0.25">
      <c r="B549" t="s">
        <v>303</v>
      </c>
      <c r="C549" t="s">
        <v>37</v>
      </c>
      <c r="D549" t="s">
        <v>38</v>
      </c>
      <c r="E549" t="s">
        <v>1119</v>
      </c>
      <c r="F549" t="s">
        <v>426</v>
      </c>
      <c r="G549" s="7">
        <v>0.6</v>
      </c>
      <c r="H549" s="7">
        <v>0.53</v>
      </c>
      <c r="I549" s="7">
        <f t="shared" si="9"/>
        <v>6.9999999999999951E-2</v>
      </c>
      <c r="J549" t="s">
        <v>894</v>
      </c>
    </row>
    <row r="550" spans="2:10" x14ac:dyDescent="0.25">
      <c r="B550" t="s">
        <v>998</v>
      </c>
      <c r="C550" t="s">
        <v>37</v>
      </c>
      <c r="D550" t="s">
        <v>38</v>
      </c>
      <c r="E550" t="s">
        <v>1000</v>
      </c>
      <c r="F550" t="s">
        <v>1030</v>
      </c>
      <c r="G550" s="7">
        <v>0.9</v>
      </c>
      <c r="H550" s="7">
        <v>0.79</v>
      </c>
      <c r="I550" s="7">
        <f t="shared" si="9"/>
        <v>0.10999999999999999</v>
      </c>
      <c r="J550" t="s">
        <v>894</v>
      </c>
    </row>
    <row r="551" spans="2:10" x14ac:dyDescent="0.25">
      <c r="B551" t="s">
        <v>998</v>
      </c>
      <c r="C551" t="s">
        <v>338</v>
      </c>
      <c r="D551" t="s">
        <v>38</v>
      </c>
      <c r="E551" t="s">
        <v>1000</v>
      </c>
      <c r="F551" t="s">
        <v>426</v>
      </c>
      <c r="G551" s="7">
        <v>0.75</v>
      </c>
      <c r="H551" s="7">
        <v>0.66</v>
      </c>
      <c r="I551" s="7">
        <f t="shared" si="9"/>
        <v>8.9999999999999969E-2</v>
      </c>
      <c r="J551" t="s">
        <v>894</v>
      </c>
    </row>
    <row r="552" spans="2:10" x14ac:dyDescent="0.25">
      <c r="B552" t="s">
        <v>1122</v>
      </c>
      <c r="C552" t="s">
        <v>338</v>
      </c>
      <c r="D552" t="s">
        <v>38</v>
      </c>
      <c r="E552" t="s">
        <v>1120</v>
      </c>
      <c r="F552" t="s">
        <v>1030</v>
      </c>
      <c r="G552" s="7">
        <v>0.6</v>
      </c>
      <c r="H552" s="7">
        <v>0.53</v>
      </c>
      <c r="I552" s="7">
        <f t="shared" si="9"/>
        <v>6.9999999999999951E-2</v>
      </c>
      <c r="J552" t="s">
        <v>894</v>
      </c>
    </row>
    <row r="553" spans="2:10" x14ac:dyDescent="0.25">
      <c r="B553" t="s">
        <v>1122</v>
      </c>
      <c r="C553" t="s">
        <v>37</v>
      </c>
      <c r="D553" t="s">
        <v>38</v>
      </c>
      <c r="E553" t="s">
        <v>1121</v>
      </c>
      <c r="F553" t="s">
        <v>426</v>
      </c>
      <c r="G553" s="7">
        <v>0.8</v>
      </c>
      <c r="H553" s="7">
        <v>0.7</v>
      </c>
      <c r="I553" s="7">
        <f t="shared" si="9"/>
        <v>0.10000000000000009</v>
      </c>
      <c r="J553" t="s">
        <v>894</v>
      </c>
    </row>
    <row r="554" spans="2:10" x14ac:dyDescent="0.25">
      <c r="B554" t="s">
        <v>822</v>
      </c>
      <c r="C554" t="s">
        <v>37</v>
      </c>
      <c r="D554" t="s">
        <v>38</v>
      </c>
      <c r="E554" t="s">
        <v>1001</v>
      </c>
      <c r="F554" t="s">
        <v>426</v>
      </c>
      <c r="G554" s="7">
        <v>2</v>
      </c>
      <c r="H554" s="7">
        <v>1.76</v>
      </c>
      <c r="I554" s="7">
        <f t="shared" si="9"/>
        <v>0.24</v>
      </c>
      <c r="J554" t="s">
        <v>894</v>
      </c>
    </row>
    <row r="555" spans="2:10" x14ac:dyDescent="0.25">
      <c r="B555" t="s">
        <v>1115</v>
      </c>
      <c r="C555" t="s">
        <v>338</v>
      </c>
      <c r="D555" t="s">
        <v>38</v>
      </c>
      <c r="E555" t="s">
        <v>1112</v>
      </c>
      <c r="F555" t="s">
        <v>1030</v>
      </c>
      <c r="G555" s="7">
        <v>0.9</v>
      </c>
      <c r="H555" s="7">
        <v>0.79</v>
      </c>
      <c r="I555" s="7">
        <f t="shared" si="9"/>
        <v>0.10999999999999999</v>
      </c>
      <c r="J555" t="s">
        <v>894</v>
      </c>
    </row>
    <row r="556" spans="2:10" x14ac:dyDescent="0.25">
      <c r="B556" t="s">
        <v>1115</v>
      </c>
      <c r="C556" t="s">
        <v>37</v>
      </c>
      <c r="D556" t="s">
        <v>38</v>
      </c>
      <c r="E556" t="s">
        <v>1112</v>
      </c>
      <c r="F556" t="s">
        <v>426</v>
      </c>
      <c r="G556" s="7">
        <v>0.75</v>
      </c>
      <c r="H556" s="7">
        <v>0.66</v>
      </c>
      <c r="I556" s="7">
        <f t="shared" si="9"/>
        <v>8.9999999999999969E-2</v>
      </c>
      <c r="J556" t="s">
        <v>894</v>
      </c>
    </row>
    <row r="557" spans="2:10" x14ac:dyDescent="0.25">
      <c r="B557" t="s">
        <v>1115</v>
      </c>
      <c r="C557" t="s">
        <v>338</v>
      </c>
      <c r="D557" t="s">
        <v>38</v>
      </c>
      <c r="E557" t="s">
        <v>1113</v>
      </c>
      <c r="F557" t="s">
        <v>1030</v>
      </c>
      <c r="G557" s="7">
        <v>1.2</v>
      </c>
      <c r="H557" s="7">
        <v>1.06</v>
      </c>
      <c r="I557" s="7">
        <f t="shared" si="9"/>
        <v>0.1399999999999999</v>
      </c>
      <c r="J557" t="s">
        <v>894</v>
      </c>
    </row>
    <row r="558" spans="2:10" x14ac:dyDescent="0.25">
      <c r="B558" t="s">
        <v>1115</v>
      </c>
      <c r="C558" t="s">
        <v>37</v>
      </c>
      <c r="D558" t="s">
        <v>38</v>
      </c>
      <c r="E558" t="s">
        <v>1113</v>
      </c>
      <c r="F558" t="s">
        <v>426</v>
      </c>
      <c r="G558" s="7">
        <v>1</v>
      </c>
      <c r="H558" s="7">
        <v>0.88</v>
      </c>
      <c r="I558" s="7">
        <f t="shared" si="9"/>
        <v>0.12</v>
      </c>
      <c r="J558" t="s">
        <v>894</v>
      </c>
    </row>
    <row r="559" spans="2:10" x14ac:dyDescent="0.25">
      <c r="B559" t="s">
        <v>818</v>
      </c>
      <c r="C559" t="s">
        <v>37</v>
      </c>
      <c r="D559" t="s">
        <v>38</v>
      </c>
      <c r="E559" t="s">
        <v>1114</v>
      </c>
      <c r="F559" t="s">
        <v>426</v>
      </c>
      <c r="G559" s="7">
        <v>0.6</v>
      </c>
      <c r="H559" s="7">
        <v>0.53</v>
      </c>
      <c r="I559" s="7">
        <f t="shared" si="9"/>
        <v>6.9999999999999951E-2</v>
      </c>
      <c r="J559" t="s">
        <v>894</v>
      </c>
    </row>
    <row r="560" spans="2:10" x14ac:dyDescent="0.25">
      <c r="B560" t="s">
        <v>1118</v>
      </c>
      <c r="C560" t="s">
        <v>338</v>
      </c>
      <c r="D560" t="s">
        <v>38</v>
      </c>
      <c r="E560" t="s">
        <v>1116</v>
      </c>
      <c r="F560" t="s">
        <v>1030</v>
      </c>
      <c r="G560" s="7">
        <v>0.36</v>
      </c>
      <c r="H560" s="7">
        <v>0.32</v>
      </c>
      <c r="I560" s="7">
        <f t="shared" si="9"/>
        <v>3.999999999999998E-2</v>
      </c>
      <c r="J560" t="s">
        <v>894</v>
      </c>
    </row>
    <row r="561" spans="2:10" x14ac:dyDescent="0.25">
      <c r="B561" t="s">
        <v>1118</v>
      </c>
      <c r="C561" t="s">
        <v>37</v>
      </c>
      <c r="D561" t="s">
        <v>38</v>
      </c>
      <c r="E561" t="s">
        <v>1116</v>
      </c>
      <c r="F561" t="s">
        <v>426</v>
      </c>
      <c r="G561" s="7">
        <v>0.3</v>
      </c>
      <c r="H561" s="7">
        <v>0.26</v>
      </c>
      <c r="I561" s="7">
        <f t="shared" si="9"/>
        <v>3.999999999999998E-2</v>
      </c>
      <c r="J561" t="s">
        <v>894</v>
      </c>
    </row>
    <row r="562" spans="2:10" x14ac:dyDescent="0.25">
      <c r="B562" t="s">
        <v>1118</v>
      </c>
      <c r="C562" t="s">
        <v>338</v>
      </c>
      <c r="D562" t="s">
        <v>38</v>
      </c>
      <c r="E562" t="s">
        <v>1117</v>
      </c>
      <c r="F562" t="s">
        <v>1030</v>
      </c>
      <c r="G562" s="7">
        <v>0.48</v>
      </c>
      <c r="H562" s="7">
        <v>0.42</v>
      </c>
      <c r="I562" s="7">
        <f t="shared" si="9"/>
        <v>0.06</v>
      </c>
      <c r="J562" t="s">
        <v>894</v>
      </c>
    </row>
    <row r="563" spans="2:10" x14ac:dyDescent="0.25">
      <c r="B563" t="s">
        <v>1118</v>
      </c>
      <c r="C563" t="s">
        <v>37</v>
      </c>
      <c r="D563" t="s">
        <v>38</v>
      </c>
      <c r="E563" t="s">
        <v>1117</v>
      </c>
      <c r="F563" t="s">
        <v>426</v>
      </c>
      <c r="G563" s="7">
        <v>0.4</v>
      </c>
      <c r="H563" s="7">
        <v>0.35</v>
      </c>
      <c r="I563" s="7">
        <f t="shared" si="9"/>
        <v>5.0000000000000044E-2</v>
      </c>
      <c r="J563" t="s">
        <v>894</v>
      </c>
    </row>
    <row r="564" spans="2:10" x14ac:dyDescent="0.25">
      <c r="I564" s="7"/>
    </row>
    <row r="565" spans="2:10" x14ac:dyDescent="0.25">
      <c r="E565" s="8" t="s">
        <v>418</v>
      </c>
      <c r="I565" s="7"/>
    </row>
    <row r="566" spans="2:10" x14ac:dyDescent="0.25">
      <c r="B566" t="s">
        <v>315</v>
      </c>
      <c r="C566" t="s">
        <v>338</v>
      </c>
      <c r="D566" t="s">
        <v>38</v>
      </c>
      <c r="E566" t="s">
        <v>1002</v>
      </c>
      <c r="F566" t="s">
        <v>1030</v>
      </c>
      <c r="G566" s="7">
        <v>42</v>
      </c>
      <c r="H566" s="7">
        <v>34.65</v>
      </c>
      <c r="I566" s="7">
        <f t="shared" si="9"/>
        <v>7.3500000000000014</v>
      </c>
      <c r="J566" t="s">
        <v>894</v>
      </c>
    </row>
    <row r="567" spans="2:10" x14ac:dyDescent="0.25">
      <c r="B567" t="s">
        <v>315</v>
      </c>
      <c r="C567" t="s">
        <v>37</v>
      </c>
      <c r="D567" t="s">
        <v>38</v>
      </c>
      <c r="E567" t="s">
        <v>1002</v>
      </c>
      <c r="F567" t="s">
        <v>426</v>
      </c>
      <c r="G567" s="7">
        <v>35</v>
      </c>
      <c r="H567" s="7">
        <v>28.88</v>
      </c>
      <c r="I567" s="7">
        <f t="shared" si="9"/>
        <v>6.120000000000001</v>
      </c>
      <c r="J567" t="s">
        <v>894</v>
      </c>
    </row>
    <row r="568" spans="2:10" x14ac:dyDescent="0.25">
      <c r="B568" t="s">
        <v>451</v>
      </c>
      <c r="C568" t="s">
        <v>338</v>
      </c>
      <c r="D568" t="s">
        <v>38</v>
      </c>
      <c r="E568" t="s">
        <v>1137</v>
      </c>
      <c r="F568" t="s">
        <v>1030</v>
      </c>
      <c r="G568" s="7">
        <v>4.2</v>
      </c>
      <c r="H568" s="7">
        <v>3.7</v>
      </c>
      <c r="I568" s="7">
        <f t="shared" si="9"/>
        <v>0.5</v>
      </c>
      <c r="J568" t="s">
        <v>894</v>
      </c>
    </row>
    <row r="569" spans="2:10" x14ac:dyDescent="0.25">
      <c r="B569" t="s">
        <v>451</v>
      </c>
      <c r="C569" t="s">
        <v>37</v>
      </c>
      <c r="D569" t="s">
        <v>38</v>
      </c>
      <c r="E569" t="s">
        <v>1137</v>
      </c>
      <c r="F569" t="s">
        <v>426</v>
      </c>
      <c r="G569" s="7">
        <v>3.5</v>
      </c>
      <c r="H569" s="7">
        <v>3.08</v>
      </c>
      <c r="I569" s="7">
        <f t="shared" si="9"/>
        <v>0.41999999999999993</v>
      </c>
      <c r="J569" t="s">
        <v>894</v>
      </c>
    </row>
    <row r="570" spans="2:10" x14ac:dyDescent="0.25">
      <c r="B570" t="s">
        <v>451</v>
      </c>
      <c r="C570" t="s">
        <v>338</v>
      </c>
      <c r="D570" t="s">
        <v>38</v>
      </c>
      <c r="E570" t="s">
        <v>1138</v>
      </c>
      <c r="F570" t="s">
        <v>1030</v>
      </c>
      <c r="G570" s="7">
        <v>3.6</v>
      </c>
      <c r="H570" s="7">
        <v>3.17</v>
      </c>
      <c r="I570" s="7">
        <f t="shared" si="9"/>
        <v>0.43000000000000016</v>
      </c>
      <c r="J570" t="s">
        <v>894</v>
      </c>
    </row>
    <row r="571" spans="2:10" x14ac:dyDescent="0.25">
      <c r="B571" t="s">
        <v>451</v>
      </c>
      <c r="C571" t="s">
        <v>37</v>
      </c>
      <c r="D571" t="s">
        <v>38</v>
      </c>
      <c r="E571" t="s">
        <v>1138</v>
      </c>
      <c r="F571" t="s">
        <v>426</v>
      </c>
      <c r="G571" s="7">
        <v>3</v>
      </c>
      <c r="H571" s="7">
        <v>2.6429999999999998</v>
      </c>
      <c r="I571" s="7">
        <f t="shared" si="9"/>
        <v>0.35700000000000021</v>
      </c>
      <c r="J571" t="s">
        <v>894</v>
      </c>
    </row>
    <row r="572" spans="2:10" x14ac:dyDescent="0.25">
      <c r="B572" t="s">
        <v>314</v>
      </c>
      <c r="C572" t="s">
        <v>338</v>
      </c>
      <c r="D572" t="s">
        <v>38</v>
      </c>
      <c r="E572" t="s">
        <v>1139</v>
      </c>
      <c r="F572" t="s">
        <v>1030</v>
      </c>
      <c r="G572" s="7">
        <v>9.6</v>
      </c>
      <c r="H572" s="7">
        <v>7.92</v>
      </c>
      <c r="I572" s="7">
        <f t="shared" si="9"/>
        <v>1.6799999999999997</v>
      </c>
      <c r="J572" t="s">
        <v>894</v>
      </c>
    </row>
    <row r="573" spans="2:10" x14ac:dyDescent="0.25">
      <c r="B573" t="s">
        <v>314</v>
      </c>
      <c r="C573" t="s">
        <v>37</v>
      </c>
      <c r="D573" t="s">
        <v>38</v>
      </c>
      <c r="E573" t="s">
        <v>1139</v>
      </c>
      <c r="F573" t="s">
        <v>426</v>
      </c>
      <c r="G573" s="7">
        <v>8</v>
      </c>
      <c r="H573" s="7">
        <v>6.6</v>
      </c>
      <c r="I573" s="7">
        <f t="shared" si="9"/>
        <v>1.4000000000000004</v>
      </c>
      <c r="J573" t="s">
        <v>894</v>
      </c>
    </row>
    <row r="574" spans="2:10" x14ac:dyDescent="0.25">
      <c r="B574" t="s">
        <v>314</v>
      </c>
      <c r="C574" t="s">
        <v>338</v>
      </c>
      <c r="D574" t="s">
        <v>38</v>
      </c>
      <c r="E574" t="s">
        <v>1140</v>
      </c>
      <c r="F574" t="s">
        <v>1030</v>
      </c>
      <c r="G574" s="7">
        <v>13.2</v>
      </c>
      <c r="H574" s="7">
        <v>10.89</v>
      </c>
      <c r="I574" s="7">
        <f t="shared" si="9"/>
        <v>2.3099999999999987</v>
      </c>
      <c r="J574" t="s">
        <v>894</v>
      </c>
    </row>
    <row r="575" spans="2:10" x14ac:dyDescent="0.25">
      <c r="B575" t="s">
        <v>314</v>
      </c>
      <c r="C575" t="s">
        <v>37</v>
      </c>
      <c r="D575" t="s">
        <v>38</v>
      </c>
      <c r="E575" t="s">
        <v>1140</v>
      </c>
      <c r="F575" t="s">
        <v>426</v>
      </c>
      <c r="G575" s="7">
        <v>11</v>
      </c>
      <c r="H575" s="7">
        <v>9.08</v>
      </c>
      <c r="I575" s="7">
        <f t="shared" si="9"/>
        <v>1.92</v>
      </c>
      <c r="J575" t="s">
        <v>894</v>
      </c>
    </row>
    <row r="576" spans="2:10" x14ac:dyDescent="0.25">
      <c r="B576" t="s">
        <v>308</v>
      </c>
      <c r="C576" t="s">
        <v>338</v>
      </c>
      <c r="D576" t="s">
        <v>38</v>
      </c>
      <c r="E576" t="s">
        <v>1003</v>
      </c>
      <c r="F576" t="s">
        <v>1030</v>
      </c>
      <c r="G576" s="7">
        <v>66</v>
      </c>
      <c r="H576" s="7">
        <v>54.45</v>
      </c>
      <c r="I576" s="7">
        <f t="shared" si="9"/>
        <v>11.549999999999997</v>
      </c>
      <c r="J576" t="s">
        <v>894</v>
      </c>
    </row>
    <row r="577" spans="2:10" x14ac:dyDescent="0.25">
      <c r="B577" t="s">
        <v>308</v>
      </c>
      <c r="C577" t="s">
        <v>37</v>
      </c>
      <c r="D577" t="s">
        <v>38</v>
      </c>
      <c r="E577" t="s">
        <v>1003</v>
      </c>
      <c r="F577" t="s">
        <v>426</v>
      </c>
      <c r="G577" s="7">
        <v>55</v>
      </c>
      <c r="H577" s="7">
        <v>45.38</v>
      </c>
      <c r="I577" s="7">
        <f t="shared" si="9"/>
        <v>9.6199999999999974</v>
      </c>
      <c r="J577" t="s">
        <v>894</v>
      </c>
    </row>
    <row r="578" spans="2:10" x14ac:dyDescent="0.25">
      <c r="B578" t="s">
        <v>310</v>
      </c>
      <c r="C578" t="s">
        <v>338</v>
      </c>
      <c r="D578" t="s">
        <v>38</v>
      </c>
      <c r="E578" t="s">
        <v>1004</v>
      </c>
      <c r="F578" t="s">
        <v>1030</v>
      </c>
      <c r="G578" s="7">
        <v>9.9600000000000009</v>
      </c>
      <c r="H578" s="7">
        <v>8.2200000000000006</v>
      </c>
      <c r="I578" s="7">
        <f t="shared" si="9"/>
        <v>1.7400000000000002</v>
      </c>
      <c r="J578" t="s">
        <v>894</v>
      </c>
    </row>
    <row r="579" spans="2:10" x14ac:dyDescent="0.25">
      <c r="B579" t="s">
        <v>310</v>
      </c>
      <c r="C579" t="s">
        <v>37</v>
      </c>
      <c r="D579" t="s">
        <v>38</v>
      </c>
      <c r="E579" t="s">
        <v>1004</v>
      </c>
      <c r="F579" t="s">
        <v>426</v>
      </c>
      <c r="G579" s="7">
        <v>8.3000000000000007</v>
      </c>
      <c r="H579" s="7">
        <v>6.85</v>
      </c>
      <c r="I579" s="7">
        <f t="shared" si="9"/>
        <v>1.4500000000000011</v>
      </c>
      <c r="J579" t="s">
        <v>894</v>
      </c>
    </row>
    <row r="580" spans="2:10" x14ac:dyDescent="0.25">
      <c r="B580" t="s">
        <v>310</v>
      </c>
      <c r="C580" t="s">
        <v>338</v>
      </c>
      <c r="D580" t="s">
        <v>38</v>
      </c>
      <c r="E580" t="s">
        <v>1005</v>
      </c>
      <c r="F580" t="s">
        <v>1030</v>
      </c>
      <c r="G580" s="7">
        <v>7.2</v>
      </c>
      <c r="H580" s="7">
        <v>5.94</v>
      </c>
      <c r="I580" s="7">
        <f t="shared" si="9"/>
        <v>1.2599999999999998</v>
      </c>
      <c r="J580" t="s">
        <v>894</v>
      </c>
    </row>
    <row r="581" spans="2:10" x14ac:dyDescent="0.25">
      <c r="B581" t="s">
        <v>310</v>
      </c>
      <c r="C581" t="s">
        <v>37</v>
      </c>
      <c r="D581" t="s">
        <v>38</v>
      </c>
      <c r="E581" t="s">
        <v>1005</v>
      </c>
      <c r="F581" t="s">
        <v>426</v>
      </c>
      <c r="G581" s="7">
        <v>6</v>
      </c>
      <c r="H581" s="7">
        <v>4.95</v>
      </c>
      <c r="I581" s="7">
        <f t="shared" si="9"/>
        <v>1.0499999999999998</v>
      </c>
      <c r="J581" t="s">
        <v>894</v>
      </c>
    </row>
    <row r="582" spans="2:10" x14ac:dyDescent="0.25">
      <c r="B582" t="s">
        <v>316</v>
      </c>
      <c r="C582" t="s">
        <v>338</v>
      </c>
      <c r="D582" t="s">
        <v>38</v>
      </c>
      <c r="E582" t="s">
        <v>1141</v>
      </c>
      <c r="F582" t="s">
        <v>1030</v>
      </c>
      <c r="G582" s="7">
        <v>9.9600000000000009</v>
      </c>
      <c r="H582" s="7">
        <v>8.2200000000000006</v>
      </c>
      <c r="I582" s="7">
        <f t="shared" si="9"/>
        <v>1.7400000000000002</v>
      </c>
      <c r="J582" t="s">
        <v>894</v>
      </c>
    </row>
    <row r="583" spans="2:10" x14ac:dyDescent="0.25">
      <c r="B583" t="s">
        <v>316</v>
      </c>
      <c r="C583" t="s">
        <v>37</v>
      </c>
      <c r="D583" t="s">
        <v>38</v>
      </c>
      <c r="E583" t="s">
        <v>1141</v>
      </c>
      <c r="F583" t="s">
        <v>426</v>
      </c>
      <c r="G583" s="7">
        <v>8.3000000000000007</v>
      </c>
      <c r="H583" s="7">
        <v>6.85</v>
      </c>
      <c r="I583" s="7">
        <f t="shared" si="9"/>
        <v>1.4500000000000011</v>
      </c>
      <c r="J583" t="s">
        <v>894</v>
      </c>
    </row>
    <row r="584" spans="2:10" x14ac:dyDescent="0.25">
      <c r="B584" t="s">
        <v>316</v>
      </c>
      <c r="C584" t="s">
        <v>338</v>
      </c>
      <c r="D584" t="s">
        <v>38</v>
      </c>
      <c r="E584" t="s">
        <v>1142</v>
      </c>
      <c r="F584" t="s">
        <v>1030</v>
      </c>
      <c r="G584" s="7">
        <v>7.2</v>
      </c>
      <c r="H584" s="7">
        <v>5.94</v>
      </c>
      <c r="I584" s="7">
        <f t="shared" si="9"/>
        <v>1.2599999999999998</v>
      </c>
      <c r="J584" t="s">
        <v>894</v>
      </c>
    </row>
    <row r="585" spans="2:10" x14ac:dyDescent="0.25">
      <c r="B585" t="s">
        <v>316</v>
      </c>
      <c r="C585" t="s">
        <v>37</v>
      </c>
      <c r="D585" t="s">
        <v>38</v>
      </c>
      <c r="E585" t="s">
        <v>1142</v>
      </c>
      <c r="F585" t="s">
        <v>426</v>
      </c>
      <c r="G585" s="7">
        <v>6</v>
      </c>
      <c r="H585" s="7">
        <v>4.95</v>
      </c>
      <c r="I585" s="7">
        <f t="shared" si="9"/>
        <v>1.0499999999999998</v>
      </c>
      <c r="J585" t="s">
        <v>894</v>
      </c>
    </row>
    <row r="586" spans="2:10" x14ac:dyDescent="0.25">
      <c r="B586" t="s">
        <v>317</v>
      </c>
      <c r="C586" t="s">
        <v>338</v>
      </c>
      <c r="D586" t="s">
        <v>38</v>
      </c>
      <c r="E586" t="s">
        <v>1006</v>
      </c>
      <c r="F586" t="s">
        <v>1030</v>
      </c>
      <c r="G586" s="7">
        <v>99</v>
      </c>
      <c r="H586" s="7">
        <v>81.680000000000007</v>
      </c>
      <c r="I586" s="7">
        <f t="shared" si="9"/>
        <v>17.319999999999993</v>
      </c>
      <c r="J586" t="s">
        <v>894</v>
      </c>
    </row>
    <row r="587" spans="2:10" x14ac:dyDescent="0.25">
      <c r="B587" t="s">
        <v>317</v>
      </c>
      <c r="C587" t="s">
        <v>37</v>
      </c>
      <c r="D587" t="s">
        <v>38</v>
      </c>
      <c r="E587" t="s">
        <v>1006</v>
      </c>
      <c r="F587" t="s">
        <v>426</v>
      </c>
      <c r="G587" s="7">
        <v>82.5</v>
      </c>
      <c r="H587" s="7">
        <v>68.069999999999993</v>
      </c>
      <c r="I587" s="7">
        <f t="shared" si="9"/>
        <v>14.430000000000007</v>
      </c>
      <c r="J587" t="s">
        <v>894</v>
      </c>
    </row>
    <row r="588" spans="2:10" x14ac:dyDescent="0.25">
      <c r="B588" t="s">
        <v>317</v>
      </c>
      <c r="C588" t="s">
        <v>338</v>
      </c>
      <c r="D588" t="s">
        <v>38</v>
      </c>
      <c r="E588" t="s">
        <v>1143</v>
      </c>
      <c r="F588" t="s">
        <v>1030</v>
      </c>
      <c r="G588" s="7">
        <v>72</v>
      </c>
      <c r="H588" s="7">
        <v>59.4</v>
      </c>
      <c r="I588" s="7">
        <f t="shared" si="9"/>
        <v>12.600000000000001</v>
      </c>
      <c r="J588" t="s">
        <v>894</v>
      </c>
    </row>
    <row r="589" spans="2:10" x14ac:dyDescent="0.25">
      <c r="B589" t="s">
        <v>317</v>
      </c>
      <c r="C589" t="s">
        <v>37</v>
      </c>
      <c r="D589" t="s">
        <v>38</v>
      </c>
      <c r="E589" t="s">
        <v>1143</v>
      </c>
      <c r="F589" t="s">
        <v>426</v>
      </c>
      <c r="G589" s="7">
        <v>60</v>
      </c>
      <c r="H589" s="7">
        <v>49.5</v>
      </c>
      <c r="I589" s="7">
        <f t="shared" si="9"/>
        <v>10.5</v>
      </c>
      <c r="J589" t="s">
        <v>894</v>
      </c>
    </row>
    <row r="590" spans="2:10" x14ac:dyDescent="0.25">
      <c r="B590" t="s">
        <v>713</v>
      </c>
      <c r="C590" t="s">
        <v>338</v>
      </c>
      <c r="D590" t="s">
        <v>38</v>
      </c>
      <c r="E590" t="s">
        <v>1007</v>
      </c>
      <c r="F590" t="s">
        <v>1030</v>
      </c>
      <c r="G590" s="7">
        <v>49.56</v>
      </c>
      <c r="H590" s="7">
        <v>43.62</v>
      </c>
      <c r="I590" s="7">
        <f t="shared" si="9"/>
        <v>5.9400000000000048</v>
      </c>
      <c r="J590" t="s">
        <v>894</v>
      </c>
    </row>
    <row r="591" spans="2:10" x14ac:dyDescent="0.25">
      <c r="B591" t="s">
        <v>713</v>
      </c>
      <c r="C591" t="s">
        <v>37</v>
      </c>
      <c r="D591" t="s">
        <v>38</v>
      </c>
      <c r="E591" t="s">
        <v>1007</v>
      </c>
      <c r="F591" t="s">
        <v>426</v>
      </c>
      <c r="G591" s="7">
        <v>41.3</v>
      </c>
      <c r="H591" s="7">
        <v>36.340000000000003</v>
      </c>
      <c r="I591" s="7">
        <f t="shared" si="9"/>
        <v>4.9599999999999937</v>
      </c>
      <c r="J591" t="s">
        <v>894</v>
      </c>
    </row>
    <row r="592" spans="2:10" x14ac:dyDescent="0.25">
      <c r="B592" t="s">
        <v>713</v>
      </c>
      <c r="C592" t="s">
        <v>338</v>
      </c>
      <c r="D592" t="s">
        <v>38</v>
      </c>
      <c r="E592" t="s">
        <v>1008</v>
      </c>
      <c r="F592" t="s">
        <v>1030</v>
      </c>
      <c r="G592" s="7">
        <v>36</v>
      </c>
      <c r="H592" s="7">
        <v>31.68</v>
      </c>
      <c r="I592" s="7">
        <f t="shared" si="9"/>
        <v>4.32</v>
      </c>
      <c r="J592" t="s">
        <v>894</v>
      </c>
    </row>
    <row r="593" spans="2:10" x14ac:dyDescent="0.25">
      <c r="B593" t="s">
        <v>713</v>
      </c>
      <c r="C593" t="s">
        <v>37</v>
      </c>
      <c r="D593" t="s">
        <v>38</v>
      </c>
      <c r="E593" t="s">
        <v>1008</v>
      </c>
      <c r="F593" t="s">
        <v>426</v>
      </c>
      <c r="G593" s="7">
        <v>30</v>
      </c>
      <c r="H593" s="7">
        <v>26.4</v>
      </c>
      <c r="I593" s="7">
        <f t="shared" si="9"/>
        <v>3.6000000000000014</v>
      </c>
      <c r="J593" t="s">
        <v>894</v>
      </c>
    </row>
    <row r="594" spans="2:10" x14ac:dyDescent="0.25">
      <c r="B594" t="s">
        <v>713</v>
      </c>
      <c r="C594" t="s">
        <v>338</v>
      </c>
      <c r="D594" t="s">
        <v>38</v>
      </c>
      <c r="E594" t="s">
        <v>1009</v>
      </c>
      <c r="F594" t="s">
        <v>1030</v>
      </c>
      <c r="G594" s="7">
        <v>24.72</v>
      </c>
      <c r="H594" s="7">
        <v>21.76</v>
      </c>
      <c r="I594" s="7">
        <f t="shared" si="9"/>
        <v>2.9599999999999973</v>
      </c>
      <c r="J594" t="s">
        <v>894</v>
      </c>
    </row>
    <row r="595" spans="2:10" x14ac:dyDescent="0.25">
      <c r="B595" t="s">
        <v>713</v>
      </c>
      <c r="C595" t="s">
        <v>37</v>
      </c>
      <c r="D595" t="s">
        <v>38</v>
      </c>
      <c r="E595" t="s">
        <v>1009</v>
      </c>
      <c r="F595" t="s">
        <v>426</v>
      </c>
      <c r="G595" s="7">
        <v>20.6</v>
      </c>
      <c r="H595" s="7">
        <v>18.13</v>
      </c>
      <c r="I595" s="7">
        <f t="shared" si="9"/>
        <v>2.4700000000000024</v>
      </c>
      <c r="J595" t="s">
        <v>894</v>
      </c>
    </row>
    <row r="596" spans="2:10" x14ac:dyDescent="0.25">
      <c r="B596" t="s">
        <v>713</v>
      </c>
      <c r="C596" t="s">
        <v>338</v>
      </c>
      <c r="D596" t="s">
        <v>38</v>
      </c>
      <c r="E596" t="s">
        <v>1010</v>
      </c>
      <c r="F596" t="s">
        <v>1030</v>
      </c>
      <c r="G596" s="7">
        <v>12</v>
      </c>
      <c r="H596" s="7">
        <v>10.56</v>
      </c>
      <c r="I596" s="7">
        <f t="shared" si="9"/>
        <v>1.4399999999999995</v>
      </c>
      <c r="J596" t="s">
        <v>894</v>
      </c>
    </row>
    <row r="597" spans="2:10" x14ac:dyDescent="0.25">
      <c r="B597" t="s">
        <v>713</v>
      </c>
      <c r="C597" t="s">
        <v>37</v>
      </c>
      <c r="D597" t="s">
        <v>38</v>
      </c>
      <c r="E597" t="s">
        <v>1010</v>
      </c>
      <c r="F597" t="s">
        <v>426</v>
      </c>
      <c r="G597" s="7">
        <v>10</v>
      </c>
      <c r="H597" s="7">
        <v>8.8000000000000007</v>
      </c>
      <c r="I597" s="7">
        <f t="shared" si="9"/>
        <v>1.1999999999999993</v>
      </c>
      <c r="J597" t="s">
        <v>894</v>
      </c>
    </row>
    <row r="598" spans="2:10" x14ac:dyDescent="0.25">
      <c r="B598" t="s">
        <v>713</v>
      </c>
      <c r="C598" t="s">
        <v>338</v>
      </c>
      <c r="D598" t="s">
        <v>38</v>
      </c>
      <c r="E598" t="s">
        <v>1011</v>
      </c>
      <c r="F598" t="s">
        <v>1030</v>
      </c>
      <c r="G598" s="7">
        <v>16.559999999999999</v>
      </c>
      <c r="H598" s="7">
        <v>14.58</v>
      </c>
      <c r="I598" s="7">
        <f t="shared" si="9"/>
        <v>1.9799999999999986</v>
      </c>
      <c r="J598" t="s">
        <v>894</v>
      </c>
    </row>
    <row r="599" spans="2:10" x14ac:dyDescent="0.25">
      <c r="B599" t="s">
        <v>713</v>
      </c>
      <c r="C599" t="s">
        <v>37</v>
      </c>
      <c r="D599" t="s">
        <v>38</v>
      </c>
      <c r="E599" t="s">
        <v>1011</v>
      </c>
      <c r="F599" t="s">
        <v>426</v>
      </c>
      <c r="G599" s="7">
        <v>13.8</v>
      </c>
      <c r="H599" s="7">
        <v>12.14</v>
      </c>
      <c r="I599" s="7">
        <f t="shared" si="9"/>
        <v>1.6600000000000001</v>
      </c>
      <c r="J599" t="s">
        <v>894</v>
      </c>
    </row>
    <row r="600" spans="2:10" x14ac:dyDescent="0.25">
      <c r="B600" t="s">
        <v>713</v>
      </c>
      <c r="C600" t="s">
        <v>338</v>
      </c>
      <c r="D600" t="s">
        <v>38</v>
      </c>
      <c r="E600" t="s">
        <v>1012</v>
      </c>
      <c r="F600" t="s">
        <v>1030</v>
      </c>
      <c r="G600" s="7">
        <v>18</v>
      </c>
      <c r="H600" s="7">
        <v>15.84</v>
      </c>
      <c r="I600" s="7">
        <f t="shared" si="9"/>
        <v>2.16</v>
      </c>
      <c r="J600" t="s">
        <v>894</v>
      </c>
    </row>
    <row r="601" spans="2:10" x14ac:dyDescent="0.25">
      <c r="B601" t="s">
        <v>713</v>
      </c>
      <c r="C601" t="s">
        <v>37</v>
      </c>
      <c r="D601" t="s">
        <v>38</v>
      </c>
      <c r="E601" t="s">
        <v>1012</v>
      </c>
      <c r="F601" t="s">
        <v>426</v>
      </c>
      <c r="G601" s="7">
        <v>15</v>
      </c>
      <c r="H601" s="7">
        <v>13.2</v>
      </c>
      <c r="I601" s="7">
        <f t="shared" si="9"/>
        <v>1.8000000000000007</v>
      </c>
      <c r="J601" t="s">
        <v>894</v>
      </c>
    </row>
    <row r="602" spans="2:10" x14ac:dyDescent="0.25">
      <c r="B602" t="s">
        <v>1013</v>
      </c>
      <c r="C602" t="s">
        <v>37</v>
      </c>
      <c r="D602" t="s">
        <v>38</v>
      </c>
      <c r="E602" t="s">
        <v>1014</v>
      </c>
      <c r="F602" t="s">
        <v>426</v>
      </c>
      <c r="G602" s="7">
        <v>110</v>
      </c>
      <c r="H602" s="7">
        <v>96.8</v>
      </c>
      <c r="I602" s="7">
        <f t="shared" si="9"/>
        <v>13.200000000000003</v>
      </c>
      <c r="J602" t="s">
        <v>894</v>
      </c>
    </row>
    <row r="603" spans="2:10" x14ac:dyDescent="0.25">
      <c r="B603" t="s">
        <v>1013</v>
      </c>
      <c r="C603" t="s">
        <v>338</v>
      </c>
      <c r="D603" t="s">
        <v>38</v>
      </c>
      <c r="E603" t="s">
        <v>1015</v>
      </c>
      <c r="F603" t="s">
        <v>426</v>
      </c>
      <c r="G603" s="7">
        <v>30</v>
      </c>
      <c r="H603" s="7">
        <v>26.4</v>
      </c>
      <c r="I603" s="7">
        <f t="shared" si="9"/>
        <v>3.6000000000000014</v>
      </c>
      <c r="J603" t="s">
        <v>894</v>
      </c>
    </row>
    <row r="604" spans="2:10" x14ac:dyDescent="0.25">
      <c r="B604" t="s">
        <v>1013</v>
      </c>
      <c r="C604" t="s">
        <v>37</v>
      </c>
      <c r="D604" t="s">
        <v>38</v>
      </c>
      <c r="E604" t="s">
        <v>1016</v>
      </c>
      <c r="F604" t="s">
        <v>426</v>
      </c>
      <c r="G604" s="7">
        <v>41.3</v>
      </c>
      <c r="H604" s="7">
        <v>36.340000000000003</v>
      </c>
      <c r="I604" s="7">
        <f t="shared" si="9"/>
        <v>4.9599999999999937</v>
      </c>
      <c r="J604" t="s">
        <v>894</v>
      </c>
    </row>
    <row r="605" spans="2:10" x14ac:dyDescent="0.25">
      <c r="B605" t="s">
        <v>1013</v>
      </c>
      <c r="C605" t="s">
        <v>338</v>
      </c>
      <c r="D605" t="s">
        <v>38</v>
      </c>
      <c r="E605" t="s">
        <v>1017</v>
      </c>
      <c r="F605" t="s">
        <v>424</v>
      </c>
      <c r="G605" s="7">
        <v>132</v>
      </c>
      <c r="H605" s="7">
        <v>116.16</v>
      </c>
      <c r="I605" s="7">
        <f t="shared" si="9"/>
        <v>15.840000000000003</v>
      </c>
      <c r="J605" t="s">
        <v>894</v>
      </c>
    </row>
    <row r="606" spans="2:10" x14ac:dyDescent="0.25">
      <c r="B606" t="s">
        <v>1013</v>
      </c>
      <c r="C606" t="s">
        <v>37</v>
      </c>
      <c r="D606" t="s">
        <v>38</v>
      </c>
      <c r="E606" t="s">
        <v>1017</v>
      </c>
      <c r="F606" t="s">
        <v>426</v>
      </c>
      <c r="G606" s="7">
        <v>110</v>
      </c>
      <c r="H606" s="7">
        <v>96.8</v>
      </c>
      <c r="I606" s="7">
        <f t="shared" si="9"/>
        <v>13.200000000000003</v>
      </c>
      <c r="J606" t="s">
        <v>894</v>
      </c>
    </row>
    <row r="607" spans="2:10" x14ac:dyDescent="0.25">
      <c r="B607" t="s">
        <v>320</v>
      </c>
      <c r="C607" t="s">
        <v>338</v>
      </c>
      <c r="D607" t="s">
        <v>38</v>
      </c>
      <c r="E607" t="s">
        <v>1031</v>
      </c>
      <c r="F607" t="s">
        <v>424</v>
      </c>
      <c r="G607" s="7">
        <v>420</v>
      </c>
      <c r="H607" s="7">
        <v>346.5</v>
      </c>
      <c r="I607" s="7">
        <f t="shared" si="9"/>
        <v>73.5</v>
      </c>
      <c r="J607" t="s">
        <v>894</v>
      </c>
    </row>
    <row r="608" spans="2:10" x14ac:dyDescent="0.25">
      <c r="B608" t="s">
        <v>320</v>
      </c>
      <c r="C608" t="s">
        <v>37</v>
      </c>
      <c r="D608" t="s">
        <v>38</v>
      </c>
      <c r="E608" t="s">
        <v>1031</v>
      </c>
      <c r="F608" t="s">
        <v>426</v>
      </c>
      <c r="G608" s="7">
        <v>350</v>
      </c>
      <c r="H608" s="7">
        <v>288.75</v>
      </c>
      <c r="I608" s="7">
        <f t="shared" si="9"/>
        <v>61.25</v>
      </c>
      <c r="J608" t="s">
        <v>894</v>
      </c>
    </row>
    <row r="609" spans="2:10" x14ac:dyDescent="0.25">
      <c r="B609" t="s">
        <v>721</v>
      </c>
      <c r="C609" t="s">
        <v>338</v>
      </c>
      <c r="D609" t="s">
        <v>38</v>
      </c>
      <c r="E609" t="s">
        <v>1033</v>
      </c>
      <c r="F609" t="s">
        <v>424</v>
      </c>
      <c r="G609" s="7">
        <v>33.6</v>
      </c>
      <c r="H609" s="7">
        <v>27.72</v>
      </c>
      <c r="I609" s="7">
        <f t="shared" si="9"/>
        <v>5.8800000000000026</v>
      </c>
      <c r="J609" t="s">
        <v>894</v>
      </c>
    </row>
    <row r="610" spans="2:10" x14ac:dyDescent="0.25">
      <c r="B610" t="s">
        <v>721</v>
      </c>
      <c r="C610" t="s">
        <v>37</v>
      </c>
      <c r="D610" t="s">
        <v>38</v>
      </c>
      <c r="E610" t="s">
        <v>1033</v>
      </c>
      <c r="F610" t="s">
        <v>426</v>
      </c>
      <c r="G610" s="7">
        <v>28</v>
      </c>
      <c r="H610" s="7">
        <v>23.1</v>
      </c>
      <c r="I610" s="7">
        <f t="shared" si="9"/>
        <v>4.8999999999999986</v>
      </c>
      <c r="J610" t="s">
        <v>894</v>
      </c>
    </row>
    <row r="611" spans="2:10" x14ac:dyDescent="0.25">
      <c r="B611" t="s">
        <v>723</v>
      </c>
      <c r="C611" t="s">
        <v>338</v>
      </c>
      <c r="D611" t="s">
        <v>38</v>
      </c>
      <c r="E611" t="s">
        <v>1034</v>
      </c>
      <c r="F611" t="s">
        <v>424</v>
      </c>
      <c r="G611" s="7">
        <v>1.4</v>
      </c>
      <c r="H611" s="7">
        <v>1.1599999999999999</v>
      </c>
      <c r="I611" s="7">
        <f t="shared" si="9"/>
        <v>0.24</v>
      </c>
      <c r="J611" t="s">
        <v>894</v>
      </c>
    </row>
    <row r="612" spans="2:10" x14ac:dyDescent="0.25">
      <c r="B612" t="s">
        <v>723</v>
      </c>
      <c r="C612" t="s">
        <v>37</v>
      </c>
      <c r="D612" t="s">
        <v>38</v>
      </c>
      <c r="E612" t="s">
        <v>1034</v>
      </c>
      <c r="F612" t="s">
        <v>426</v>
      </c>
      <c r="G612" s="7">
        <v>1.4</v>
      </c>
      <c r="H612" s="7">
        <v>1.1599999999999999</v>
      </c>
      <c r="I612" s="7">
        <f t="shared" si="9"/>
        <v>0.24</v>
      </c>
      <c r="J612" t="s">
        <v>894</v>
      </c>
    </row>
    <row r="613" spans="2:10" x14ac:dyDescent="0.25">
      <c r="B613" t="s">
        <v>725</v>
      </c>
      <c r="C613" t="s">
        <v>338</v>
      </c>
      <c r="D613" t="s">
        <v>38</v>
      </c>
      <c r="E613" t="s">
        <v>1035</v>
      </c>
      <c r="F613" t="s">
        <v>424</v>
      </c>
      <c r="G613" s="7">
        <v>7</v>
      </c>
      <c r="H613" s="7">
        <v>5.78</v>
      </c>
      <c r="I613" s="7">
        <f t="shared" si="9"/>
        <v>1.2199999999999998</v>
      </c>
      <c r="J613" t="s">
        <v>894</v>
      </c>
    </row>
    <row r="614" spans="2:10" x14ac:dyDescent="0.25">
      <c r="B614" t="s">
        <v>725</v>
      </c>
      <c r="C614" t="s">
        <v>37</v>
      </c>
      <c r="D614" t="s">
        <v>38</v>
      </c>
      <c r="E614" t="s">
        <v>1035</v>
      </c>
      <c r="F614" t="s">
        <v>426</v>
      </c>
      <c r="G614" s="7">
        <v>7</v>
      </c>
      <c r="H614" s="7">
        <v>5.78</v>
      </c>
      <c r="I614" s="7">
        <f t="shared" si="9"/>
        <v>1.2199999999999998</v>
      </c>
      <c r="J614" t="s">
        <v>894</v>
      </c>
    </row>
    <row r="615" spans="2:10" x14ac:dyDescent="0.25">
      <c r="I615" s="7"/>
    </row>
    <row r="616" spans="2:10" x14ac:dyDescent="0.25">
      <c r="E616" s="8" t="s">
        <v>421</v>
      </c>
      <c r="I616" s="7"/>
    </row>
    <row r="617" spans="2:10" x14ac:dyDescent="0.25">
      <c r="B617" t="s">
        <v>330</v>
      </c>
      <c r="C617" t="s">
        <v>37</v>
      </c>
      <c r="D617" t="s">
        <v>38</v>
      </c>
      <c r="E617" t="s">
        <v>1018</v>
      </c>
      <c r="F617" t="s">
        <v>426</v>
      </c>
      <c r="G617" s="7">
        <v>0.8</v>
      </c>
      <c r="H617" s="7">
        <v>0.7</v>
      </c>
      <c r="I617" s="7">
        <f t="shared" si="9"/>
        <v>0.10000000000000009</v>
      </c>
      <c r="J617" t="s">
        <v>894</v>
      </c>
    </row>
    <row r="618" spans="2:10" x14ac:dyDescent="0.25">
      <c r="B618" t="s">
        <v>330</v>
      </c>
      <c r="C618" t="s">
        <v>37</v>
      </c>
      <c r="D618" t="s">
        <v>38</v>
      </c>
      <c r="E618" t="s">
        <v>1019</v>
      </c>
      <c r="F618" t="s">
        <v>426</v>
      </c>
      <c r="G618" s="7">
        <v>7.5</v>
      </c>
      <c r="H618" s="7">
        <v>6.6</v>
      </c>
      <c r="I618" s="7">
        <f t="shared" si="9"/>
        <v>0.90000000000000036</v>
      </c>
      <c r="J618" t="s">
        <v>894</v>
      </c>
    </row>
    <row r="619" spans="2:10" x14ac:dyDescent="0.25">
      <c r="B619" t="s">
        <v>330</v>
      </c>
      <c r="C619" t="s">
        <v>37</v>
      </c>
      <c r="D619" t="s">
        <v>38</v>
      </c>
      <c r="E619" t="s">
        <v>1020</v>
      </c>
      <c r="F619" t="s">
        <v>426</v>
      </c>
      <c r="G619" s="7">
        <v>0.6</v>
      </c>
      <c r="H619" s="7">
        <v>0.53</v>
      </c>
      <c r="I619" s="7">
        <f t="shared" si="9"/>
        <v>6.9999999999999951E-2</v>
      </c>
      <c r="J619" t="s">
        <v>894</v>
      </c>
    </row>
    <row r="620" spans="2:10" x14ac:dyDescent="0.25">
      <c r="B620" t="s">
        <v>330</v>
      </c>
      <c r="C620" t="s">
        <v>37</v>
      </c>
      <c r="D620" t="s">
        <v>38</v>
      </c>
      <c r="E620" t="s">
        <v>1021</v>
      </c>
      <c r="F620" t="s">
        <v>426</v>
      </c>
      <c r="G620" s="7">
        <v>7.5</v>
      </c>
      <c r="H620" s="7">
        <v>6.6</v>
      </c>
      <c r="I620" s="7">
        <f t="shared" si="9"/>
        <v>0.90000000000000036</v>
      </c>
      <c r="J620" t="s">
        <v>894</v>
      </c>
    </row>
    <row r="621" spans="2:10" x14ac:dyDescent="0.25">
      <c r="I621" s="7"/>
    </row>
    <row r="622" spans="2:10" x14ac:dyDescent="0.25">
      <c r="E622" s="8" t="s">
        <v>359</v>
      </c>
      <c r="I622" s="7"/>
    </row>
    <row r="623" spans="2:10" x14ac:dyDescent="0.25">
      <c r="B623" t="s">
        <v>1022</v>
      </c>
      <c r="C623" t="s">
        <v>37</v>
      </c>
      <c r="D623" t="s">
        <v>38</v>
      </c>
      <c r="E623" t="s">
        <v>1023</v>
      </c>
      <c r="F623" t="s">
        <v>426</v>
      </c>
      <c r="G623" s="7">
        <v>1.6</v>
      </c>
      <c r="H623" s="7">
        <v>1.41</v>
      </c>
      <c r="I623" s="7">
        <f t="shared" si="9"/>
        <v>0.19000000000000017</v>
      </c>
      <c r="J623" t="s">
        <v>894</v>
      </c>
    </row>
    <row r="624" spans="2:10" x14ac:dyDescent="0.25">
      <c r="B624" t="s">
        <v>1022</v>
      </c>
      <c r="C624" t="s">
        <v>37</v>
      </c>
      <c r="D624" t="s">
        <v>38</v>
      </c>
      <c r="E624" t="s">
        <v>1024</v>
      </c>
      <c r="F624" t="s">
        <v>426</v>
      </c>
      <c r="G624" s="7">
        <v>2.2000000000000002</v>
      </c>
      <c r="H624" s="7">
        <v>1.94</v>
      </c>
      <c r="I624" s="7">
        <f t="shared" si="9"/>
        <v>0.26000000000000023</v>
      </c>
      <c r="J624" t="s">
        <v>894</v>
      </c>
    </row>
    <row r="625" spans="2:10" x14ac:dyDescent="0.25">
      <c r="B625" t="s">
        <v>1022</v>
      </c>
      <c r="C625" t="s">
        <v>37</v>
      </c>
      <c r="D625" t="s">
        <v>38</v>
      </c>
      <c r="E625" t="s">
        <v>1025</v>
      </c>
      <c r="F625" t="s">
        <v>426</v>
      </c>
      <c r="G625" s="7">
        <v>0</v>
      </c>
      <c r="H625" s="7">
        <v>0</v>
      </c>
      <c r="I625" s="7">
        <f t="shared" si="9"/>
        <v>0</v>
      </c>
      <c r="J625" t="s">
        <v>894</v>
      </c>
    </row>
    <row r="626" spans="2:10" x14ac:dyDescent="0.25">
      <c r="B626" t="s">
        <v>1026</v>
      </c>
      <c r="C626" t="s">
        <v>37</v>
      </c>
      <c r="D626" t="s">
        <v>38</v>
      </c>
      <c r="E626" t="s">
        <v>1027</v>
      </c>
      <c r="F626" t="s">
        <v>426</v>
      </c>
      <c r="G626" s="7">
        <v>0</v>
      </c>
      <c r="H626" s="7">
        <v>0</v>
      </c>
      <c r="I626" s="7">
        <f t="shared" si="9"/>
        <v>0</v>
      </c>
      <c r="J626" t="s">
        <v>894</v>
      </c>
    </row>
    <row r="627" spans="2:10" x14ac:dyDescent="0.25">
      <c r="B627" t="s">
        <v>1026</v>
      </c>
      <c r="C627" t="s">
        <v>37</v>
      </c>
      <c r="D627" t="s">
        <v>38</v>
      </c>
      <c r="E627" t="s">
        <v>1028</v>
      </c>
      <c r="F627" t="s">
        <v>426</v>
      </c>
      <c r="G627" s="7">
        <v>6.3</v>
      </c>
      <c r="H627" s="7">
        <v>5.54</v>
      </c>
      <c r="I627" s="7">
        <f t="shared" si="9"/>
        <v>0.75999999999999979</v>
      </c>
      <c r="J627" t="s">
        <v>894</v>
      </c>
    </row>
    <row r="628" spans="2:10" x14ac:dyDescent="0.25">
      <c r="B628" t="s">
        <v>1026</v>
      </c>
      <c r="C628" t="s">
        <v>37</v>
      </c>
      <c r="D628" t="s">
        <v>38</v>
      </c>
      <c r="E628" t="s">
        <v>1029</v>
      </c>
      <c r="F628" t="s">
        <v>426</v>
      </c>
      <c r="G628" s="7">
        <v>5.7</v>
      </c>
      <c r="H628" s="7">
        <v>5.0199999999999996</v>
      </c>
      <c r="I628" s="7">
        <f t="shared" si="9"/>
        <v>0.6800000000000006</v>
      </c>
      <c r="J628" t="s">
        <v>894</v>
      </c>
    </row>
    <row r="630" spans="2:10" x14ac:dyDescent="0.25">
      <c r="B630" t="s">
        <v>237</v>
      </c>
      <c r="C630" t="s">
        <v>338</v>
      </c>
      <c r="D630" t="s">
        <v>38</v>
      </c>
      <c r="E630" t="s">
        <v>1067</v>
      </c>
      <c r="F630" t="s">
        <v>424</v>
      </c>
      <c r="G630" s="7">
        <v>72</v>
      </c>
      <c r="H630" s="7">
        <v>55.44</v>
      </c>
      <c r="I630" s="7">
        <f>G630-H630</f>
        <v>16.560000000000002</v>
      </c>
      <c r="J630" t="s">
        <v>894</v>
      </c>
    </row>
    <row r="631" spans="2:10" x14ac:dyDescent="0.25">
      <c r="B631" t="s">
        <v>237</v>
      </c>
      <c r="C631" t="s">
        <v>37</v>
      </c>
      <c r="D631" t="s">
        <v>38</v>
      </c>
      <c r="E631" t="s">
        <v>1067</v>
      </c>
      <c r="F631" t="s">
        <v>426</v>
      </c>
      <c r="G631" s="7">
        <v>60</v>
      </c>
      <c r="H631" s="7">
        <v>46.2</v>
      </c>
      <c r="I631" s="7">
        <f t="shared" ref="I631:I642" si="10">G631-H631</f>
        <v>13.799999999999997</v>
      </c>
      <c r="J631" t="s">
        <v>894</v>
      </c>
    </row>
    <row r="632" spans="2:10" x14ac:dyDescent="0.25">
      <c r="B632" t="s">
        <v>237</v>
      </c>
      <c r="C632" t="s">
        <v>338</v>
      </c>
      <c r="D632" t="s">
        <v>38</v>
      </c>
      <c r="E632" t="s">
        <v>1067</v>
      </c>
      <c r="F632" t="s">
        <v>424</v>
      </c>
      <c r="G632" s="7">
        <v>54</v>
      </c>
      <c r="H632" s="7">
        <v>41.58</v>
      </c>
      <c r="I632" s="7">
        <f t="shared" si="10"/>
        <v>12.420000000000002</v>
      </c>
      <c r="J632" t="s">
        <v>894</v>
      </c>
    </row>
    <row r="633" spans="2:10" x14ac:dyDescent="0.25">
      <c r="B633" t="s">
        <v>237</v>
      </c>
      <c r="C633" t="s">
        <v>37</v>
      </c>
      <c r="D633" t="s">
        <v>38</v>
      </c>
      <c r="E633" t="s">
        <v>1067</v>
      </c>
      <c r="F633" t="s">
        <v>426</v>
      </c>
      <c r="G633" s="7">
        <v>45</v>
      </c>
      <c r="H633" s="7">
        <v>34.65</v>
      </c>
      <c r="I633" s="7">
        <f t="shared" si="10"/>
        <v>10.350000000000001</v>
      </c>
      <c r="J633" t="s">
        <v>894</v>
      </c>
    </row>
    <row r="634" spans="2:10" x14ac:dyDescent="0.25">
      <c r="I634" s="7"/>
    </row>
    <row r="635" spans="2:10" x14ac:dyDescent="0.25">
      <c r="B635" t="s">
        <v>834</v>
      </c>
      <c r="C635" t="s">
        <v>338</v>
      </c>
      <c r="D635" t="s">
        <v>38</v>
      </c>
      <c r="E635" t="s">
        <v>1128</v>
      </c>
      <c r="F635" t="s">
        <v>424</v>
      </c>
      <c r="G635" s="7">
        <v>1.44</v>
      </c>
      <c r="H635" s="7">
        <v>1.27</v>
      </c>
      <c r="I635" s="7">
        <f t="shared" si="10"/>
        <v>0.16999999999999993</v>
      </c>
      <c r="J635" t="s">
        <v>894</v>
      </c>
    </row>
    <row r="636" spans="2:10" x14ac:dyDescent="0.25">
      <c r="B636" t="s">
        <v>834</v>
      </c>
      <c r="C636" t="s">
        <v>37</v>
      </c>
      <c r="D636" t="s">
        <v>38</v>
      </c>
      <c r="E636" t="s">
        <v>1128</v>
      </c>
      <c r="F636" t="s">
        <v>426</v>
      </c>
      <c r="G636" s="7">
        <v>1.2</v>
      </c>
      <c r="H636" s="7">
        <v>1.06</v>
      </c>
      <c r="I636" s="7">
        <f t="shared" si="10"/>
        <v>0.1399999999999999</v>
      </c>
      <c r="J636" t="s">
        <v>894</v>
      </c>
    </row>
    <row r="637" spans="2:10" x14ac:dyDescent="0.25">
      <c r="B637" t="s">
        <v>449</v>
      </c>
      <c r="C637" t="s">
        <v>338</v>
      </c>
      <c r="D637" t="s">
        <v>38</v>
      </c>
      <c r="E637" t="s">
        <v>1129</v>
      </c>
      <c r="F637" t="s">
        <v>424</v>
      </c>
      <c r="G637" s="7">
        <v>1.2</v>
      </c>
      <c r="H637" s="7">
        <v>1.06</v>
      </c>
      <c r="I637" s="7">
        <f t="shared" si="10"/>
        <v>0.1399999999999999</v>
      </c>
      <c r="J637" t="s">
        <v>894</v>
      </c>
    </row>
    <row r="638" spans="2:10" x14ac:dyDescent="0.25">
      <c r="B638" t="s">
        <v>449</v>
      </c>
      <c r="C638" t="s">
        <v>37</v>
      </c>
      <c r="D638" t="s">
        <v>38</v>
      </c>
      <c r="E638" t="s">
        <v>1129</v>
      </c>
      <c r="F638" t="s">
        <v>426</v>
      </c>
      <c r="G638" s="7">
        <v>1</v>
      </c>
      <c r="H638" s="7">
        <v>0.88</v>
      </c>
      <c r="I638" s="7">
        <f t="shared" si="10"/>
        <v>0.12</v>
      </c>
      <c r="J638" t="s">
        <v>894</v>
      </c>
    </row>
    <row r="639" spans="2:10" x14ac:dyDescent="0.25">
      <c r="B639" t="s">
        <v>836</v>
      </c>
      <c r="C639" t="s">
        <v>338</v>
      </c>
      <c r="D639" t="s">
        <v>38</v>
      </c>
      <c r="E639" t="s">
        <v>1130</v>
      </c>
      <c r="F639" t="s">
        <v>424</v>
      </c>
      <c r="G639" s="7">
        <v>2.76</v>
      </c>
      <c r="H639" s="7">
        <v>2.4</v>
      </c>
      <c r="I639" s="7">
        <f t="shared" si="10"/>
        <v>0.35999999999999988</v>
      </c>
      <c r="J639" t="s">
        <v>894</v>
      </c>
    </row>
    <row r="640" spans="2:10" x14ac:dyDescent="0.25">
      <c r="B640" t="s">
        <v>836</v>
      </c>
      <c r="C640" t="s">
        <v>37</v>
      </c>
      <c r="D640" t="s">
        <v>38</v>
      </c>
      <c r="E640" t="s">
        <v>1130</v>
      </c>
      <c r="F640" t="s">
        <v>426</v>
      </c>
      <c r="G640" s="7">
        <v>2.2999999999999998</v>
      </c>
      <c r="H640" s="7">
        <v>2.02</v>
      </c>
      <c r="I640" s="7">
        <f t="shared" si="10"/>
        <v>0.2799999999999998</v>
      </c>
      <c r="J640" t="s">
        <v>894</v>
      </c>
    </row>
    <row r="641" spans="2:10" x14ac:dyDescent="0.25">
      <c r="B641" t="s">
        <v>328</v>
      </c>
      <c r="C641" t="s">
        <v>338</v>
      </c>
      <c r="D641" t="s">
        <v>38</v>
      </c>
      <c r="E641" t="s">
        <v>1131</v>
      </c>
      <c r="F641" t="s">
        <v>424</v>
      </c>
      <c r="G641" s="7">
        <v>1.2</v>
      </c>
      <c r="H641" s="7">
        <v>1.06</v>
      </c>
      <c r="I641" s="7">
        <f t="shared" si="10"/>
        <v>0.1399999999999999</v>
      </c>
      <c r="J641" t="s">
        <v>894</v>
      </c>
    </row>
    <row r="642" spans="2:10" x14ac:dyDescent="0.25">
      <c r="B642" t="s">
        <v>328</v>
      </c>
      <c r="C642" t="s">
        <v>37</v>
      </c>
      <c r="D642" t="s">
        <v>38</v>
      </c>
      <c r="E642" t="s">
        <v>1131</v>
      </c>
      <c r="F642" t="s">
        <v>426</v>
      </c>
      <c r="G642" s="7">
        <v>1</v>
      </c>
      <c r="H642" s="7">
        <v>0.88</v>
      </c>
      <c r="I642" s="7">
        <f t="shared" si="10"/>
        <v>0.12</v>
      </c>
      <c r="J642" t="s">
        <v>894</v>
      </c>
    </row>
  </sheetData>
  <phoneticPr fontId="18" type="noConversion"/>
  <hyperlinks>
    <hyperlink ref="K1" location="'Incentives Guide'!A1" display="Global H2 Incentive" xr:uid="{EA73AB88-AE4A-4EB4-83F1-508D81BDAD7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7283D-9DD0-44FF-8421-785E06F516CE}">
  <dimension ref="A1:L331"/>
  <sheetViews>
    <sheetView zoomScale="80" zoomScaleNormal="80" workbookViewId="0">
      <selection activeCell="E340" sqref="E340"/>
    </sheetView>
  </sheetViews>
  <sheetFormatPr defaultRowHeight="15" x14ac:dyDescent="0.25"/>
  <cols>
    <col min="1" max="1" width="9.42578125" customWidth="1"/>
    <col min="2" max="2" width="16.5703125" bestFit="1" customWidth="1"/>
    <col min="3" max="3" width="13.85546875" bestFit="1" customWidth="1"/>
    <col min="4" max="4" width="10.85546875" bestFit="1" customWidth="1"/>
    <col min="5" max="5" width="105.28515625" bestFit="1" customWidth="1"/>
    <col min="6" max="6" width="28" bestFit="1" customWidth="1"/>
    <col min="7" max="7" width="17" style="7" bestFit="1" customWidth="1"/>
    <col min="8" max="8" width="14.42578125" style="7" bestFit="1" customWidth="1"/>
    <col min="9" max="9" width="16.28515625" bestFit="1" customWidth="1"/>
    <col min="10" max="10" width="23.140625" bestFit="1" customWidth="1"/>
    <col min="11" max="11" width="23" bestFit="1" customWidth="1"/>
  </cols>
  <sheetData>
    <row r="1" spans="1:12" x14ac:dyDescent="0.25">
      <c r="A1" s="8" t="s">
        <v>27</v>
      </c>
      <c r="B1" s="8" t="s">
        <v>28</v>
      </c>
      <c r="C1" s="8" t="s">
        <v>29</v>
      </c>
      <c r="D1" s="8" t="s">
        <v>30</v>
      </c>
      <c r="E1" s="8" t="s">
        <v>31</v>
      </c>
      <c r="F1" s="8" t="s">
        <v>423</v>
      </c>
      <c r="G1" s="9" t="s">
        <v>32</v>
      </c>
      <c r="H1" s="9" t="s">
        <v>33</v>
      </c>
      <c r="I1" s="9" t="s">
        <v>34</v>
      </c>
      <c r="J1" s="8" t="s">
        <v>35</v>
      </c>
      <c r="K1" s="10" t="s">
        <v>493</v>
      </c>
      <c r="L1" s="1"/>
    </row>
    <row r="2" spans="1:12" x14ac:dyDescent="0.25">
      <c r="E2" s="8" t="s">
        <v>336</v>
      </c>
    </row>
    <row r="3" spans="1:12" x14ac:dyDescent="0.25">
      <c r="B3" t="s">
        <v>46</v>
      </c>
      <c r="C3" t="s">
        <v>338</v>
      </c>
      <c r="D3" t="s">
        <v>38</v>
      </c>
      <c r="E3" t="s">
        <v>1296</v>
      </c>
      <c r="F3" t="s">
        <v>424</v>
      </c>
      <c r="G3" s="7">
        <v>0.9</v>
      </c>
      <c r="H3" s="7">
        <v>0.85</v>
      </c>
      <c r="I3" s="7">
        <f>G3-H3</f>
        <v>5.0000000000000044E-2</v>
      </c>
      <c r="J3" t="s">
        <v>1158</v>
      </c>
    </row>
    <row r="4" spans="1:12" x14ac:dyDescent="0.25">
      <c r="B4" t="s">
        <v>46</v>
      </c>
      <c r="C4" t="s">
        <v>37</v>
      </c>
      <c r="D4" t="s">
        <v>38</v>
      </c>
      <c r="E4" t="s">
        <v>1296</v>
      </c>
      <c r="F4" t="s">
        <v>426</v>
      </c>
      <c r="G4" s="7">
        <v>0.75</v>
      </c>
      <c r="H4" s="7">
        <v>0.71</v>
      </c>
      <c r="I4" s="7">
        <f>G4-H4</f>
        <v>4.0000000000000036E-2</v>
      </c>
      <c r="J4" t="s">
        <v>1158</v>
      </c>
    </row>
    <row r="5" spans="1:12" x14ac:dyDescent="0.25">
      <c r="B5" t="s">
        <v>67</v>
      </c>
      <c r="C5" t="s">
        <v>338</v>
      </c>
      <c r="D5" t="s">
        <v>38</v>
      </c>
      <c r="E5" t="s">
        <v>68</v>
      </c>
      <c r="F5" t="s">
        <v>424</v>
      </c>
      <c r="G5" s="7">
        <v>3.6</v>
      </c>
      <c r="H5" s="7">
        <v>3.4</v>
      </c>
      <c r="I5" s="7">
        <f>G5-H5</f>
        <v>0.20000000000000018</v>
      </c>
      <c r="J5" t="s">
        <v>1158</v>
      </c>
    </row>
    <row r="6" spans="1:12" x14ac:dyDescent="0.25">
      <c r="B6" t="s">
        <v>67</v>
      </c>
      <c r="C6" t="s">
        <v>37</v>
      </c>
      <c r="D6" t="s">
        <v>38</v>
      </c>
      <c r="E6" t="s">
        <v>68</v>
      </c>
      <c r="F6" t="s">
        <v>426</v>
      </c>
      <c r="G6" s="7">
        <v>3</v>
      </c>
      <c r="H6" s="7">
        <v>2.84</v>
      </c>
      <c r="I6" s="7">
        <f>G6-H6</f>
        <v>0.16000000000000014</v>
      </c>
      <c r="J6" t="s">
        <v>1158</v>
      </c>
    </row>
    <row r="7" spans="1:12" x14ac:dyDescent="0.25">
      <c r="B7" t="s">
        <v>132</v>
      </c>
      <c r="C7" t="s">
        <v>338</v>
      </c>
      <c r="D7" t="s">
        <v>38</v>
      </c>
      <c r="E7" t="s">
        <v>133</v>
      </c>
      <c r="F7" t="s">
        <v>424</v>
      </c>
      <c r="G7" s="7">
        <v>1.2</v>
      </c>
      <c r="H7" s="7">
        <v>1.2</v>
      </c>
      <c r="I7" s="7">
        <f>G7-H7</f>
        <v>0</v>
      </c>
      <c r="J7" t="s">
        <v>1158</v>
      </c>
    </row>
    <row r="8" spans="1:12" x14ac:dyDescent="0.25">
      <c r="B8" t="s">
        <v>132</v>
      </c>
      <c r="C8" t="s">
        <v>37</v>
      </c>
      <c r="D8" t="s">
        <v>38</v>
      </c>
      <c r="E8" t="s">
        <v>133</v>
      </c>
      <c r="F8" t="s">
        <v>426</v>
      </c>
      <c r="G8" s="7">
        <v>1</v>
      </c>
      <c r="H8" s="7">
        <v>1</v>
      </c>
      <c r="I8" s="7">
        <f t="shared" ref="I8:I242" si="0">G8-H8</f>
        <v>0</v>
      </c>
      <c r="J8" t="s">
        <v>1158</v>
      </c>
    </row>
    <row r="9" spans="1:12" x14ac:dyDescent="0.25">
      <c r="B9" t="s">
        <v>54</v>
      </c>
      <c r="C9" t="s">
        <v>37</v>
      </c>
      <c r="D9" t="s">
        <v>38</v>
      </c>
      <c r="E9" t="s">
        <v>55</v>
      </c>
      <c r="F9" t="s">
        <v>426</v>
      </c>
      <c r="G9" s="7">
        <v>0</v>
      </c>
      <c r="H9" s="7">
        <v>0</v>
      </c>
      <c r="I9" s="7">
        <f t="shared" si="0"/>
        <v>0</v>
      </c>
      <c r="J9" t="s">
        <v>1158</v>
      </c>
    </row>
    <row r="10" spans="1:12" x14ac:dyDescent="0.25">
      <c r="B10" t="s">
        <v>54</v>
      </c>
      <c r="C10" t="s">
        <v>338</v>
      </c>
      <c r="D10" t="s">
        <v>38</v>
      </c>
      <c r="E10" t="s">
        <v>1295</v>
      </c>
      <c r="F10" t="s">
        <v>424</v>
      </c>
      <c r="G10" s="7">
        <v>0</v>
      </c>
      <c r="H10" s="7">
        <v>0</v>
      </c>
      <c r="I10" s="7">
        <f t="shared" si="0"/>
        <v>0</v>
      </c>
      <c r="J10" t="s">
        <v>1158</v>
      </c>
    </row>
    <row r="11" spans="1:12" x14ac:dyDescent="0.25">
      <c r="B11" t="s">
        <v>54</v>
      </c>
      <c r="C11" t="s">
        <v>37</v>
      </c>
      <c r="D11" t="s">
        <v>38</v>
      </c>
      <c r="E11" t="s">
        <v>1295</v>
      </c>
      <c r="F11" t="s">
        <v>426</v>
      </c>
      <c r="G11" s="7">
        <v>0</v>
      </c>
      <c r="H11" s="7">
        <v>0</v>
      </c>
      <c r="I11" s="7">
        <f t="shared" si="0"/>
        <v>0</v>
      </c>
      <c r="J11" t="s">
        <v>1158</v>
      </c>
    </row>
    <row r="12" spans="1:12" x14ac:dyDescent="0.25">
      <c r="B12" t="s">
        <v>341</v>
      </c>
      <c r="C12" t="s">
        <v>338</v>
      </c>
      <c r="D12" t="s">
        <v>38</v>
      </c>
      <c r="E12" t="s">
        <v>343</v>
      </c>
      <c r="F12" t="s">
        <v>426</v>
      </c>
      <c r="G12" s="7">
        <v>3.6</v>
      </c>
      <c r="H12" s="7">
        <v>3.4</v>
      </c>
      <c r="I12" s="7">
        <f t="shared" si="0"/>
        <v>0.20000000000000018</v>
      </c>
      <c r="J12" t="s">
        <v>1158</v>
      </c>
    </row>
    <row r="13" spans="1:12" x14ac:dyDescent="0.25">
      <c r="A13" s="1"/>
      <c r="B13" t="s">
        <v>341</v>
      </c>
      <c r="C13" t="s">
        <v>37</v>
      </c>
      <c r="D13" t="s">
        <v>38</v>
      </c>
      <c r="E13" t="s">
        <v>343</v>
      </c>
      <c r="F13" t="s">
        <v>426</v>
      </c>
      <c r="G13" s="7">
        <v>3</v>
      </c>
      <c r="H13" s="7">
        <v>2.84</v>
      </c>
      <c r="I13" s="7">
        <f t="shared" si="0"/>
        <v>0.16000000000000014</v>
      </c>
      <c r="J13" t="s">
        <v>1158</v>
      </c>
      <c r="K13" s="1"/>
      <c r="L13" s="1"/>
    </row>
    <row r="14" spans="1:12" x14ac:dyDescent="0.25">
      <c r="A14" s="1"/>
      <c r="C14" t="s">
        <v>338</v>
      </c>
      <c r="D14" t="s">
        <v>38</v>
      </c>
      <c r="E14" t="s">
        <v>1245</v>
      </c>
      <c r="F14" t="s">
        <v>424</v>
      </c>
      <c r="G14" s="7">
        <v>0.3</v>
      </c>
      <c r="H14" s="7">
        <v>0.28000000000000003</v>
      </c>
      <c r="I14" s="7">
        <f t="shared" si="0"/>
        <v>1.9999999999999962E-2</v>
      </c>
      <c r="J14" t="s">
        <v>1158</v>
      </c>
      <c r="K14" s="1"/>
      <c r="L14" s="1"/>
    </row>
    <row r="15" spans="1:12" x14ac:dyDescent="0.25">
      <c r="A15" s="1"/>
      <c r="C15" t="s">
        <v>37</v>
      </c>
      <c r="D15" t="s">
        <v>38</v>
      </c>
      <c r="E15" t="s">
        <v>1245</v>
      </c>
      <c r="F15" t="s">
        <v>426</v>
      </c>
      <c r="G15" s="7">
        <v>0.25</v>
      </c>
      <c r="H15" s="7">
        <v>0.24</v>
      </c>
      <c r="I15" s="7">
        <f t="shared" si="0"/>
        <v>1.0000000000000009E-2</v>
      </c>
      <c r="J15" t="s">
        <v>1158</v>
      </c>
      <c r="K15" s="1"/>
      <c r="L15" s="1"/>
    </row>
    <row r="16" spans="1:12" x14ac:dyDescent="0.25">
      <c r="B16" t="s">
        <v>93</v>
      </c>
      <c r="C16" t="s">
        <v>338</v>
      </c>
      <c r="D16" t="s">
        <v>38</v>
      </c>
      <c r="E16" t="s">
        <v>1243</v>
      </c>
      <c r="F16" t="s">
        <v>426</v>
      </c>
      <c r="G16" s="7">
        <v>0.6</v>
      </c>
      <c r="H16" s="7">
        <v>0.56000000000000005</v>
      </c>
      <c r="I16" s="7">
        <f t="shared" si="0"/>
        <v>3.9999999999999925E-2</v>
      </c>
      <c r="J16" t="s">
        <v>1158</v>
      </c>
    </row>
    <row r="17" spans="2:10" x14ac:dyDescent="0.25">
      <c r="B17" t="s">
        <v>1159</v>
      </c>
      <c r="C17" t="s">
        <v>338</v>
      </c>
      <c r="D17" t="s">
        <v>38</v>
      </c>
      <c r="E17" t="s">
        <v>1244</v>
      </c>
      <c r="F17" t="s">
        <v>426</v>
      </c>
      <c r="G17" s="7">
        <v>1.5</v>
      </c>
      <c r="H17" s="7">
        <v>1.41</v>
      </c>
      <c r="I17" s="7">
        <f t="shared" si="0"/>
        <v>9.000000000000008E-2</v>
      </c>
      <c r="J17" t="s">
        <v>1158</v>
      </c>
    </row>
    <row r="18" spans="2:10" x14ac:dyDescent="0.25">
      <c r="B18" t="s">
        <v>1159</v>
      </c>
      <c r="C18" t="s">
        <v>37</v>
      </c>
      <c r="D18" t="s">
        <v>38</v>
      </c>
      <c r="E18" t="s">
        <v>1244</v>
      </c>
      <c r="F18" t="s">
        <v>426</v>
      </c>
      <c r="G18" s="7">
        <v>1.25</v>
      </c>
      <c r="H18" s="7">
        <v>1.19</v>
      </c>
      <c r="I18" s="7">
        <f t="shared" si="0"/>
        <v>6.0000000000000053E-2</v>
      </c>
      <c r="J18" t="s">
        <v>1158</v>
      </c>
    </row>
    <row r="19" spans="2:10" x14ac:dyDescent="0.25">
      <c r="B19" t="s">
        <v>716</v>
      </c>
      <c r="C19" t="s">
        <v>338</v>
      </c>
      <c r="D19" t="s">
        <v>38</v>
      </c>
      <c r="E19" t="s">
        <v>1284</v>
      </c>
      <c r="F19" t="s">
        <v>424</v>
      </c>
      <c r="G19" s="7">
        <v>1.44</v>
      </c>
      <c r="H19" s="7">
        <v>1.37</v>
      </c>
      <c r="I19" s="7">
        <f t="shared" si="0"/>
        <v>6.999999999999984E-2</v>
      </c>
      <c r="J19" t="s">
        <v>1158</v>
      </c>
    </row>
    <row r="20" spans="2:10" x14ac:dyDescent="0.25">
      <c r="B20" t="s">
        <v>716</v>
      </c>
      <c r="C20" t="s">
        <v>37</v>
      </c>
      <c r="D20" t="s">
        <v>38</v>
      </c>
      <c r="E20" t="s">
        <v>1284</v>
      </c>
      <c r="F20" t="s">
        <v>426</v>
      </c>
      <c r="G20" s="7">
        <v>1.2</v>
      </c>
      <c r="H20" s="7">
        <v>1.1299999999999999</v>
      </c>
      <c r="I20" s="7">
        <f t="shared" si="0"/>
        <v>7.0000000000000062E-2</v>
      </c>
      <c r="J20" t="s">
        <v>1158</v>
      </c>
    </row>
    <row r="21" spans="2:10" x14ac:dyDescent="0.25">
      <c r="B21" t="s">
        <v>717</v>
      </c>
      <c r="C21" t="s">
        <v>338</v>
      </c>
      <c r="D21" t="s">
        <v>38</v>
      </c>
      <c r="E21" t="s">
        <v>1283</v>
      </c>
      <c r="F21" t="s">
        <v>424</v>
      </c>
      <c r="G21" s="7">
        <v>1.44</v>
      </c>
      <c r="H21" s="7">
        <v>1.37</v>
      </c>
      <c r="I21" s="7">
        <f t="shared" si="0"/>
        <v>6.999999999999984E-2</v>
      </c>
      <c r="J21" t="s">
        <v>1158</v>
      </c>
    </row>
    <row r="22" spans="2:10" x14ac:dyDescent="0.25">
      <c r="B22" t="s">
        <v>717</v>
      </c>
      <c r="C22" t="s">
        <v>37</v>
      </c>
      <c r="D22" t="s">
        <v>38</v>
      </c>
      <c r="E22" t="s">
        <v>1283</v>
      </c>
      <c r="F22" t="s">
        <v>426</v>
      </c>
      <c r="G22" s="7">
        <v>1.2</v>
      </c>
      <c r="H22" s="7">
        <v>1.1299999999999999</v>
      </c>
      <c r="I22" s="7">
        <f t="shared" si="0"/>
        <v>7.0000000000000062E-2</v>
      </c>
      <c r="J22" t="s">
        <v>1158</v>
      </c>
    </row>
    <row r="23" spans="2:10" x14ac:dyDescent="0.25">
      <c r="B23" t="s">
        <v>800</v>
      </c>
      <c r="C23" t="s">
        <v>338</v>
      </c>
      <c r="D23" t="s">
        <v>38</v>
      </c>
      <c r="E23" t="s">
        <v>1282</v>
      </c>
      <c r="F23" t="s">
        <v>424</v>
      </c>
      <c r="G23" s="7">
        <v>1.06</v>
      </c>
      <c r="H23" s="7">
        <v>1</v>
      </c>
      <c r="I23" s="7">
        <f t="shared" si="0"/>
        <v>6.0000000000000053E-2</v>
      </c>
      <c r="J23" t="s">
        <v>1158</v>
      </c>
    </row>
    <row r="24" spans="2:10" x14ac:dyDescent="0.25">
      <c r="B24" t="s">
        <v>800</v>
      </c>
      <c r="C24" t="s">
        <v>37</v>
      </c>
      <c r="D24" t="s">
        <v>38</v>
      </c>
      <c r="E24" t="s">
        <v>1282</v>
      </c>
      <c r="F24" t="s">
        <v>426</v>
      </c>
      <c r="G24" s="7">
        <v>0.88</v>
      </c>
      <c r="H24" s="7">
        <v>0.83</v>
      </c>
      <c r="I24" s="7">
        <f t="shared" si="0"/>
        <v>5.0000000000000044E-2</v>
      </c>
      <c r="J24" t="s">
        <v>1158</v>
      </c>
    </row>
    <row r="25" spans="2:10" x14ac:dyDescent="0.25">
      <c r="B25" t="s">
        <v>77</v>
      </c>
      <c r="C25" t="s">
        <v>338</v>
      </c>
      <c r="D25" t="s">
        <v>38</v>
      </c>
      <c r="E25" t="s">
        <v>1160</v>
      </c>
      <c r="F25" t="s">
        <v>424</v>
      </c>
      <c r="G25" s="7">
        <v>2.52</v>
      </c>
      <c r="H25" s="7">
        <v>2.38</v>
      </c>
      <c r="I25" s="7">
        <f t="shared" si="0"/>
        <v>0.14000000000000012</v>
      </c>
      <c r="J25" t="s">
        <v>1158</v>
      </c>
    </row>
    <row r="26" spans="2:10" x14ac:dyDescent="0.25">
      <c r="B26" t="s">
        <v>77</v>
      </c>
      <c r="C26" t="s">
        <v>37</v>
      </c>
      <c r="D26" t="s">
        <v>38</v>
      </c>
      <c r="E26" t="s">
        <v>1160</v>
      </c>
      <c r="F26" t="s">
        <v>426</v>
      </c>
      <c r="G26" s="7">
        <v>2.1</v>
      </c>
      <c r="H26" s="7">
        <v>1.98</v>
      </c>
      <c r="I26" s="7">
        <f t="shared" si="0"/>
        <v>0.12000000000000011</v>
      </c>
      <c r="J26" t="s">
        <v>1158</v>
      </c>
    </row>
    <row r="27" spans="2:10" x14ac:dyDescent="0.25">
      <c r="B27" t="s">
        <v>77</v>
      </c>
      <c r="C27" t="s">
        <v>338</v>
      </c>
      <c r="D27" t="s">
        <v>38</v>
      </c>
      <c r="E27" t="s">
        <v>1281</v>
      </c>
      <c r="F27" t="s">
        <v>424</v>
      </c>
      <c r="G27" s="7">
        <v>0.9</v>
      </c>
      <c r="H27" s="7">
        <v>0.85</v>
      </c>
      <c r="I27" s="7">
        <f t="shared" si="0"/>
        <v>5.0000000000000044E-2</v>
      </c>
      <c r="J27" t="s">
        <v>1158</v>
      </c>
    </row>
    <row r="28" spans="2:10" x14ac:dyDescent="0.25">
      <c r="B28" t="s">
        <v>77</v>
      </c>
      <c r="C28" t="s">
        <v>37</v>
      </c>
      <c r="D28" t="s">
        <v>38</v>
      </c>
      <c r="E28" t="s">
        <v>1281</v>
      </c>
      <c r="F28" t="s">
        <v>426</v>
      </c>
      <c r="G28" s="7">
        <v>0.75</v>
      </c>
      <c r="H28" s="7">
        <v>0.71</v>
      </c>
      <c r="I28" s="7">
        <f t="shared" si="0"/>
        <v>4.0000000000000036E-2</v>
      </c>
      <c r="J28" t="s">
        <v>1158</v>
      </c>
    </row>
    <row r="29" spans="2:10" x14ac:dyDescent="0.25">
      <c r="B29" t="s">
        <v>77</v>
      </c>
      <c r="C29" t="s">
        <v>338</v>
      </c>
      <c r="D29" t="s">
        <v>38</v>
      </c>
      <c r="E29" t="s">
        <v>1161</v>
      </c>
      <c r="F29" t="s">
        <v>424</v>
      </c>
      <c r="G29" s="7">
        <v>2.52</v>
      </c>
      <c r="H29" s="7">
        <v>2.38</v>
      </c>
      <c r="I29" s="7">
        <f t="shared" si="0"/>
        <v>0.14000000000000012</v>
      </c>
      <c r="J29" t="s">
        <v>1158</v>
      </c>
    </row>
    <row r="30" spans="2:10" x14ac:dyDescent="0.25">
      <c r="B30" t="s">
        <v>77</v>
      </c>
      <c r="C30" t="s">
        <v>37</v>
      </c>
      <c r="D30" t="s">
        <v>38</v>
      </c>
      <c r="E30" t="s">
        <v>1161</v>
      </c>
      <c r="F30" t="s">
        <v>426</v>
      </c>
      <c r="G30" s="7">
        <v>2.1</v>
      </c>
      <c r="H30" s="7">
        <v>1.98</v>
      </c>
      <c r="I30" s="7">
        <f t="shared" si="0"/>
        <v>0.12000000000000011</v>
      </c>
      <c r="J30" t="s">
        <v>1158</v>
      </c>
    </row>
    <row r="31" spans="2:10" x14ac:dyDescent="0.25">
      <c r="B31" t="s">
        <v>91</v>
      </c>
      <c r="C31" t="s">
        <v>338</v>
      </c>
      <c r="D31" t="s">
        <v>38</v>
      </c>
      <c r="E31" t="s">
        <v>92</v>
      </c>
      <c r="F31" t="s">
        <v>424</v>
      </c>
      <c r="G31" s="7">
        <v>2.64</v>
      </c>
      <c r="H31" s="7">
        <v>2.5</v>
      </c>
      <c r="I31" s="7">
        <f t="shared" si="0"/>
        <v>0.14000000000000012</v>
      </c>
      <c r="J31" t="s">
        <v>1158</v>
      </c>
    </row>
    <row r="32" spans="2:10" x14ac:dyDescent="0.25">
      <c r="B32" t="s">
        <v>91</v>
      </c>
      <c r="C32" t="s">
        <v>37</v>
      </c>
      <c r="D32" t="s">
        <v>38</v>
      </c>
      <c r="E32" t="s">
        <v>92</v>
      </c>
      <c r="F32" t="s">
        <v>426</v>
      </c>
      <c r="G32" s="7">
        <v>2.2000000000000002</v>
      </c>
      <c r="H32" s="7">
        <v>2.08</v>
      </c>
      <c r="I32" s="7">
        <f t="shared" si="0"/>
        <v>0.12000000000000011</v>
      </c>
      <c r="J32" t="s">
        <v>1158</v>
      </c>
    </row>
    <row r="33" spans="2:10" x14ac:dyDescent="0.25">
      <c r="B33" t="s">
        <v>85</v>
      </c>
      <c r="C33" t="s">
        <v>338</v>
      </c>
      <c r="D33" t="s">
        <v>38</v>
      </c>
      <c r="E33" t="s">
        <v>1162</v>
      </c>
      <c r="F33" t="s">
        <v>424</v>
      </c>
      <c r="G33" s="7">
        <v>0.8</v>
      </c>
      <c r="H33" s="7">
        <v>0.76</v>
      </c>
      <c r="I33" s="7">
        <f t="shared" si="0"/>
        <v>4.0000000000000036E-2</v>
      </c>
      <c r="J33" t="s">
        <v>1158</v>
      </c>
    </row>
    <row r="34" spans="2:10" x14ac:dyDescent="0.25">
      <c r="B34" t="s">
        <v>85</v>
      </c>
      <c r="C34" t="s">
        <v>37</v>
      </c>
      <c r="D34" t="s">
        <v>38</v>
      </c>
      <c r="E34" t="s">
        <v>1162</v>
      </c>
      <c r="F34" t="s">
        <v>426</v>
      </c>
      <c r="G34" s="7">
        <v>0.8</v>
      </c>
      <c r="H34" s="7">
        <v>0.76</v>
      </c>
      <c r="I34" s="7">
        <f t="shared" si="0"/>
        <v>4.0000000000000036E-2</v>
      </c>
      <c r="J34" t="s">
        <v>1158</v>
      </c>
    </row>
    <row r="35" spans="2:10" x14ac:dyDescent="0.25">
      <c r="B35" t="s">
        <v>87</v>
      </c>
      <c r="C35" t="s">
        <v>338</v>
      </c>
      <c r="D35" t="s">
        <v>38</v>
      </c>
      <c r="E35" t="s">
        <v>1163</v>
      </c>
      <c r="F35" t="s">
        <v>424</v>
      </c>
      <c r="G35" s="7">
        <v>2.4</v>
      </c>
      <c r="H35" s="7">
        <v>2.27</v>
      </c>
      <c r="I35" s="7">
        <f t="shared" si="0"/>
        <v>0.12999999999999989</v>
      </c>
      <c r="J35" t="s">
        <v>1158</v>
      </c>
    </row>
    <row r="36" spans="2:10" x14ac:dyDescent="0.25">
      <c r="B36" t="s">
        <v>87</v>
      </c>
      <c r="C36" t="s">
        <v>37</v>
      </c>
      <c r="D36" t="s">
        <v>38</v>
      </c>
      <c r="E36" t="s">
        <v>1163</v>
      </c>
      <c r="F36" t="s">
        <v>426</v>
      </c>
      <c r="G36" s="7">
        <v>2</v>
      </c>
      <c r="H36" s="7">
        <v>1.89</v>
      </c>
      <c r="I36" s="7">
        <f t="shared" si="0"/>
        <v>0.1100000000000001</v>
      </c>
      <c r="J36" t="s">
        <v>1158</v>
      </c>
    </row>
    <row r="37" spans="2:10" x14ac:dyDescent="0.25">
      <c r="B37" t="s">
        <v>810</v>
      </c>
      <c r="C37" t="s">
        <v>338</v>
      </c>
      <c r="D37" t="s">
        <v>38</v>
      </c>
      <c r="E37" t="s">
        <v>1280</v>
      </c>
      <c r="F37" t="s">
        <v>424</v>
      </c>
      <c r="G37" s="7">
        <v>4.32</v>
      </c>
      <c r="H37" s="7">
        <v>4.08</v>
      </c>
      <c r="I37" s="7">
        <f t="shared" si="0"/>
        <v>0.24000000000000021</v>
      </c>
      <c r="J37" t="s">
        <v>1158</v>
      </c>
    </row>
    <row r="38" spans="2:10" x14ac:dyDescent="0.25">
      <c r="B38" t="s">
        <v>810</v>
      </c>
      <c r="C38" t="s">
        <v>37</v>
      </c>
      <c r="D38" t="s">
        <v>38</v>
      </c>
      <c r="E38" t="s">
        <v>1280</v>
      </c>
      <c r="F38" t="s">
        <v>426</v>
      </c>
      <c r="G38" s="7">
        <v>3.6</v>
      </c>
      <c r="H38" s="7">
        <v>3.4</v>
      </c>
      <c r="I38" s="7">
        <f t="shared" si="0"/>
        <v>0.20000000000000018</v>
      </c>
      <c r="J38" t="s">
        <v>1158</v>
      </c>
    </row>
    <row r="39" spans="2:10" x14ac:dyDescent="0.25">
      <c r="B39" t="s">
        <v>56</v>
      </c>
      <c r="C39" t="s">
        <v>338</v>
      </c>
      <c r="D39" t="s">
        <v>38</v>
      </c>
      <c r="E39" t="s">
        <v>1164</v>
      </c>
      <c r="F39" t="s">
        <v>424</v>
      </c>
      <c r="G39" s="7">
        <v>3</v>
      </c>
      <c r="H39" s="7">
        <v>2.7</v>
      </c>
      <c r="I39" s="7">
        <f t="shared" si="0"/>
        <v>0.29999999999999982</v>
      </c>
      <c r="J39" t="s">
        <v>1158</v>
      </c>
    </row>
    <row r="40" spans="2:10" x14ac:dyDescent="0.25">
      <c r="B40" t="s">
        <v>56</v>
      </c>
      <c r="C40" t="s">
        <v>37</v>
      </c>
      <c r="D40" t="s">
        <v>38</v>
      </c>
      <c r="E40" t="s">
        <v>1164</v>
      </c>
      <c r="F40" t="s">
        <v>426</v>
      </c>
      <c r="G40" s="7">
        <v>2.5</v>
      </c>
      <c r="H40" s="7">
        <v>2.36</v>
      </c>
      <c r="I40" s="7">
        <f t="shared" si="0"/>
        <v>0.14000000000000012</v>
      </c>
      <c r="J40" t="s">
        <v>1158</v>
      </c>
    </row>
    <row r="41" spans="2:10" x14ac:dyDescent="0.25">
      <c r="B41" t="s">
        <v>58</v>
      </c>
      <c r="C41" t="s">
        <v>37</v>
      </c>
      <c r="D41" t="s">
        <v>38</v>
      </c>
      <c r="E41" t="s">
        <v>1165</v>
      </c>
      <c r="F41" t="s">
        <v>426</v>
      </c>
      <c r="G41" s="7">
        <v>5.8</v>
      </c>
      <c r="H41" s="7">
        <v>5.48</v>
      </c>
      <c r="I41" s="7">
        <f t="shared" si="0"/>
        <v>0.3199999999999994</v>
      </c>
      <c r="J41" t="s">
        <v>1158</v>
      </c>
    </row>
    <row r="42" spans="2:10" x14ac:dyDescent="0.25">
      <c r="B42" t="s">
        <v>60</v>
      </c>
      <c r="C42" t="s">
        <v>338</v>
      </c>
      <c r="D42" t="s">
        <v>38</v>
      </c>
      <c r="E42" t="s">
        <v>1270</v>
      </c>
      <c r="F42" t="s">
        <v>424</v>
      </c>
      <c r="G42" s="7">
        <v>18.239999999999998</v>
      </c>
      <c r="H42" s="7">
        <v>17.239999999999998</v>
      </c>
      <c r="I42" s="7">
        <f t="shared" si="0"/>
        <v>1</v>
      </c>
      <c r="J42" t="s">
        <v>1158</v>
      </c>
    </row>
    <row r="43" spans="2:10" x14ac:dyDescent="0.25">
      <c r="B43" t="s">
        <v>60</v>
      </c>
      <c r="C43" t="s">
        <v>37</v>
      </c>
      <c r="D43" t="s">
        <v>38</v>
      </c>
      <c r="E43" t="s">
        <v>1270</v>
      </c>
      <c r="F43" t="s">
        <v>426</v>
      </c>
      <c r="G43" s="7">
        <v>15.2</v>
      </c>
      <c r="H43" s="7">
        <v>14.36</v>
      </c>
      <c r="I43" s="7">
        <f t="shared" si="0"/>
        <v>0.83999999999999986</v>
      </c>
      <c r="J43" t="s">
        <v>1158</v>
      </c>
    </row>
    <row r="44" spans="2:10" x14ac:dyDescent="0.25">
      <c r="B44" t="s">
        <v>63</v>
      </c>
      <c r="C44" t="s">
        <v>338</v>
      </c>
      <c r="D44" t="s">
        <v>38</v>
      </c>
      <c r="E44" t="s">
        <v>1166</v>
      </c>
      <c r="F44" t="s">
        <v>424</v>
      </c>
      <c r="G44" s="7">
        <v>0.24</v>
      </c>
      <c r="H44" s="7">
        <v>0.23</v>
      </c>
      <c r="I44" s="7">
        <f t="shared" si="0"/>
        <v>9.9999999999999811E-3</v>
      </c>
      <c r="J44" t="s">
        <v>1158</v>
      </c>
    </row>
    <row r="45" spans="2:10" x14ac:dyDescent="0.25">
      <c r="B45" t="s">
        <v>63</v>
      </c>
      <c r="C45" t="s">
        <v>37</v>
      </c>
      <c r="D45" t="s">
        <v>38</v>
      </c>
      <c r="E45" t="s">
        <v>1166</v>
      </c>
      <c r="F45" t="s">
        <v>426</v>
      </c>
      <c r="G45" s="7">
        <v>0.2</v>
      </c>
      <c r="H45" s="7">
        <v>0.19</v>
      </c>
      <c r="I45" s="7">
        <f t="shared" si="0"/>
        <v>1.0000000000000009E-2</v>
      </c>
      <c r="J45" t="s">
        <v>1158</v>
      </c>
    </row>
    <row r="46" spans="2:10" x14ac:dyDescent="0.25">
      <c r="I46" s="7"/>
    </row>
    <row r="47" spans="2:10" x14ac:dyDescent="0.25">
      <c r="E47" s="8" t="s">
        <v>361</v>
      </c>
      <c r="I47" s="7"/>
    </row>
    <row r="48" spans="2:10" x14ac:dyDescent="0.25">
      <c r="B48" t="s">
        <v>1167</v>
      </c>
      <c r="C48" t="s">
        <v>338</v>
      </c>
      <c r="D48" t="s">
        <v>38</v>
      </c>
      <c r="E48" t="s">
        <v>1168</v>
      </c>
      <c r="F48" t="s">
        <v>424</v>
      </c>
      <c r="G48" s="7">
        <v>3.24</v>
      </c>
      <c r="H48" s="7">
        <v>3.07</v>
      </c>
      <c r="I48" s="7">
        <f>G48-H48</f>
        <v>0.17000000000000037</v>
      </c>
      <c r="J48" t="s">
        <v>1158</v>
      </c>
    </row>
    <row r="49" spans="2:10" x14ac:dyDescent="0.25">
      <c r="B49" t="s">
        <v>1167</v>
      </c>
      <c r="C49" t="s">
        <v>37</v>
      </c>
      <c r="D49" t="s">
        <v>38</v>
      </c>
      <c r="E49" t="s">
        <v>1168</v>
      </c>
      <c r="F49" t="s">
        <v>426</v>
      </c>
      <c r="G49" s="7">
        <v>2.7</v>
      </c>
      <c r="H49" s="7">
        <v>2.5499999999999998</v>
      </c>
      <c r="I49" s="7">
        <f t="shared" si="0"/>
        <v>0.15000000000000036</v>
      </c>
      <c r="J49" t="s">
        <v>1158</v>
      </c>
    </row>
    <row r="50" spans="2:10" x14ac:dyDescent="0.25">
      <c r="B50" t="s">
        <v>157</v>
      </c>
      <c r="C50" t="s">
        <v>338</v>
      </c>
      <c r="D50" t="s">
        <v>38</v>
      </c>
      <c r="E50" t="s">
        <v>1169</v>
      </c>
      <c r="F50" t="s">
        <v>424</v>
      </c>
      <c r="G50" s="7">
        <v>7.92</v>
      </c>
      <c r="H50" s="7">
        <v>7.49</v>
      </c>
      <c r="I50" s="7">
        <f t="shared" si="0"/>
        <v>0.42999999999999972</v>
      </c>
      <c r="J50" t="s">
        <v>1158</v>
      </c>
    </row>
    <row r="51" spans="2:10" x14ac:dyDescent="0.25">
      <c r="B51" t="s">
        <v>157</v>
      </c>
      <c r="C51" t="s">
        <v>37</v>
      </c>
      <c r="D51" t="s">
        <v>38</v>
      </c>
      <c r="E51" t="s">
        <v>1169</v>
      </c>
      <c r="F51" t="s">
        <v>426</v>
      </c>
      <c r="G51" s="7">
        <v>6.6</v>
      </c>
      <c r="H51" s="7">
        <v>6.24</v>
      </c>
      <c r="I51" s="7">
        <f t="shared" si="0"/>
        <v>0.35999999999999943</v>
      </c>
      <c r="J51" t="s">
        <v>1158</v>
      </c>
    </row>
    <row r="52" spans="2:10" x14ac:dyDescent="0.25">
      <c r="B52" t="s">
        <v>363</v>
      </c>
      <c r="C52" t="s">
        <v>338</v>
      </c>
      <c r="D52" t="s">
        <v>38</v>
      </c>
      <c r="E52" t="s">
        <v>1294</v>
      </c>
      <c r="F52" t="s">
        <v>424</v>
      </c>
      <c r="G52" s="7">
        <v>6.6</v>
      </c>
      <c r="H52" s="7">
        <v>6.24</v>
      </c>
      <c r="I52" s="7">
        <f t="shared" si="0"/>
        <v>0.35999999999999943</v>
      </c>
      <c r="J52" t="s">
        <v>1158</v>
      </c>
    </row>
    <row r="53" spans="2:10" x14ac:dyDescent="0.25">
      <c r="B53" t="s">
        <v>363</v>
      </c>
      <c r="C53" t="s">
        <v>37</v>
      </c>
      <c r="D53" t="s">
        <v>38</v>
      </c>
      <c r="E53" t="s">
        <v>1294</v>
      </c>
      <c r="F53" t="s">
        <v>426</v>
      </c>
      <c r="G53" s="7">
        <v>5.5</v>
      </c>
      <c r="H53" s="7">
        <v>5.2</v>
      </c>
      <c r="I53" s="7">
        <f t="shared" si="0"/>
        <v>0.29999999999999982</v>
      </c>
      <c r="J53" t="s">
        <v>1158</v>
      </c>
    </row>
    <row r="54" spans="2:10" x14ac:dyDescent="0.25">
      <c r="B54" t="s">
        <v>363</v>
      </c>
      <c r="C54" t="s">
        <v>37</v>
      </c>
      <c r="D54" t="s">
        <v>38</v>
      </c>
      <c r="E54" t="s">
        <v>1170</v>
      </c>
      <c r="F54" t="s">
        <v>426</v>
      </c>
      <c r="G54" s="7">
        <v>5.5</v>
      </c>
      <c r="H54" s="7">
        <v>5.2</v>
      </c>
      <c r="I54" s="7">
        <f t="shared" si="0"/>
        <v>0.29999999999999982</v>
      </c>
      <c r="J54" t="s">
        <v>1158</v>
      </c>
    </row>
    <row r="55" spans="2:10" x14ac:dyDescent="0.25">
      <c r="B55" t="s">
        <v>71</v>
      </c>
      <c r="C55" t="s">
        <v>338</v>
      </c>
      <c r="D55" t="s">
        <v>38</v>
      </c>
      <c r="E55" t="s">
        <v>1171</v>
      </c>
      <c r="F55" t="s">
        <v>424</v>
      </c>
      <c r="G55" s="7">
        <v>10.8</v>
      </c>
      <c r="H55" s="7">
        <v>10.210000000000001</v>
      </c>
      <c r="I55" s="7">
        <f t="shared" si="0"/>
        <v>0.58999999999999986</v>
      </c>
      <c r="J55" t="s">
        <v>1158</v>
      </c>
    </row>
    <row r="56" spans="2:10" x14ac:dyDescent="0.25">
      <c r="B56" t="s">
        <v>71</v>
      </c>
      <c r="C56" t="s">
        <v>37</v>
      </c>
      <c r="D56" t="s">
        <v>38</v>
      </c>
      <c r="E56" t="s">
        <v>1171</v>
      </c>
      <c r="F56" t="s">
        <v>426</v>
      </c>
      <c r="G56" s="7">
        <v>9</v>
      </c>
      <c r="H56" s="7">
        <v>8.51</v>
      </c>
      <c r="I56" s="7">
        <f t="shared" si="0"/>
        <v>0.49000000000000021</v>
      </c>
      <c r="J56" t="s">
        <v>1158</v>
      </c>
    </row>
    <row r="57" spans="2:10" x14ac:dyDescent="0.25">
      <c r="B57" t="s">
        <v>145</v>
      </c>
      <c r="C57" t="s">
        <v>338</v>
      </c>
      <c r="D57" t="s">
        <v>38</v>
      </c>
      <c r="E57" t="s">
        <v>1172</v>
      </c>
      <c r="F57" t="s">
        <v>424</v>
      </c>
      <c r="G57" s="7">
        <v>27.36</v>
      </c>
      <c r="H57" s="7">
        <v>25.85</v>
      </c>
      <c r="I57" s="7">
        <f t="shared" si="0"/>
        <v>1.509999999999998</v>
      </c>
      <c r="J57" t="s">
        <v>1158</v>
      </c>
    </row>
    <row r="58" spans="2:10" x14ac:dyDescent="0.25">
      <c r="B58" t="s">
        <v>145</v>
      </c>
      <c r="C58" t="s">
        <v>37</v>
      </c>
      <c r="D58" t="s">
        <v>38</v>
      </c>
      <c r="E58" t="s">
        <v>1172</v>
      </c>
      <c r="F58" t="s">
        <v>426</v>
      </c>
      <c r="G58" s="7">
        <v>22.8</v>
      </c>
      <c r="H58" s="7">
        <v>21.55</v>
      </c>
      <c r="I58" s="7">
        <f t="shared" si="0"/>
        <v>1.25</v>
      </c>
      <c r="J58" t="s">
        <v>1158</v>
      </c>
    </row>
    <row r="59" spans="2:10" x14ac:dyDescent="0.25">
      <c r="B59" t="s">
        <v>148</v>
      </c>
      <c r="C59" t="s">
        <v>338</v>
      </c>
      <c r="D59" t="s">
        <v>38</v>
      </c>
      <c r="E59" t="s">
        <v>1173</v>
      </c>
      <c r="F59" t="s">
        <v>424</v>
      </c>
      <c r="G59" s="7">
        <v>1.08</v>
      </c>
      <c r="H59" s="7">
        <v>1.02</v>
      </c>
      <c r="I59" s="7">
        <f t="shared" si="0"/>
        <v>6.0000000000000053E-2</v>
      </c>
      <c r="J59" t="s">
        <v>1158</v>
      </c>
    </row>
    <row r="60" spans="2:10" x14ac:dyDescent="0.25">
      <c r="B60" t="s">
        <v>148</v>
      </c>
      <c r="C60" t="s">
        <v>37</v>
      </c>
      <c r="D60" t="s">
        <v>38</v>
      </c>
      <c r="E60" t="s">
        <v>1173</v>
      </c>
      <c r="F60" t="s">
        <v>426</v>
      </c>
      <c r="G60" s="7">
        <v>0.9</v>
      </c>
      <c r="H60" s="7">
        <v>0.85</v>
      </c>
      <c r="I60" s="7">
        <f t="shared" si="0"/>
        <v>5.0000000000000044E-2</v>
      </c>
      <c r="J60" t="s">
        <v>1158</v>
      </c>
    </row>
    <row r="61" spans="2:10" x14ac:dyDescent="0.25">
      <c r="B61" t="s">
        <v>150</v>
      </c>
      <c r="C61" t="s">
        <v>338</v>
      </c>
      <c r="D61" t="s">
        <v>38</v>
      </c>
      <c r="E61" t="s">
        <v>1174</v>
      </c>
      <c r="F61" t="s">
        <v>424</v>
      </c>
      <c r="G61" s="7">
        <v>2.4</v>
      </c>
      <c r="H61" s="7">
        <v>2.27</v>
      </c>
      <c r="I61" s="7">
        <f t="shared" si="0"/>
        <v>0.12999999999999989</v>
      </c>
      <c r="J61" t="s">
        <v>1158</v>
      </c>
    </row>
    <row r="62" spans="2:10" x14ac:dyDescent="0.25">
      <c r="B62" t="s">
        <v>150</v>
      </c>
      <c r="C62" t="s">
        <v>37</v>
      </c>
      <c r="D62" t="s">
        <v>38</v>
      </c>
      <c r="E62" t="s">
        <v>1174</v>
      </c>
      <c r="F62" t="s">
        <v>426</v>
      </c>
      <c r="G62" s="7">
        <v>2</v>
      </c>
      <c r="H62" s="7">
        <v>1.89</v>
      </c>
      <c r="I62" s="7">
        <f t="shared" si="0"/>
        <v>0.1100000000000001</v>
      </c>
      <c r="J62" t="s">
        <v>1158</v>
      </c>
    </row>
    <row r="63" spans="2:10" x14ac:dyDescent="0.25">
      <c r="B63" t="s">
        <v>75</v>
      </c>
      <c r="C63" t="s">
        <v>338</v>
      </c>
      <c r="D63" t="s">
        <v>38</v>
      </c>
      <c r="E63" t="s">
        <v>1293</v>
      </c>
      <c r="F63" t="s">
        <v>424</v>
      </c>
      <c r="G63" s="7">
        <v>5.76</v>
      </c>
      <c r="H63" s="7">
        <v>5.44</v>
      </c>
      <c r="I63" s="7">
        <f t="shared" si="0"/>
        <v>0.3199999999999994</v>
      </c>
      <c r="J63" t="s">
        <v>1158</v>
      </c>
    </row>
    <row r="64" spans="2:10" x14ac:dyDescent="0.25">
      <c r="B64" t="s">
        <v>75</v>
      </c>
      <c r="C64" t="s">
        <v>37</v>
      </c>
      <c r="D64" t="s">
        <v>38</v>
      </c>
      <c r="E64" t="s">
        <v>1293</v>
      </c>
      <c r="F64" t="s">
        <v>426</v>
      </c>
      <c r="G64" s="7">
        <v>4.8</v>
      </c>
      <c r="H64" s="7">
        <v>4.54</v>
      </c>
      <c r="I64" s="7">
        <f t="shared" si="0"/>
        <v>0.25999999999999979</v>
      </c>
      <c r="J64" t="s">
        <v>1158</v>
      </c>
    </row>
    <row r="65" spans="2:10" x14ac:dyDescent="0.25">
      <c r="B65" t="s">
        <v>79</v>
      </c>
      <c r="C65" t="s">
        <v>338</v>
      </c>
      <c r="D65" t="s">
        <v>38</v>
      </c>
      <c r="E65" t="s">
        <v>1292</v>
      </c>
      <c r="F65" t="s">
        <v>424</v>
      </c>
      <c r="G65" s="7">
        <v>2.88</v>
      </c>
      <c r="H65" s="7">
        <v>2.72</v>
      </c>
      <c r="I65" s="7">
        <f t="shared" si="0"/>
        <v>0.1599999999999997</v>
      </c>
      <c r="J65" t="s">
        <v>1158</v>
      </c>
    </row>
    <row r="66" spans="2:10" x14ac:dyDescent="0.25">
      <c r="B66" t="s">
        <v>79</v>
      </c>
      <c r="C66" t="s">
        <v>37</v>
      </c>
      <c r="D66" t="s">
        <v>38</v>
      </c>
      <c r="E66" t="s">
        <v>1292</v>
      </c>
      <c r="F66" t="s">
        <v>426</v>
      </c>
      <c r="G66" s="7">
        <v>2.4</v>
      </c>
      <c r="H66" s="7">
        <v>2.27</v>
      </c>
      <c r="I66" s="7">
        <f t="shared" si="0"/>
        <v>0.12999999999999989</v>
      </c>
      <c r="J66" t="s">
        <v>1158</v>
      </c>
    </row>
    <row r="67" spans="2:10" x14ac:dyDescent="0.25">
      <c r="B67" t="s">
        <v>81</v>
      </c>
      <c r="C67" t="s">
        <v>338</v>
      </c>
      <c r="D67" t="s">
        <v>38</v>
      </c>
      <c r="E67" t="s">
        <v>1291</v>
      </c>
      <c r="F67" t="s">
        <v>424</v>
      </c>
      <c r="G67" s="7">
        <v>3.36</v>
      </c>
      <c r="H67" s="7">
        <v>3.17</v>
      </c>
      <c r="I67" s="7">
        <f t="shared" si="0"/>
        <v>0.18999999999999995</v>
      </c>
      <c r="J67" t="s">
        <v>1158</v>
      </c>
    </row>
    <row r="68" spans="2:10" x14ac:dyDescent="0.25">
      <c r="B68" t="s">
        <v>81</v>
      </c>
      <c r="C68" t="s">
        <v>37</v>
      </c>
      <c r="D68" t="s">
        <v>38</v>
      </c>
      <c r="E68" t="s">
        <v>1291</v>
      </c>
      <c r="F68" t="s">
        <v>426</v>
      </c>
      <c r="G68" s="7">
        <v>2.8</v>
      </c>
      <c r="H68" s="7">
        <v>2.65</v>
      </c>
      <c r="I68" s="7">
        <f t="shared" si="0"/>
        <v>0.14999999999999991</v>
      </c>
      <c r="J68" t="s">
        <v>1158</v>
      </c>
    </row>
    <row r="69" spans="2:10" x14ac:dyDescent="0.25">
      <c r="B69" t="s">
        <v>83</v>
      </c>
      <c r="C69" t="s">
        <v>338</v>
      </c>
      <c r="D69" t="s">
        <v>38</v>
      </c>
      <c r="E69" t="s">
        <v>1290</v>
      </c>
      <c r="F69" t="s">
        <v>424</v>
      </c>
      <c r="G69" s="7">
        <v>2.88</v>
      </c>
      <c r="H69" s="7">
        <v>2.72</v>
      </c>
      <c r="I69" s="7">
        <f t="shared" si="0"/>
        <v>0.1599999999999997</v>
      </c>
      <c r="J69" t="s">
        <v>1158</v>
      </c>
    </row>
    <row r="70" spans="2:10" x14ac:dyDescent="0.25">
      <c r="B70" t="s">
        <v>83</v>
      </c>
      <c r="C70" t="s">
        <v>37</v>
      </c>
      <c r="D70" t="s">
        <v>38</v>
      </c>
      <c r="E70" t="s">
        <v>1290</v>
      </c>
      <c r="F70" t="s">
        <v>426</v>
      </c>
      <c r="G70" s="7">
        <v>2.4</v>
      </c>
      <c r="H70" s="7">
        <v>2.27</v>
      </c>
      <c r="I70" s="7">
        <f t="shared" si="0"/>
        <v>0.12999999999999989</v>
      </c>
      <c r="J70" t="s">
        <v>1158</v>
      </c>
    </row>
    <row r="71" spans="2:10" x14ac:dyDescent="0.25">
      <c r="B71" t="s">
        <v>73</v>
      </c>
      <c r="C71" t="s">
        <v>338</v>
      </c>
      <c r="D71" t="s">
        <v>38</v>
      </c>
      <c r="E71" t="s">
        <v>1289</v>
      </c>
      <c r="F71" t="s">
        <v>424</v>
      </c>
      <c r="G71" s="7">
        <v>5.76</v>
      </c>
      <c r="H71" s="7">
        <v>5.44</v>
      </c>
      <c r="I71" s="7">
        <f t="shared" si="0"/>
        <v>0.3199999999999994</v>
      </c>
      <c r="J71" t="s">
        <v>1158</v>
      </c>
    </row>
    <row r="72" spans="2:10" x14ac:dyDescent="0.25">
      <c r="B72" t="s">
        <v>73</v>
      </c>
      <c r="C72" t="s">
        <v>37</v>
      </c>
      <c r="D72" t="s">
        <v>38</v>
      </c>
      <c r="E72" t="s">
        <v>1289</v>
      </c>
      <c r="F72" t="s">
        <v>426</v>
      </c>
      <c r="G72" s="7">
        <v>4.8</v>
      </c>
      <c r="H72" s="7">
        <v>4.54</v>
      </c>
      <c r="I72" s="7">
        <f t="shared" si="0"/>
        <v>0.25999999999999979</v>
      </c>
      <c r="J72" t="s">
        <v>1158</v>
      </c>
    </row>
    <row r="73" spans="2:10" x14ac:dyDescent="0.25">
      <c r="B73" t="s">
        <v>148</v>
      </c>
      <c r="C73" t="s">
        <v>338</v>
      </c>
      <c r="D73" t="s">
        <v>38</v>
      </c>
      <c r="E73" t="s">
        <v>1287</v>
      </c>
      <c r="F73" t="s">
        <v>424</v>
      </c>
      <c r="G73" s="7">
        <v>6.24</v>
      </c>
      <c r="H73" s="7">
        <v>5.9</v>
      </c>
      <c r="I73" s="7">
        <f t="shared" si="0"/>
        <v>0.33999999999999986</v>
      </c>
      <c r="J73" t="s">
        <v>1158</v>
      </c>
    </row>
    <row r="74" spans="2:10" x14ac:dyDescent="0.25">
      <c r="B74" t="s">
        <v>148</v>
      </c>
      <c r="C74" t="s">
        <v>37</v>
      </c>
      <c r="D74" t="s">
        <v>38</v>
      </c>
      <c r="E74" t="s">
        <v>1287</v>
      </c>
      <c r="F74" t="s">
        <v>426</v>
      </c>
      <c r="G74" s="7">
        <v>5.2</v>
      </c>
      <c r="H74" s="7">
        <v>4.91</v>
      </c>
      <c r="I74" s="7">
        <f t="shared" si="0"/>
        <v>0.29000000000000004</v>
      </c>
      <c r="J74" t="s">
        <v>1158</v>
      </c>
    </row>
    <row r="75" spans="2:10" x14ac:dyDescent="0.25">
      <c r="B75" t="s">
        <v>148</v>
      </c>
      <c r="C75" t="s">
        <v>338</v>
      </c>
      <c r="D75" t="s">
        <v>38</v>
      </c>
      <c r="E75" t="s">
        <v>1288</v>
      </c>
      <c r="F75" t="s">
        <v>424</v>
      </c>
      <c r="G75" s="7">
        <v>3.84</v>
      </c>
      <c r="H75" s="7">
        <v>3.63</v>
      </c>
      <c r="I75" s="7">
        <f t="shared" si="0"/>
        <v>0.20999999999999996</v>
      </c>
      <c r="J75" t="s">
        <v>1158</v>
      </c>
    </row>
    <row r="76" spans="2:10" x14ac:dyDescent="0.25">
      <c r="B76" t="s">
        <v>148</v>
      </c>
      <c r="C76" t="s">
        <v>37</v>
      </c>
      <c r="D76" t="s">
        <v>38</v>
      </c>
      <c r="E76" t="s">
        <v>1288</v>
      </c>
      <c r="F76" t="s">
        <v>426</v>
      </c>
      <c r="G76" s="7">
        <v>3.2</v>
      </c>
      <c r="H76" s="7">
        <v>3.02</v>
      </c>
      <c r="I76" s="7">
        <f t="shared" si="0"/>
        <v>0.18000000000000016</v>
      </c>
      <c r="J76" t="s">
        <v>1158</v>
      </c>
    </row>
    <row r="77" spans="2:10" x14ac:dyDescent="0.25">
      <c r="I77" s="7"/>
    </row>
    <row r="78" spans="2:10" x14ac:dyDescent="0.25">
      <c r="E78" s="8" t="s">
        <v>356</v>
      </c>
      <c r="I78" s="7"/>
    </row>
    <row r="79" spans="2:10" x14ac:dyDescent="0.25">
      <c r="B79" t="s">
        <v>128</v>
      </c>
      <c r="C79" t="s">
        <v>338</v>
      </c>
      <c r="D79" t="s">
        <v>38</v>
      </c>
      <c r="E79" t="s">
        <v>1175</v>
      </c>
      <c r="F79" t="s">
        <v>424</v>
      </c>
      <c r="G79" s="7">
        <v>3.84</v>
      </c>
      <c r="H79" s="7">
        <v>3.63</v>
      </c>
      <c r="I79" s="7">
        <f>G79-H79</f>
        <v>0.20999999999999996</v>
      </c>
      <c r="J79" t="s">
        <v>1158</v>
      </c>
    </row>
    <row r="80" spans="2:10" x14ac:dyDescent="0.25">
      <c r="B80" t="s">
        <v>128</v>
      </c>
      <c r="C80" t="s">
        <v>37</v>
      </c>
      <c r="D80" t="s">
        <v>38</v>
      </c>
      <c r="E80" t="s">
        <v>1175</v>
      </c>
      <c r="F80" t="s">
        <v>426</v>
      </c>
      <c r="G80" s="7">
        <v>3.2</v>
      </c>
      <c r="H80" s="7">
        <v>3.02</v>
      </c>
      <c r="I80" s="7">
        <f>G80-H80</f>
        <v>0.18000000000000016</v>
      </c>
      <c r="J80" t="s">
        <v>1158</v>
      </c>
    </row>
    <row r="81" spans="2:10" x14ac:dyDescent="0.25">
      <c r="B81" t="s">
        <v>929</v>
      </c>
      <c r="C81" t="s">
        <v>338</v>
      </c>
      <c r="D81" t="s">
        <v>38</v>
      </c>
      <c r="E81" t="s">
        <v>1176</v>
      </c>
      <c r="F81" t="s">
        <v>424</v>
      </c>
      <c r="G81" s="7">
        <v>12</v>
      </c>
      <c r="H81" s="7">
        <v>11.34</v>
      </c>
      <c r="I81" s="7">
        <f>G81-H81</f>
        <v>0.66000000000000014</v>
      </c>
      <c r="J81" t="s">
        <v>1158</v>
      </c>
    </row>
    <row r="82" spans="2:10" x14ac:dyDescent="0.25">
      <c r="B82" t="s">
        <v>929</v>
      </c>
      <c r="C82" t="s">
        <v>37</v>
      </c>
      <c r="D82" t="s">
        <v>38</v>
      </c>
      <c r="E82" t="s">
        <v>1176</v>
      </c>
      <c r="F82" t="s">
        <v>426</v>
      </c>
      <c r="G82" s="7">
        <v>10</v>
      </c>
      <c r="H82" s="7">
        <v>9.4499999999999993</v>
      </c>
      <c r="I82" s="7">
        <f t="shared" si="0"/>
        <v>0.55000000000000071</v>
      </c>
      <c r="J82" t="s">
        <v>1158</v>
      </c>
    </row>
    <row r="83" spans="2:10" x14ac:dyDescent="0.25">
      <c r="B83" t="s">
        <v>929</v>
      </c>
      <c r="C83" t="s">
        <v>338</v>
      </c>
      <c r="D83" t="s">
        <v>38</v>
      </c>
      <c r="E83" t="s">
        <v>1274</v>
      </c>
      <c r="F83" t="s">
        <v>424</v>
      </c>
      <c r="G83" s="7">
        <v>12</v>
      </c>
      <c r="H83" s="7">
        <v>11.34</v>
      </c>
      <c r="I83" s="7">
        <f t="shared" si="0"/>
        <v>0.66000000000000014</v>
      </c>
      <c r="J83" t="s">
        <v>1158</v>
      </c>
    </row>
    <row r="84" spans="2:10" x14ac:dyDescent="0.25">
      <c r="B84" t="s">
        <v>929</v>
      </c>
      <c r="C84" t="s">
        <v>37</v>
      </c>
      <c r="D84" t="s">
        <v>38</v>
      </c>
      <c r="E84" t="s">
        <v>1274</v>
      </c>
      <c r="F84" t="s">
        <v>426</v>
      </c>
      <c r="G84" s="7">
        <v>10</v>
      </c>
      <c r="H84" s="7">
        <v>9.4499999999999993</v>
      </c>
      <c r="I84" s="7">
        <f t="shared" si="0"/>
        <v>0.55000000000000071</v>
      </c>
      <c r="J84" t="s">
        <v>1158</v>
      </c>
    </row>
    <row r="85" spans="2:10" x14ac:dyDescent="0.25">
      <c r="B85" t="s">
        <v>831</v>
      </c>
      <c r="C85" t="s">
        <v>338</v>
      </c>
      <c r="D85" t="s">
        <v>38</v>
      </c>
      <c r="E85" t="s">
        <v>1177</v>
      </c>
      <c r="F85" t="s">
        <v>424</v>
      </c>
      <c r="G85" s="7">
        <v>3.84</v>
      </c>
      <c r="H85" s="7">
        <v>3.63</v>
      </c>
      <c r="I85" s="7">
        <f t="shared" si="0"/>
        <v>0.20999999999999996</v>
      </c>
      <c r="J85" t="s">
        <v>1158</v>
      </c>
    </row>
    <row r="86" spans="2:10" x14ac:dyDescent="0.25">
      <c r="B86" t="s">
        <v>831</v>
      </c>
      <c r="C86" t="s">
        <v>37</v>
      </c>
      <c r="D86" t="s">
        <v>38</v>
      </c>
      <c r="E86" t="s">
        <v>1177</v>
      </c>
      <c r="F86" t="s">
        <v>426</v>
      </c>
      <c r="G86" s="7">
        <v>3.2</v>
      </c>
      <c r="H86" s="7">
        <v>3.02</v>
      </c>
      <c r="I86" s="7">
        <f t="shared" si="0"/>
        <v>0.18000000000000016</v>
      </c>
      <c r="J86" t="s">
        <v>1158</v>
      </c>
    </row>
    <row r="87" spans="2:10" x14ac:dyDescent="0.25">
      <c r="B87" t="s">
        <v>134</v>
      </c>
      <c r="C87" t="s">
        <v>338</v>
      </c>
      <c r="D87" t="s">
        <v>38</v>
      </c>
      <c r="E87" t="s">
        <v>1242</v>
      </c>
      <c r="F87" t="s">
        <v>424</v>
      </c>
      <c r="G87" s="7">
        <v>5.76</v>
      </c>
      <c r="H87" s="7">
        <v>5.44</v>
      </c>
      <c r="I87" s="7">
        <f t="shared" si="0"/>
        <v>0.3199999999999994</v>
      </c>
      <c r="J87" t="s">
        <v>1158</v>
      </c>
    </row>
    <row r="88" spans="2:10" x14ac:dyDescent="0.25">
      <c r="B88" t="s">
        <v>134</v>
      </c>
      <c r="C88" t="s">
        <v>37</v>
      </c>
      <c r="D88" t="s">
        <v>38</v>
      </c>
      <c r="E88" t="s">
        <v>1242</v>
      </c>
      <c r="F88" t="s">
        <v>426</v>
      </c>
      <c r="G88" s="7">
        <v>4.8</v>
      </c>
      <c r="H88" s="7">
        <v>4.54</v>
      </c>
      <c r="I88" s="7">
        <f t="shared" si="0"/>
        <v>0.25999999999999979</v>
      </c>
      <c r="J88" t="s">
        <v>1158</v>
      </c>
    </row>
    <row r="89" spans="2:10" x14ac:dyDescent="0.25">
      <c r="B89" t="s">
        <v>304</v>
      </c>
      <c r="C89" t="s">
        <v>338</v>
      </c>
      <c r="D89" t="s">
        <v>38</v>
      </c>
      <c r="E89" t="s">
        <v>1275</v>
      </c>
      <c r="F89" t="s">
        <v>424</v>
      </c>
      <c r="G89" s="7">
        <v>0.96</v>
      </c>
      <c r="H89" s="7">
        <v>0.9</v>
      </c>
      <c r="I89" s="7">
        <f t="shared" si="0"/>
        <v>5.9999999999999942E-2</v>
      </c>
      <c r="J89" t="s">
        <v>1158</v>
      </c>
    </row>
    <row r="90" spans="2:10" x14ac:dyDescent="0.25">
      <c r="B90" t="s">
        <v>304</v>
      </c>
      <c r="C90" t="s">
        <v>37</v>
      </c>
      <c r="D90" t="s">
        <v>38</v>
      </c>
      <c r="E90" t="s">
        <v>1275</v>
      </c>
      <c r="F90" t="s">
        <v>426</v>
      </c>
      <c r="G90" s="7">
        <v>0.8</v>
      </c>
      <c r="H90" s="7">
        <v>0.76</v>
      </c>
      <c r="I90" s="7">
        <f t="shared" si="0"/>
        <v>4.0000000000000036E-2</v>
      </c>
      <c r="J90" t="s">
        <v>1158</v>
      </c>
    </row>
    <row r="91" spans="2:10" x14ac:dyDescent="0.25">
      <c r="I91" s="7"/>
    </row>
    <row r="92" spans="2:10" x14ac:dyDescent="0.25">
      <c r="E92" s="8" t="s">
        <v>357</v>
      </c>
      <c r="I92" s="7"/>
    </row>
    <row r="93" spans="2:10" x14ac:dyDescent="0.25">
      <c r="B93" t="s">
        <v>136</v>
      </c>
      <c r="C93" t="s">
        <v>37</v>
      </c>
      <c r="D93" t="s">
        <v>38</v>
      </c>
      <c r="E93" t="s">
        <v>1178</v>
      </c>
      <c r="F93" t="s">
        <v>426</v>
      </c>
      <c r="G93" s="7">
        <v>2</v>
      </c>
      <c r="H93" s="7">
        <v>1.89</v>
      </c>
      <c r="I93" s="7">
        <f t="shared" si="0"/>
        <v>0.1100000000000001</v>
      </c>
      <c r="J93" t="s">
        <v>1158</v>
      </c>
    </row>
    <row r="94" spans="2:10" x14ac:dyDescent="0.25">
      <c r="E94" t="s">
        <v>1179</v>
      </c>
      <c r="F94" t="s">
        <v>424</v>
      </c>
      <c r="G94" s="7">
        <v>7.2</v>
      </c>
      <c r="H94" s="7">
        <v>6.8</v>
      </c>
      <c r="I94" s="7">
        <f t="shared" si="0"/>
        <v>0.40000000000000036</v>
      </c>
      <c r="J94" t="s">
        <v>1158</v>
      </c>
    </row>
    <row r="95" spans="2:10" x14ac:dyDescent="0.25">
      <c r="B95" t="s">
        <v>138</v>
      </c>
      <c r="E95" t="s">
        <v>1179</v>
      </c>
      <c r="F95" t="s">
        <v>426</v>
      </c>
      <c r="G95" s="7">
        <v>6</v>
      </c>
      <c r="H95" s="7">
        <v>5.67</v>
      </c>
      <c r="I95" s="7">
        <f t="shared" si="0"/>
        <v>0.33000000000000007</v>
      </c>
      <c r="J95" t="s">
        <v>1158</v>
      </c>
    </row>
    <row r="96" spans="2:10" x14ac:dyDescent="0.25">
      <c r="I96" s="7"/>
    </row>
    <row r="97" spans="2:10" x14ac:dyDescent="0.25">
      <c r="E97" s="8" t="s">
        <v>350</v>
      </c>
      <c r="I97" s="7"/>
    </row>
    <row r="98" spans="2:10" x14ac:dyDescent="0.25">
      <c r="B98" t="s">
        <v>1180</v>
      </c>
      <c r="C98" t="s">
        <v>338</v>
      </c>
      <c r="D98" t="s">
        <v>38</v>
      </c>
      <c r="E98" t="s">
        <v>1181</v>
      </c>
      <c r="F98" t="s">
        <v>424</v>
      </c>
      <c r="G98" s="7">
        <v>1197.5999999999999</v>
      </c>
      <c r="H98" s="7">
        <v>1131.73</v>
      </c>
      <c r="I98" s="7">
        <f>G98-H98</f>
        <v>65.869999999999891</v>
      </c>
      <c r="J98" t="s">
        <v>1158</v>
      </c>
    </row>
    <row r="99" spans="2:10" x14ac:dyDescent="0.25">
      <c r="B99" t="s">
        <v>1180</v>
      </c>
      <c r="C99" t="s">
        <v>37</v>
      </c>
      <c r="D99" t="s">
        <v>38</v>
      </c>
      <c r="E99" t="s">
        <v>1181</v>
      </c>
      <c r="F99" t="s">
        <v>426</v>
      </c>
      <c r="G99" s="7">
        <v>998</v>
      </c>
      <c r="H99" s="7">
        <v>943.11</v>
      </c>
      <c r="I99" s="7">
        <f t="shared" si="0"/>
        <v>54.889999999999986</v>
      </c>
      <c r="J99" t="s">
        <v>1158</v>
      </c>
    </row>
    <row r="100" spans="2:10" x14ac:dyDescent="0.25">
      <c r="B100" t="s">
        <v>108</v>
      </c>
      <c r="C100" t="s">
        <v>338</v>
      </c>
      <c r="D100" t="s">
        <v>38</v>
      </c>
      <c r="E100" t="s">
        <v>1182</v>
      </c>
      <c r="F100" t="s">
        <v>424</v>
      </c>
      <c r="G100" s="7">
        <v>9.6</v>
      </c>
      <c r="H100" s="7">
        <v>9.07</v>
      </c>
      <c r="I100" s="7">
        <f t="shared" si="0"/>
        <v>0.52999999999999936</v>
      </c>
      <c r="J100" t="s">
        <v>1158</v>
      </c>
    </row>
    <row r="101" spans="2:10" x14ac:dyDescent="0.25">
      <c r="B101" t="s">
        <v>108</v>
      </c>
      <c r="C101" t="s">
        <v>37</v>
      </c>
      <c r="D101" t="s">
        <v>38</v>
      </c>
      <c r="E101" t="s">
        <v>1182</v>
      </c>
      <c r="F101" t="s">
        <v>426</v>
      </c>
      <c r="G101" s="7">
        <v>8</v>
      </c>
      <c r="H101" s="7">
        <v>7.56</v>
      </c>
      <c r="I101" s="7">
        <f t="shared" si="0"/>
        <v>0.44000000000000039</v>
      </c>
      <c r="J101" t="s">
        <v>1158</v>
      </c>
    </row>
    <row r="102" spans="2:10" x14ac:dyDescent="0.25">
      <c r="B102" t="s">
        <v>1183</v>
      </c>
      <c r="C102" t="s">
        <v>338</v>
      </c>
      <c r="D102" t="s">
        <v>38</v>
      </c>
      <c r="E102" t="s">
        <v>1184</v>
      </c>
      <c r="F102" t="s">
        <v>424</v>
      </c>
      <c r="G102" s="7">
        <v>4.8</v>
      </c>
      <c r="H102" s="7">
        <v>4.54</v>
      </c>
      <c r="I102" s="7">
        <f t="shared" si="0"/>
        <v>0.25999999999999979</v>
      </c>
      <c r="J102" t="s">
        <v>1158</v>
      </c>
    </row>
    <row r="103" spans="2:10" x14ac:dyDescent="0.25">
      <c r="B103" t="s">
        <v>1183</v>
      </c>
      <c r="C103" t="s">
        <v>37</v>
      </c>
      <c r="D103" t="s">
        <v>38</v>
      </c>
      <c r="E103" t="s">
        <v>1184</v>
      </c>
      <c r="F103" t="s">
        <v>426</v>
      </c>
      <c r="G103" s="7">
        <v>4</v>
      </c>
      <c r="H103" s="7">
        <v>3.78</v>
      </c>
      <c r="I103" s="7">
        <f t="shared" si="0"/>
        <v>0.2200000000000002</v>
      </c>
      <c r="J103" t="s">
        <v>1158</v>
      </c>
    </row>
    <row r="104" spans="2:10" x14ac:dyDescent="0.25">
      <c r="B104" t="s">
        <v>102</v>
      </c>
      <c r="C104" t="s">
        <v>338</v>
      </c>
      <c r="D104" t="s">
        <v>38</v>
      </c>
      <c r="E104" t="s">
        <v>1265</v>
      </c>
      <c r="F104" t="s">
        <v>424</v>
      </c>
      <c r="G104" s="7">
        <v>2397.6</v>
      </c>
      <c r="H104" s="7">
        <v>2265.73</v>
      </c>
      <c r="I104" s="7">
        <f t="shared" si="0"/>
        <v>131.86999999999989</v>
      </c>
      <c r="J104" t="s">
        <v>1158</v>
      </c>
    </row>
    <row r="105" spans="2:10" x14ac:dyDescent="0.25">
      <c r="B105" t="s">
        <v>102</v>
      </c>
      <c r="C105" t="s">
        <v>37</v>
      </c>
      <c r="D105" t="s">
        <v>38</v>
      </c>
      <c r="E105" t="s">
        <v>1265</v>
      </c>
      <c r="F105" t="s">
        <v>426</v>
      </c>
      <c r="G105" s="7">
        <v>1998</v>
      </c>
      <c r="H105" s="7">
        <v>1888.11</v>
      </c>
      <c r="I105" s="7">
        <f t="shared" si="0"/>
        <v>109.8900000000001</v>
      </c>
      <c r="J105" t="s">
        <v>1158</v>
      </c>
    </row>
    <row r="106" spans="2:10" x14ac:dyDescent="0.25">
      <c r="B106" t="s">
        <v>102</v>
      </c>
      <c r="C106" t="s">
        <v>338</v>
      </c>
      <c r="D106" t="s">
        <v>38</v>
      </c>
      <c r="E106" t="s">
        <v>1266</v>
      </c>
      <c r="F106" t="s">
        <v>424</v>
      </c>
      <c r="G106" s="7">
        <v>4797.6000000000004</v>
      </c>
      <c r="H106" s="7">
        <v>4533.7299999999996</v>
      </c>
      <c r="I106" s="7">
        <f t="shared" si="0"/>
        <v>263.8700000000008</v>
      </c>
      <c r="J106" t="s">
        <v>1158</v>
      </c>
    </row>
    <row r="107" spans="2:10" x14ac:dyDescent="0.25">
      <c r="B107" t="s">
        <v>102</v>
      </c>
      <c r="C107" t="s">
        <v>37</v>
      </c>
      <c r="D107" t="s">
        <v>38</v>
      </c>
      <c r="E107" t="s">
        <v>1266</v>
      </c>
      <c r="F107" t="s">
        <v>426</v>
      </c>
      <c r="G107" s="7">
        <v>3998</v>
      </c>
      <c r="H107" s="7">
        <v>3778.11</v>
      </c>
      <c r="I107" s="7">
        <f t="shared" si="0"/>
        <v>219.88999999999987</v>
      </c>
      <c r="J107" t="s">
        <v>1158</v>
      </c>
    </row>
    <row r="108" spans="2:10" x14ac:dyDescent="0.25">
      <c r="B108" t="s">
        <v>102</v>
      </c>
      <c r="C108" t="s">
        <v>338</v>
      </c>
      <c r="D108" t="s">
        <v>38</v>
      </c>
      <c r="E108" t="s">
        <v>1267</v>
      </c>
      <c r="F108" t="s">
        <v>424</v>
      </c>
      <c r="G108" s="7">
        <v>9597.6</v>
      </c>
      <c r="H108" s="7">
        <v>9069.73</v>
      </c>
      <c r="I108" s="7">
        <f t="shared" si="0"/>
        <v>527.8700000000008</v>
      </c>
      <c r="J108" t="s">
        <v>1158</v>
      </c>
    </row>
    <row r="109" spans="2:10" x14ac:dyDescent="0.25">
      <c r="B109" t="s">
        <v>102</v>
      </c>
      <c r="C109" t="s">
        <v>37</v>
      </c>
      <c r="D109" t="s">
        <v>38</v>
      </c>
      <c r="E109" t="s">
        <v>1267</v>
      </c>
      <c r="F109" t="s">
        <v>426</v>
      </c>
      <c r="G109" s="7">
        <v>7998</v>
      </c>
      <c r="H109" s="7">
        <v>7558.11</v>
      </c>
      <c r="I109" s="7">
        <f t="shared" si="0"/>
        <v>439.89000000000033</v>
      </c>
      <c r="J109" t="s">
        <v>1158</v>
      </c>
    </row>
    <row r="110" spans="2:10" x14ac:dyDescent="0.25">
      <c r="C110" t="s">
        <v>338</v>
      </c>
      <c r="D110" t="s">
        <v>38</v>
      </c>
      <c r="E110" t="s">
        <v>1186</v>
      </c>
      <c r="F110" t="s">
        <v>424</v>
      </c>
      <c r="G110" s="7">
        <v>3.6</v>
      </c>
      <c r="H110" s="7">
        <v>3.4</v>
      </c>
      <c r="I110" s="7">
        <f t="shared" si="0"/>
        <v>0.20000000000000018</v>
      </c>
      <c r="J110" t="s">
        <v>1158</v>
      </c>
    </row>
    <row r="111" spans="2:10" x14ac:dyDescent="0.25">
      <c r="B111" t="s">
        <v>1185</v>
      </c>
      <c r="C111" t="s">
        <v>37</v>
      </c>
      <c r="D111" t="s">
        <v>38</v>
      </c>
      <c r="E111" t="s">
        <v>1186</v>
      </c>
      <c r="F111" t="s">
        <v>426</v>
      </c>
      <c r="G111" s="7">
        <v>3</v>
      </c>
      <c r="H111" s="7">
        <v>2.84</v>
      </c>
      <c r="I111" s="7">
        <f t="shared" si="0"/>
        <v>0.16000000000000014</v>
      </c>
      <c r="J111" t="s">
        <v>1158</v>
      </c>
    </row>
    <row r="112" spans="2:10" x14ac:dyDescent="0.25">
      <c r="I112" s="7"/>
    </row>
    <row r="113" spans="2:10" x14ac:dyDescent="0.25">
      <c r="E113" s="8" t="s">
        <v>352</v>
      </c>
      <c r="I113" s="7"/>
    </row>
    <row r="114" spans="2:10" x14ac:dyDescent="0.25">
      <c r="B114" t="s">
        <v>112</v>
      </c>
      <c r="C114" t="s">
        <v>338</v>
      </c>
      <c r="D114" t="s">
        <v>38</v>
      </c>
      <c r="E114" t="s">
        <v>1187</v>
      </c>
      <c r="F114" t="s">
        <v>424</v>
      </c>
      <c r="G114" s="7">
        <v>3.36</v>
      </c>
      <c r="H114" s="7">
        <v>3.17</v>
      </c>
      <c r="I114" s="7">
        <f>G114-H114</f>
        <v>0.18999999999999995</v>
      </c>
      <c r="J114" t="s">
        <v>1158</v>
      </c>
    </row>
    <row r="115" spans="2:10" x14ac:dyDescent="0.25">
      <c r="B115" t="s">
        <v>112</v>
      </c>
      <c r="C115" t="s">
        <v>37</v>
      </c>
      <c r="D115" t="s">
        <v>38</v>
      </c>
      <c r="E115" t="s">
        <v>1187</v>
      </c>
      <c r="F115" t="s">
        <v>426</v>
      </c>
      <c r="G115" s="7">
        <v>2.8</v>
      </c>
      <c r="H115" s="7">
        <v>2.65</v>
      </c>
      <c r="I115" s="7">
        <f t="shared" si="0"/>
        <v>0.14999999999999991</v>
      </c>
      <c r="J115" t="s">
        <v>1158</v>
      </c>
    </row>
    <row r="116" spans="2:10" x14ac:dyDescent="0.25">
      <c r="B116" t="s">
        <v>116</v>
      </c>
      <c r="C116" t="s">
        <v>338</v>
      </c>
      <c r="D116" t="s">
        <v>38</v>
      </c>
      <c r="E116" t="s">
        <v>1188</v>
      </c>
      <c r="F116" t="s">
        <v>424</v>
      </c>
      <c r="G116" s="7">
        <v>14.4</v>
      </c>
      <c r="H116" s="7">
        <v>13.61</v>
      </c>
      <c r="I116" s="7">
        <f t="shared" si="0"/>
        <v>0.79000000000000092</v>
      </c>
      <c r="J116" t="s">
        <v>1158</v>
      </c>
    </row>
    <row r="117" spans="2:10" x14ac:dyDescent="0.25">
      <c r="B117" t="s">
        <v>116</v>
      </c>
      <c r="C117" t="s">
        <v>37</v>
      </c>
      <c r="D117" t="s">
        <v>38</v>
      </c>
      <c r="E117" t="s">
        <v>1188</v>
      </c>
      <c r="F117" t="s">
        <v>426</v>
      </c>
      <c r="G117" s="7">
        <v>12</v>
      </c>
      <c r="H117" s="7">
        <v>11.34</v>
      </c>
      <c r="I117" s="7">
        <f t="shared" si="0"/>
        <v>0.66000000000000014</v>
      </c>
      <c r="J117" t="s">
        <v>1158</v>
      </c>
    </row>
    <row r="118" spans="2:10" x14ac:dyDescent="0.25">
      <c r="B118" t="s">
        <v>114</v>
      </c>
      <c r="C118" t="s">
        <v>338</v>
      </c>
      <c r="D118" t="s">
        <v>38</v>
      </c>
      <c r="E118" t="s">
        <v>1189</v>
      </c>
      <c r="F118" t="s">
        <v>424</v>
      </c>
      <c r="G118" s="7">
        <v>26.4</v>
      </c>
      <c r="H118" s="7">
        <v>24.95</v>
      </c>
      <c r="I118" s="7">
        <f t="shared" si="0"/>
        <v>1.4499999999999993</v>
      </c>
      <c r="J118" t="s">
        <v>1158</v>
      </c>
    </row>
    <row r="119" spans="2:10" x14ac:dyDescent="0.25">
      <c r="B119" t="s">
        <v>114</v>
      </c>
      <c r="C119" t="s">
        <v>37</v>
      </c>
      <c r="D119" t="s">
        <v>38</v>
      </c>
      <c r="E119" t="s">
        <v>1189</v>
      </c>
      <c r="F119" t="s">
        <v>426</v>
      </c>
      <c r="G119" s="7">
        <v>22</v>
      </c>
      <c r="H119" s="7">
        <v>20.79</v>
      </c>
      <c r="I119" s="7">
        <f t="shared" si="0"/>
        <v>1.2100000000000009</v>
      </c>
      <c r="J119" t="s">
        <v>1158</v>
      </c>
    </row>
    <row r="120" spans="2:10" x14ac:dyDescent="0.25">
      <c r="I120" s="7"/>
    </row>
    <row r="121" spans="2:10" x14ac:dyDescent="0.25">
      <c r="E121" s="8" t="s">
        <v>355</v>
      </c>
      <c r="I121" s="7"/>
    </row>
    <row r="122" spans="2:10" x14ac:dyDescent="0.25">
      <c r="B122" t="s">
        <v>124</v>
      </c>
      <c r="C122" t="s">
        <v>338</v>
      </c>
      <c r="D122" t="s">
        <v>38</v>
      </c>
      <c r="E122" t="s">
        <v>1260</v>
      </c>
      <c r="F122" t="s">
        <v>424</v>
      </c>
      <c r="G122" s="7">
        <v>1.92</v>
      </c>
      <c r="H122" s="7">
        <v>1.82</v>
      </c>
      <c r="I122" s="7">
        <f>G122-H122</f>
        <v>9.9999999999999867E-2</v>
      </c>
      <c r="J122" t="s">
        <v>1158</v>
      </c>
    </row>
    <row r="123" spans="2:10" x14ac:dyDescent="0.25">
      <c r="B123" t="s">
        <v>124</v>
      </c>
      <c r="C123" t="s">
        <v>37</v>
      </c>
      <c r="D123" t="s">
        <v>38</v>
      </c>
      <c r="E123" t="s">
        <v>1260</v>
      </c>
      <c r="F123" t="s">
        <v>426</v>
      </c>
      <c r="G123" s="7">
        <v>1.6</v>
      </c>
      <c r="H123" s="7">
        <v>1.5</v>
      </c>
      <c r="I123" s="7">
        <f>G123-H123</f>
        <v>0.10000000000000009</v>
      </c>
      <c r="J123" t="s">
        <v>1158</v>
      </c>
    </row>
    <row r="124" spans="2:10" x14ac:dyDescent="0.25">
      <c r="I124" s="7"/>
    </row>
    <row r="125" spans="2:10" x14ac:dyDescent="0.25">
      <c r="E125" s="8" t="s">
        <v>418</v>
      </c>
      <c r="F125" s="8"/>
      <c r="I125" s="7"/>
    </row>
    <row r="126" spans="2:10" x14ac:dyDescent="0.25">
      <c r="B126" t="s">
        <v>315</v>
      </c>
      <c r="C126" t="s">
        <v>338</v>
      </c>
      <c r="D126" t="s">
        <v>38</v>
      </c>
      <c r="E126" t="s">
        <v>1190</v>
      </c>
      <c r="F126" t="s">
        <v>424</v>
      </c>
      <c r="G126" s="7">
        <v>42</v>
      </c>
      <c r="H126" s="7">
        <v>39.69</v>
      </c>
      <c r="I126" s="7">
        <f>G126-H126</f>
        <v>2.3100000000000023</v>
      </c>
      <c r="J126" t="s">
        <v>1158</v>
      </c>
    </row>
    <row r="127" spans="2:10" x14ac:dyDescent="0.25">
      <c r="B127" t="s">
        <v>315</v>
      </c>
      <c r="C127" t="s">
        <v>37</v>
      </c>
      <c r="D127" t="s">
        <v>38</v>
      </c>
      <c r="E127" t="s">
        <v>1190</v>
      </c>
      <c r="F127" t="s">
        <v>426</v>
      </c>
      <c r="G127" s="7">
        <v>35</v>
      </c>
      <c r="H127" s="7">
        <v>33.08</v>
      </c>
      <c r="I127" s="7">
        <f t="shared" si="0"/>
        <v>1.9200000000000017</v>
      </c>
      <c r="J127" t="s">
        <v>1158</v>
      </c>
    </row>
    <row r="128" spans="2:10" x14ac:dyDescent="0.25">
      <c r="B128" t="s">
        <v>451</v>
      </c>
      <c r="C128" t="s">
        <v>338</v>
      </c>
      <c r="D128" t="s">
        <v>38</v>
      </c>
      <c r="E128" t="s">
        <v>1191</v>
      </c>
      <c r="F128" t="s">
        <v>424</v>
      </c>
      <c r="G128" s="7">
        <v>3</v>
      </c>
      <c r="H128" s="7">
        <v>2.84</v>
      </c>
      <c r="I128" s="7">
        <f t="shared" si="0"/>
        <v>0.16000000000000014</v>
      </c>
      <c r="J128" t="s">
        <v>1158</v>
      </c>
    </row>
    <row r="129" spans="2:10" x14ac:dyDescent="0.25">
      <c r="B129" t="s">
        <v>451</v>
      </c>
      <c r="C129" t="s">
        <v>37</v>
      </c>
      <c r="D129" t="s">
        <v>38</v>
      </c>
      <c r="E129" t="s">
        <v>1191</v>
      </c>
      <c r="F129" t="s">
        <v>426</v>
      </c>
      <c r="G129" s="7">
        <v>2.5</v>
      </c>
      <c r="H129" s="7">
        <v>2.36</v>
      </c>
      <c r="I129" s="7">
        <f t="shared" si="0"/>
        <v>0.14000000000000012</v>
      </c>
      <c r="J129" t="s">
        <v>1158</v>
      </c>
    </row>
    <row r="130" spans="2:10" x14ac:dyDescent="0.25">
      <c r="B130" t="s">
        <v>314</v>
      </c>
      <c r="C130" t="s">
        <v>338</v>
      </c>
      <c r="D130" t="s">
        <v>38</v>
      </c>
      <c r="E130" t="s">
        <v>1269</v>
      </c>
      <c r="F130" t="s">
        <v>424</v>
      </c>
      <c r="G130" s="7">
        <v>6</v>
      </c>
      <c r="H130" s="7">
        <v>5.67</v>
      </c>
      <c r="I130" s="7">
        <f t="shared" si="0"/>
        <v>0.33000000000000007</v>
      </c>
      <c r="J130" t="s">
        <v>1158</v>
      </c>
    </row>
    <row r="131" spans="2:10" x14ac:dyDescent="0.25">
      <c r="B131" t="s">
        <v>314</v>
      </c>
      <c r="C131" t="s">
        <v>37</v>
      </c>
      <c r="D131" t="s">
        <v>38</v>
      </c>
      <c r="E131" t="s">
        <v>1269</v>
      </c>
      <c r="F131" t="s">
        <v>426</v>
      </c>
      <c r="G131" s="7">
        <v>5</v>
      </c>
      <c r="H131" s="7">
        <v>4.7300000000000004</v>
      </c>
      <c r="I131" s="7">
        <f t="shared" si="0"/>
        <v>0.26999999999999957</v>
      </c>
      <c r="J131" t="s">
        <v>1158</v>
      </c>
    </row>
    <row r="132" spans="2:10" x14ac:dyDescent="0.25">
      <c r="B132" t="s">
        <v>308</v>
      </c>
      <c r="C132" t="s">
        <v>338</v>
      </c>
      <c r="D132" t="s">
        <v>38</v>
      </c>
      <c r="E132" t="s">
        <v>1192</v>
      </c>
      <c r="F132" t="s">
        <v>424</v>
      </c>
      <c r="G132" s="7">
        <v>30</v>
      </c>
      <c r="H132" s="7">
        <v>28.35</v>
      </c>
      <c r="I132" s="7">
        <f t="shared" si="0"/>
        <v>1.6499999999999986</v>
      </c>
      <c r="J132" t="s">
        <v>1158</v>
      </c>
    </row>
    <row r="133" spans="2:10" x14ac:dyDescent="0.25">
      <c r="B133" t="s">
        <v>308</v>
      </c>
      <c r="C133" t="s">
        <v>37</v>
      </c>
      <c r="D133" t="s">
        <v>38</v>
      </c>
      <c r="E133" t="s">
        <v>1192</v>
      </c>
      <c r="F133" t="s">
        <v>426</v>
      </c>
      <c r="G133" s="7">
        <v>25</v>
      </c>
      <c r="H133" s="7">
        <v>23.63</v>
      </c>
      <c r="I133" s="7">
        <f t="shared" si="0"/>
        <v>1.370000000000001</v>
      </c>
      <c r="J133" t="s">
        <v>1158</v>
      </c>
    </row>
    <row r="134" spans="2:10" x14ac:dyDescent="0.25">
      <c r="B134" t="s">
        <v>310</v>
      </c>
      <c r="C134" t="s">
        <v>338</v>
      </c>
      <c r="D134" t="s">
        <v>38</v>
      </c>
      <c r="E134" t="s">
        <v>1193</v>
      </c>
      <c r="F134" t="s">
        <v>424</v>
      </c>
      <c r="G134" s="7">
        <v>4.5599999999999996</v>
      </c>
      <c r="H134" s="7">
        <v>4.3099999999999996</v>
      </c>
      <c r="I134" s="7">
        <f t="shared" si="0"/>
        <v>0.25</v>
      </c>
      <c r="J134" t="s">
        <v>1158</v>
      </c>
    </row>
    <row r="135" spans="2:10" x14ac:dyDescent="0.25">
      <c r="B135" t="s">
        <v>310</v>
      </c>
      <c r="C135" t="s">
        <v>37</v>
      </c>
      <c r="D135" t="s">
        <v>38</v>
      </c>
      <c r="E135" t="s">
        <v>1193</v>
      </c>
      <c r="F135" t="s">
        <v>426</v>
      </c>
      <c r="G135" s="7">
        <v>3.8</v>
      </c>
      <c r="H135" s="7">
        <v>3.59</v>
      </c>
      <c r="I135" s="7">
        <f t="shared" si="0"/>
        <v>0.20999999999999996</v>
      </c>
      <c r="J135" t="s">
        <v>1158</v>
      </c>
    </row>
    <row r="136" spans="2:10" x14ac:dyDescent="0.25">
      <c r="B136" t="s">
        <v>316</v>
      </c>
      <c r="C136" t="s">
        <v>338</v>
      </c>
      <c r="D136" t="s">
        <v>38</v>
      </c>
      <c r="E136" t="s">
        <v>1268</v>
      </c>
      <c r="F136" t="s">
        <v>424</v>
      </c>
      <c r="G136" s="7">
        <v>4.5599999999999996</v>
      </c>
      <c r="H136" s="7">
        <v>4.3099999999999996</v>
      </c>
      <c r="I136" s="7">
        <f t="shared" si="0"/>
        <v>0.25</v>
      </c>
      <c r="J136" t="s">
        <v>1158</v>
      </c>
    </row>
    <row r="137" spans="2:10" x14ac:dyDescent="0.25">
      <c r="B137" t="s">
        <v>316</v>
      </c>
      <c r="C137" t="s">
        <v>37</v>
      </c>
      <c r="D137" t="s">
        <v>38</v>
      </c>
      <c r="E137" t="s">
        <v>1268</v>
      </c>
      <c r="F137" t="s">
        <v>426</v>
      </c>
      <c r="G137" s="7">
        <v>3.8</v>
      </c>
      <c r="H137" s="7">
        <v>3.59</v>
      </c>
      <c r="I137" s="7">
        <f t="shared" si="0"/>
        <v>0.20999999999999996</v>
      </c>
      <c r="J137" t="s">
        <v>1158</v>
      </c>
    </row>
    <row r="138" spans="2:10" x14ac:dyDescent="0.25">
      <c r="B138" t="s">
        <v>317</v>
      </c>
      <c r="C138" t="s">
        <v>338</v>
      </c>
      <c r="D138" t="s">
        <v>38</v>
      </c>
      <c r="E138" t="s">
        <v>1194</v>
      </c>
      <c r="F138" t="s">
        <v>424</v>
      </c>
      <c r="G138" s="7">
        <v>45</v>
      </c>
      <c r="H138" s="7">
        <v>42.53</v>
      </c>
      <c r="I138" s="7">
        <f t="shared" si="0"/>
        <v>2.4699999999999989</v>
      </c>
      <c r="J138" t="s">
        <v>1158</v>
      </c>
    </row>
    <row r="139" spans="2:10" x14ac:dyDescent="0.25">
      <c r="B139" t="s">
        <v>317</v>
      </c>
      <c r="C139" t="s">
        <v>37</v>
      </c>
      <c r="D139" t="s">
        <v>38</v>
      </c>
      <c r="E139" t="s">
        <v>1194</v>
      </c>
      <c r="F139" t="s">
        <v>426</v>
      </c>
      <c r="G139" s="7">
        <v>37.5</v>
      </c>
      <c r="H139" s="7">
        <v>35.44</v>
      </c>
      <c r="I139" s="7">
        <f t="shared" si="0"/>
        <v>2.0600000000000023</v>
      </c>
      <c r="J139" t="s">
        <v>1158</v>
      </c>
    </row>
    <row r="140" spans="2:10" x14ac:dyDescent="0.25">
      <c r="B140" t="s">
        <v>320</v>
      </c>
      <c r="C140" t="s">
        <v>338</v>
      </c>
      <c r="D140" t="s">
        <v>38</v>
      </c>
      <c r="E140" t="s">
        <v>1195</v>
      </c>
      <c r="F140" t="s">
        <v>424</v>
      </c>
      <c r="G140" s="7">
        <v>420</v>
      </c>
      <c r="H140" s="7">
        <v>396.9</v>
      </c>
      <c r="I140" s="7">
        <f t="shared" si="0"/>
        <v>23.100000000000023</v>
      </c>
      <c r="J140" t="s">
        <v>1158</v>
      </c>
    </row>
    <row r="141" spans="2:10" x14ac:dyDescent="0.25">
      <c r="B141" t="s">
        <v>320</v>
      </c>
      <c r="C141" t="s">
        <v>37</v>
      </c>
      <c r="D141" t="s">
        <v>38</v>
      </c>
      <c r="E141" t="s">
        <v>1195</v>
      </c>
      <c r="F141" t="s">
        <v>426</v>
      </c>
      <c r="G141" s="7">
        <v>350</v>
      </c>
      <c r="H141" s="7">
        <v>330.75</v>
      </c>
      <c r="I141" s="7">
        <f t="shared" si="0"/>
        <v>19.25</v>
      </c>
      <c r="J141" t="s">
        <v>1158</v>
      </c>
    </row>
    <row r="142" spans="2:10" x14ac:dyDescent="0.25">
      <c r="B142" t="s">
        <v>721</v>
      </c>
      <c r="C142" t="s">
        <v>338</v>
      </c>
      <c r="D142" t="s">
        <v>38</v>
      </c>
      <c r="E142" t="s">
        <v>1246</v>
      </c>
      <c r="F142" t="s">
        <v>424</v>
      </c>
      <c r="G142" s="7">
        <v>33.6</v>
      </c>
      <c r="H142" s="7">
        <v>31.75</v>
      </c>
      <c r="I142" s="7">
        <f t="shared" si="0"/>
        <v>1.8500000000000014</v>
      </c>
      <c r="J142" t="s">
        <v>1158</v>
      </c>
    </row>
    <row r="143" spans="2:10" x14ac:dyDescent="0.25">
      <c r="B143" t="s">
        <v>721</v>
      </c>
      <c r="C143" t="s">
        <v>37</v>
      </c>
      <c r="D143" t="s">
        <v>38</v>
      </c>
      <c r="E143" t="s">
        <v>1246</v>
      </c>
      <c r="F143" t="s">
        <v>426</v>
      </c>
      <c r="G143" s="7">
        <v>28</v>
      </c>
      <c r="H143" s="7">
        <v>26.46</v>
      </c>
      <c r="I143" s="7">
        <f t="shared" si="0"/>
        <v>1.5399999999999991</v>
      </c>
      <c r="J143" t="s">
        <v>1158</v>
      </c>
    </row>
    <row r="144" spans="2:10" x14ac:dyDescent="0.25">
      <c r="B144" t="s">
        <v>723</v>
      </c>
      <c r="C144" t="s">
        <v>338</v>
      </c>
      <c r="D144" t="s">
        <v>38</v>
      </c>
      <c r="E144" t="s">
        <v>1247</v>
      </c>
      <c r="F144" t="s">
        <v>424</v>
      </c>
      <c r="G144" s="7">
        <v>1.68</v>
      </c>
      <c r="H144" s="7">
        <v>1.59</v>
      </c>
      <c r="I144" s="7">
        <f t="shared" si="0"/>
        <v>8.9999999999999858E-2</v>
      </c>
      <c r="J144" t="s">
        <v>1158</v>
      </c>
    </row>
    <row r="145" spans="2:10" x14ac:dyDescent="0.25">
      <c r="B145" t="s">
        <v>723</v>
      </c>
      <c r="C145" t="s">
        <v>37</v>
      </c>
      <c r="D145" t="s">
        <v>38</v>
      </c>
      <c r="E145" t="s">
        <v>1247</v>
      </c>
      <c r="F145" t="s">
        <v>426</v>
      </c>
      <c r="G145" s="7">
        <v>1.4</v>
      </c>
      <c r="H145" s="7">
        <v>1.32</v>
      </c>
      <c r="I145" s="7">
        <f t="shared" si="0"/>
        <v>7.9999999999999849E-2</v>
      </c>
      <c r="J145" t="s">
        <v>1158</v>
      </c>
    </row>
    <row r="146" spans="2:10" x14ac:dyDescent="0.25">
      <c r="B146" t="s">
        <v>725</v>
      </c>
      <c r="C146" t="s">
        <v>338</v>
      </c>
      <c r="D146" t="s">
        <v>38</v>
      </c>
      <c r="E146" t="s">
        <v>1248</v>
      </c>
      <c r="F146" t="s">
        <v>424</v>
      </c>
      <c r="G146" s="7">
        <v>8.4</v>
      </c>
      <c r="H146" s="7">
        <v>7.94</v>
      </c>
      <c r="I146" s="7">
        <f t="shared" si="0"/>
        <v>0.45999999999999996</v>
      </c>
      <c r="J146" t="s">
        <v>1158</v>
      </c>
    </row>
    <row r="147" spans="2:10" x14ac:dyDescent="0.25">
      <c r="B147" t="s">
        <v>725</v>
      </c>
      <c r="C147" t="s">
        <v>37</v>
      </c>
      <c r="D147" t="s">
        <v>38</v>
      </c>
      <c r="E147" t="s">
        <v>1248</v>
      </c>
      <c r="F147" t="s">
        <v>426</v>
      </c>
      <c r="G147" s="7">
        <v>7</v>
      </c>
      <c r="H147" s="7">
        <v>6.62</v>
      </c>
      <c r="I147" s="7">
        <f t="shared" si="0"/>
        <v>0.37999999999999989</v>
      </c>
      <c r="J147" t="s">
        <v>1158</v>
      </c>
    </row>
    <row r="148" spans="2:10" x14ac:dyDescent="0.25">
      <c r="B148" t="s">
        <v>713</v>
      </c>
      <c r="C148" t="s">
        <v>338</v>
      </c>
      <c r="D148" t="s">
        <v>38</v>
      </c>
      <c r="E148" t="s">
        <v>1196</v>
      </c>
      <c r="F148" t="s">
        <v>424</v>
      </c>
      <c r="G148" s="7">
        <v>22.56</v>
      </c>
      <c r="H148" s="7">
        <v>21.32</v>
      </c>
      <c r="I148" s="7">
        <f t="shared" si="0"/>
        <v>1.2399999999999984</v>
      </c>
      <c r="J148" t="s">
        <v>1158</v>
      </c>
    </row>
    <row r="149" spans="2:10" x14ac:dyDescent="0.25">
      <c r="B149" t="s">
        <v>713</v>
      </c>
      <c r="C149" t="s">
        <v>37</v>
      </c>
      <c r="D149" t="s">
        <v>38</v>
      </c>
      <c r="E149" t="s">
        <v>1196</v>
      </c>
      <c r="F149" t="s">
        <v>426</v>
      </c>
      <c r="G149" s="7">
        <v>18.8</v>
      </c>
      <c r="H149" s="7">
        <v>17.77</v>
      </c>
      <c r="I149" s="7">
        <f t="shared" si="0"/>
        <v>1.0300000000000011</v>
      </c>
      <c r="J149" t="s">
        <v>1158</v>
      </c>
    </row>
    <row r="150" spans="2:10" x14ac:dyDescent="0.25">
      <c r="B150" t="s">
        <v>713</v>
      </c>
      <c r="C150" t="s">
        <v>338</v>
      </c>
      <c r="D150" t="s">
        <v>38</v>
      </c>
      <c r="E150" t="s">
        <v>1264</v>
      </c>
      <c r="F150" t="s">
        <v>424</v>
      </c>
      <c r="G150" s="7">
        <v>11.28</v>
      </c>
      <c r="H150" s="7">
        <v>10.66</v>
      </c>
      <c r="I150" s="7">
        <f t="shared" si="0"/>
        <v>0.61999999999999922</v>
      </c>
      <c r="J150" t="s">
        <v>1158</v>
      </c>
    </row>
    <row r="151" spans="2:10" x14ac:dyDescent="0.25">
      <c r="B151" t="s">
        <v>713</v>
      </c>
      <c r="C151" t="s">
        <v>37</v>
      </c>
      <c r="D151" t="s">
        <v>38</v>
      </c>
      <c r="E151" t="s">
        <v>1264</v>
      </c>
      <c r="F151" t="s">
        <v>426</v>
      </c>
      <c r="G151" s="7">
        <v>9.4</v>
      </c>
      <c r="H151" s="7">
        <v>8.8800000000000008</v>
      </c>
      <c r="I151" s="7">
        <f t="shared" si="0"/>
        <v>0.51999999999999957</v>
      </c>
      <c r="J151" t="s">
        <v>1158</v>
      </c>
    </row>
    <row r="152" spans="2:10" x14ac:dyDescent="0.25">
      <c r="B152" t="s">
        <v>713</v>
      </c>
      <c r="C152" t="s">
        <v>338</v>
      </c>
      <c r="D152" t="s">
        <v>38</v>
      </c>
      <c r="E152" t="s">
        <v>1263</v>
      </c>
      <c r="F152" t="s">
        <v>424</v>
      </c>
      <c r="G152" s="7">
        <v>7.56</v>
      </c>
      <c r="H152" s="7">
        <v>7.1429999999999998</v>
      </c>
      <c r="I152" s="7">
        <f t="shared" si="0"/>
        <v>0.41699999999999982</v>
      </c>
      <c r="J152" t="s">
        <v>1158</v>
      </c>
    </row>
    <row r="153" spans="2:10" x14ac:dyDescent="0.25">
      <c r="B153" t="s">
        <v>713</v>
      </c>
      <c r="C153" t="s">
        <v>37</v>
      </c>
      <c r="D153" t="s">
        <v>38</v>
      </c>
      <c r="E153" t="s">
        <v>1263</v>
      </c>
      <c r="F153" t="s">
        <v>426</v>
      </c>
      <c r="G153" s="7">
        <v>6.3</v>
      </c>
      <c r="H153" s="7">
        <v>5.95</v>
      </c>
      <c r="I153" s="7">
        <f t="shared" si="0"/>
        <v>0.34999999999999964</v>
      </c>
      <c r="J153" t="s">
        <v>1158</v>
      </c>
    </row>
    <row r="154" spans="2:10" x14ac:dyDescent="0.25">
      <c r="B154" t="s">
        <v>1013</v>
      </c>
      <c r="C154" t="s">
        <v>338</v>
      </c>
      <c r="D154" t="s">
        <v>38</v>
      </c>
      <c r="E154" t="s">
        <v>1197</v>
      </c>
      <c r="F154" t="s">
        <v>424</v>
      </c>
      <c r="G154" s="7">
        <v>60</v>
      </c>
      <c r="H154" s="7">
        <v>56.7</v>
      </c>
      <c r="I154" s="7">
        <f t="shared" si="0"/>
        <v>3.2999999999999972</v>
      </c>
      <c r="J154" t="s">
        <v>1158</v>
      </c>
    </row>
    <row r="155" spans="2:10" x14ac:dyDescent="0.25">
      <c r="B155" t="s">
        <v>1013</v>
      </c>
      <c r="C155" t="s">
        <v>37</v>
      </c>
      <c r="D155" t="s">
        <v>38</v>
      </c>
      <c r="E155" t="s">
        <v>1197</v>
      </c>
      <c r="F155" t="s">
        <v>426</v>
      </c>
      <c r="G155" s="7">
        <v>50</v>
      </c>
      <c r="H155" s="7">
        <v>47.25</v>
      </c>
      <c r="I155" s="7">
        <f t="shared" si="0"/>
        <v>2.75</v>
      </c>
      <c r="J155" t="s">
        <v>1158</v>
      </c>
    </row>
    <row r="156" spans="2:10" x14ac:dyDescent="0.25">
      <c r="B156" t="s">
        <v>1013</v>
      </c>
      <c r="C156" t="s">
        <v>338</v>
      </c>
      <c r="D156" t="s">
        <v>38</v>
      </c>
      <c r="E156" t="s">
        <v>1262</v>
      </c>
      <c r="F156" t="s">
        <v>424</v>
      </c>
      <c r="G156" s="7">
        <v>15</v>
      </c>
      <c r="H156" s="7">
        <v>14.18</v>
      </c>
      <c r="I156" s="7">
        <f t="shared" si="0"/>
        <v>0.82000000000000028</v>
      </c>
      <c r="J156" t="s">
        <v>1158</v>
      </c>
    </row>
    <row r="157" spans="2:10" x14ac:dyDescent="0.25">
      <c r="B157" t="s">
        <v>1013</v>
      </c>
      <c r="C157" t="s">
        <v>37</v>
      </c>
      <c r="D157" t="s">
        <v>38</v>
      </c>
      <c r="E157" t="s">
        <v>1262</v>
      </c>
      <c r="F157" t="s">
        <v>426</v>
      </c>
      <c r="G157" s="7">
        <v>12.5</v>
      </c>
      <c r="H157" s="7">
        <v>11.81</v>
      </c>
      <c r="I157" s="7">
        <f t="shared" si="0"/>
        <v>0.6899999999999995</v>
      </c>
      <c r="J157" t="s">
        <v>1158</v>
      </c>
    </row>
    <row r="158" spans="2:10" x14ac:dyDescent="0.25">
      <c r="B158" t="s">
        <v>1013</v>
      </c>
      <c r="C158" t="s">
        <v>338</v>
      </c>
      <c r="D158" t="s">
        <v>38</v>
      </c>
      <c r="E158" t="s">
        <v>1261</v>
      </c>
      <c r="F158" t="s">
        <v>424</v>
      </c>
      <c r="G158" s="7">
        <v>22.56</v>
      </c>
      <c r="H158" s="7">
        <v>21.32</v>
      </c>
      <c r="I158" s="7">
        <f t="shared" si="0"/>
        <v>1.2399999999999984</v>
      </c>
      <c r="J158" t="s">
        <v>1158</v>
      </c>
    </row>
    <row r="159" spans="2:10" x14ac:dyDescent="0.25">
      <c r="B159" t="s">
        <v>1013</v>
      </c>
      <c r="C159" t="s">
        <v>37</v>
      </c>
      <c r="D159" t="s">
        <v>38</v>
      </c>
      <c r="E159" t="s">
        <v>1261</v>
      </c>
      <c r="F159" t="s">
        <v>426</v>
      </c>
      <c r="G159" s="7">
        <v>18.8</v>
      </c>
      <c r="H159" s="7">
        <v>17.77</v>
      </c>
      <c r="I159" s="7">
        <f t="shared" si="0"/>
        <v>1.0300000000000011</v>
      </c>
      <c r="J159" t="s">
        <v>1158</v>
      </c>
    </row>
    <row r="160" spans="2:10" x14ac:dyDescent="0.25">
      <c r="B160" t="s">
        <v>323</v>
      </c>
      <c r="C160" t="s">
        <v>338</v>
      </c>
      <c r="D160" t="s">
        <v>38</v>
      </c>
      <c r="E160" t="s">
        <v>1285</v>
      </c>
      <c r="F160" t="s">
        <v>424</v>
      </c>
      <c r="G160" s="7">
        <v>300</v>
      </c>
      <c r="H160" s="7">
        <v>283.5</v>
      </c>
      <c r="I160" s="7">
        <f t="shared" si="0"/>
        <v>16.5</v>
      </c>
      <c r="J160" t="s">
        <v>1158</v>
      </c>
    </row>
    <row r="161" spans="2:10" x14ac:dyDescent="0.25">
      <c r="B161" t="s">
        <v>323</v>
      </c>
      <c r="C161" t="s">
        <v>37</v>
      </c>
      <c r="D161" t="s">
        <v>38</v>
      </c>
      <c r="E161" t="s">
        <v>1285</v>
      </c>
      <c r="F161" t="s">
        <v>426</v>
      </c>
      <c r="G161" s="7">
        <v>250</v>
      </c>
      <c r="H161" s="7">
        <v>236.25</v>
      </c>
      <c r="I161" s="7">
        <f t="shared" si="0"/>
        <v>13.75</v>
      </c>
      <c r="J161" t="s">
        <v>1158</v>
      </c>
    </row>
    <row r="162" spans="2:10" x14ac:dyDescent="0.25">
      <c r="B162" t="s">
        <v>323</v>
      </c>
      <c r="C162" t="s">
        <v>338</v>
      </c>
      <c r="D162" t="s">
        <v>38</v>
      </c>
      <c r="E162" t="s">
        <v>1286</v>
      </c>
      <c r="F162" t="s">
        <v>424</v>
      </c>
      <c r="G162" s="7">
        <v>0</v>
      </c>
      <c r="H162" s="7">
        <v>0</v>
      </c>
      <c r="I162" s="7">
        <f t="shared" si="0"/>
        <v>0</v>
      </c>
      <c r="J162" t="s">
        <v>1158</v>
      </c>
    </row>
    <row r="163" spans="2:10" x14ac:dyDescent="0.25">
      <c r="B163" t="s">
        <v>323</v>
      </c>
      <c r="C163" t="s">
        <v>37</v>
      </c>
      <c r="D163" t="s">
        <v>38</v>
      </c>
      <c r="E163" t="s">
        <v>1286</v>
      </c>
      <c r="F163" t="s">
        <v>426</v>
      </c>
      <c r="G163" s="7">
        <v>0</v>
      </c>
      <c r="H163" s="7">
        <v>0</v>
      </c>
      <c r="I163" s="7">
        <f t="shared" si="0"/>
        <v>0</v>
      </c>
      <c r="J163" t="s">
        <v>1158</v>
      </c>
    </row>
    <row r="164" spans="2:10" x14ac:dyDescent="0.25">
      <c r="I164" s="7"/>
    </row>
    <row r="165" spans="2:10" x14ac:dyDescent="0.25">
      <c r="E165" s="8" t="s">
        <v>368</v>
      </c>
      <c r="I165" s="7"/>
    </row>
    <row r="166" spans="2:10" x14ac:dyDescent="0.25">
      <c r="E166" s="8" t="s">
        <v>370</v>
      </c>
      <c r="F166" s="1"/>
      <c r="I166" s="7"/>
    </row>
    <row r="167" spans="2:10" x14ac:dyDescent="0.25">
      <c r="B167" t="s">
        <v>172</v>
      </c>
      <c r="C167" t="s">
        <v>338</v>
      </c>
      <c r="D167" t="s">
        <v>38</v>
      </c>
      <c r="E167" t="s">
        <v>1198</v>
      </c>
      <c r="F167" t="s">
        <v>424</v>
      </c>
      <c r="G167" s="7">
        <v>144</v>
      </c>
      <c r="H167" s="7">
        <v>136.08000000000001</v>
      </c>
      <c r="I167" s="7">
        <f>G167-H167</f>
        <v>7.9199999999999875</v>
      </c>
      <c r="J167" t="s">
        <v>1158</v>
      </c>
    </row>
    <row r="168" spans="2:10" x14ac:dyDescent="0.25">
      <c r="B168" t="s">
        <v>172</v>
      </c>
      <c r="C168" t="s">
        <v>37</v>
      </c>
      <c r="D168" t="s">
        <v>38</v>
      </c>
      <c r="E168" t="s">
        <v>1198</v>
      </c>
      <c r="F168" t="s">
        <v>426</v>
      </c>
      <c r="G168" s="7">
        <v>120</v>
      </c>
      <c r="H168" s="7">
        <v>113.4</v>
      </c>
      <c r="I168" s="7">
        <f t="shared" ref="I168:I184" si="1">G168-H168</f>
        <v>6.5999999999999943</v>
      </c>
      <c r="J168" t="s">
        <v>1158</v>
      </c>
    </row>
    <row r="169" spans="2:10" x14ac:dyDescent="0.25">
      <c r="B169" t="s">
        <v>168</v>
      </c>
      <c r="C169" t="s">
        <v>338</v>
      </c>
      <c r="D169" t="s">
        <v>38</v>
      </c>
      <c r="E169" t="s">
        <v>1199</v>
      </c>
      <c r="F169" t="s">
        <v>424</v>
      </c>
      <c r="G169" s="7">
        <v>4.8</v>
      </c>
      <c r="H169" s="7">
        <v>4.54</v>
      </c>
      <c r="I169" s="7">
        <f t="shared" si="1"/>
        <v>0.25999999999999979</v>
      </c>
      <c r="J169" t="s">
        <v>1158</v>
      </c>
    </row>
    <row r="170" spans="2:10" x14ac:dyDescent="0.25">
      <c r="B170" t="s">
        <v>168</v>
      </c>
      <c r="C170" t="s">
        <v>37</v>
      </c>
      <c r="D170" t="s">
        <v>38</v>
      </c>
      <c r="E170" t="s">
        <v>1199</v>
      </c>
      <c r="F170" t="s">
        <v>426</v>
      </c>
      <c r="G170" s="7">
        <v>4</v>
      </c>
      <c r="H170" s="7">
        <v>3.78</v>
      </c>
      <c r="I170" s="7">
        <f t="shared" si="1"/>
        <v>0.2200000000000002</v>
      </c>
      <c r="J170" t="s">
        <v>1158</v>
      </c>
    </row>
    <row r="171" spans="2:10" x14ac:dyDescent="0.25">
      <c r="B171" t="s">
        <v>168</v>
      </c>
      <c r="C171" t="s">
        <v>338</v>
      </c>
      <c r="D171" t="s">
        <v>38</v>
      </c>
      <c r="E171" t="s">
        <v>1200</v>
      </c>
      <c r="F171" t="s">
        <v>424</v>
      </c>
      <c r="G171" s="7">
        <v>240</v>
      </c>
      <c r="H171" s="7">
        <v>226.8</v>
      </c>
      <c r="I171" s="7">
        <f t="shared" si="1"/>
        <v>13.199999999999989</v>
      </c>
      <c r="J171" t="s">
        <v>1158</v>
      </c>
    </row>
    <row r="172" spans="2:10" x14ac:dyDescent="0.25">
      <c r="B172" t="s">
        <v>168</v>
      </c>
      <c r="C172" t="s">
        <v>37</v>
      </c>
      <c r="D172" t="s">
        <v>38</v>
      </c>
      <c r="E172" t="s">
        <v>1200</v>
      </c>
      <c r="F172" t="s">
        <v>426</v>
      </c>
      <c r="G172" s="7">
        <v>200</v>
      </c>
      <c r="H172" s="7">
        <v>189</v>
      </c>
      <c r="I172" s="7">
        <f t="shared" si="1"/>
        <v>11</v>
      </c>
      <c r="J172" t="s">
        <v>1158</v>
      </c>
    </row>
    <row r="173" spans="2:10" x14ac:dyDescent="0.25">
      <c r="B173" t="s">
        <v>168</v>
      </c>
      <c r="C173" t="s">
        <v>338</v>
      </c>
      <c r="D173" t="s">
        <v>38</v>
      </c>
      <c r="E173" t="s">
        <v>1249</v>
      </c>
      <c r="F173" t="s">
        <v>424</v>
      </c>
      <c r="G173" s="7">
        <v>2.4</v>
      </c>
      <c r="H173" s="7">
        <v>2.27</v>
      </c>
      <c r="I173" s="7">
        <f t="shared" si="1"/>
        <v>0.12999999999999989</v>
      </c>
      <c r="J173" t="s">
        <v>1158</v>
      </c>
    </row>
    <row r="174" spans="2:10" x14ac:dyDescent="0.25">
      <c r="B174" t="s">
        <v>168</v>
      </c>
      <c r="C174" t="s">
        <v>37</v>
      </c>
      <c r="D174" t="s">
        <v>38</v>
      </c>
      <c r="E174" t="s">
        <v>1249</v>
      </c>
      <c r="F174" t="s">
        <v>426</v>
      </c>
      <c r="G174" s="7">
        <v>2</v>
      </c>
      <c r="H174" s="7">
        <v>1.89</v>
      </c>
      <c r="I174" s="7">
        <f t="shared" si="1"/>
        <v>0.1100000000000001</v>
      </c>
      <c r="J174" t="s">
        <v>1158</v>
      </c>
    </row>
    <row r="175" spans="2:10" x14ac:dyDescent="0.25">
      <c r="B175" t="s">
        <v>168</v>
      </c>
      <c r="C175" t="s">
        <v>338</v>
      </c>
      <c r="D175" t="s">
        <v>38</v>
      </c>
      <c r="E175" t="s">
        <v>1201</v>
      </c>
      <c r="F175" t="s">
        <v>426</v>
      </c>
      <c r="G175" s="7">
        <v>19.2</v>
      </c>
      <c r="H175" s="7">
        <v>18.14</v>
      </c>
      <c r="I175" s="7">
        <f t="shared" si="1"/>
        <v>1.0599999999999987</v>
      </c>
      <c r="J175" t="s">
        <v>1158</v>
      </c>
    </row>
    <row r="176" spans="2:10" x14ac:dyDescent="0.25">
      <c r="B176" t="s">
        <v>159</v>
      </c>
      <c r="C176" t="s">
        <v>37</v>
      </c>
      <c r="D176" t="s">
        <v>38</v>
      </c>
      <c r="E176" t="s">
        <v>1201</v>
      </c>
      <c r="F176" t="s">
        <v>426</v>
      </c>
      <c r="G176" s="7">
        <v>16</v>
      </c>
      <c r="H176" s="7">
        <v>15.12</v>
      </c>
      <c r="I176" s="7">
        <f t="shared" si="1"/>
        <v>0.88000000000000078</v>
      </c>
      <c r="J176" t="s">
        <v>1158</v>
      </c>
    </row>
    <row r="177" spans="2:10" x14ac:dyDescent="0.25">
      <c r="B177" t="s">
        <v>161</v>
      </c>
      <c r="C177" t="s">
        <v>338</v>
      </c>
      <c r="D177" t="s">
        <v>38</v>
      </c>
      <c r="E177" t="s">
        <v>1202</v>
      </c>
      <c r="F177" t="s">
        <v>424</v>
      </c>
      <c r="G177" s="7">
        <v>33.6</v>
      </c>
      <c r="H177" s="7">
        <v>31.85</v>
      </c>
      <c r="I177" s="7">
        <f t="shared" si="1"/>
        <v>1.75</v>
      </c>
      <c r="J177" t="s">
        <v>1158</v>
      </c>
    </row>
    <row r="178" spans="2:10" x14ac:dyDescent="0.25">
      <c r="B178" t="s">
        <v>161</v>
      </c>
      <c r="C178" t="s">
        <v>37</v>
      </c>
      <c r="D178" t="s">
        <v>38</v>
      </c>
      <c r="E178" t="s">
        <v>1202</v>
      </c>
      <c r="F178" t="s">
        <v>426</v>
      </c>
      <c r="G178" s="7">
        <v>28</v>
      </c>
      <c r="H178" s="7">
        <v>26.46</v>
      </c>
      <c r="I178" s="7">
        <f t="shared" si="1"/>
        <v>1.5399999999999991</v>
      </c>
      <c r="J178" t="s">
        <v>1158</v>
      </c>
    </row>
    <row r="179" spans="2:10" x14ac:dyDescent="0.25">
      <c r="B179" t="s">
        <v>167</v>
      </c>
      <c r="C179" t="s">
        <v>37</v>
      </c>
      <c r="D179" t="s">
        <v>38</v>
      </c>
      <c r="E179" t="s">
        <v>1203</v>
      </c>
      <c r="F179" t="s">
        <v>426</v>
      </c>
      <c r="G179" s="7">
        <v>0</v>
      </c>
      <c r="H179" s="7">
        <v>0</v>
      </c>
      <c r="I179" s="7">
        <f t="shared" si="1"/>
        <v>0</v>
      </c>
      <c r="J179" t="s">
        <v>1158</v>
      </c>
    </row>
    <row r="180" spans="2:10" x14ac:dyDescent="0.25">
      <c r="B180" t="s">
        <v>167</v>
      </c>
      <c r="C180" t="s">
        <v>37</v>
      </c>
      <c r="D180" t="s">
        <v>38</v>
      </c>
      <c r="E180" t="s">
        <v>1203</v>
      </c>
      <c r="F180" t="s">
        <v>426</v>
      </c>
      <c r="G180" s="7">
        <v>0</v>
      </c>
      <c r="H180" s="7">
        <v>0</v>
      </c>
      <c r="I180" s="7">
        <f t="shared" si="1"/>
        <v>0</v>
      </c>
      <c r="J180" t="s">
        <v>1158</v>
      </c>
    </row>
    <row r="181" spans="2:10" x14ac:dyDescent="0.25">
      <c r="B181" t="s">
        <v>163</v>
      </c>
      <c r="C181" t="s">
        <v>338</v>
      </c>
      <c r="D181" t="s">
        <v>38</v>
      </c>
      <c r="E181" t="s">
        <v>1204</v>
      </c>
      <c r="F181" t="s">
        <v>424</v>
      </c>
      <c r="G181" s="7">
        <v>48</v>
      </c>
      <c r="H181" s="7">
        <v>45.36</v>
      </c>
      <c r="I181" s="7">
        <f t="shared" si="1"/>
        <v>2.6400000000000006</v>
      </c>
      <c r="J181" t="s">
        <v>1158</v>
      </c>
    </row>
    <row r="182" spans="2:10" x14ac:dyDescent="0.25">
      <c r="B182" t="s">
        <v>163</v>
      </c>
      <c r="C182" t="s">
        <v>37</v>
      </c>
      <c r="D182" t="s">
        <v>38</v>
      </c>
      <c r="E182" t="s">
        <v>1204</v>
      </c>
      <c r="F182" t="s">
        <v>426</v>
      </c>
      <c r="G182" s="7">
        <v>40</v>
      </c>
      <c r="H182" s="7">
        <v>37.799999999999997</v>
      </c>
      <c r="I182" s="7">
        <f t="shared" si="1"/>
        <v>2.2000000000000028</v>
      </c>
      <c r="J182" t="s">
        <v>1158</v>
      </c>
    </row>
    <row r="183" spans="2:10" x14ac:dyDescent="0.25">
      <c r="B183" t="s">
        <v>165</v>
      </c>
      <c r="C183" t="s">
        <v>338</v>
      </c>
      <c r="D183" t="s">
        <v>38</v>
      </c>
      <c r="E183" t="s">
        <v>1205</v>
      </c>
      <c r="F183" t="s">
        <v>424</v>
      </c>
      <c r="G183" s="7">
        <v>3.84</v>
      </c>
      <c r="H183" s="7">
        <v>3.63</v>
      </c>
      <c r="I183" s="7">
        <f t="shared" si="1"/>
        <v>0.20999999999999996</v>
      </c>
      <c r="J183" t="s">
        <v>1158</v>
      </c>
    </row>
    <row r="184" spans="2:10" x14ac:dyDescent="0.25">
      <c r="B184" t="s">
        <v>165</v>
      </c>
      <c r="C184" t="s">
        <v>37</v>
      </c>
      <c r="D184" t="s">
        <v>38</v>
      </c>
      <c r="E184" t="s">
        <v>1205</v>
      </c>
      <c r="F184" t="s">
        <v>426</v>
      </c>
      <c r="G184" s="7">
        <v>3.2</v>
      </c>
      <c r="H184" s="7">
        <v>3.02</v>
      </c>
      <c r="I184" s="7">
        <f t="shared" si="1"/>
        <v>0.18000000000000016</v>
      </c>
      <c r="J184" t="s">
        <v>1158</v>
      </c>
    </row>
    <row r="185" spans="2:10" x14ac:dyDescent="0.25">
      <c r="I185" s="7"/>
    </row>
    <row r="186" spans="2:10" x14ac:dyDescent="0.25">
      <c r="E186" s="8" t="s">
        <v>383</v>
      </c>
      <c r="I186" s="7"/>
    </row>
    <row r="187" spans="2:10" x14ac:dyDescent="0.25">
      <c r="B187" t="s">
        <v>191</v>
      </c>
      <c r="C187" t="s">
        <v>37</v>
      </c>
      <c r="D187" t="s">
        <v>38</v>
      </c>
      <c r="E187" t="s">
        <v>1206</v>
      </c>
      <c r="F187" t="s">
        <v>426</v>
      </c>
      <c r="G187" s="7">
        <v>15</v>
      </c>
      <c r="H187" s="7">
        <v>14.18</v>
      </c>
      <c r="I187" s="7">
        <f t="shared" si="0"/>
        <v>0.82000000000000028</v>
      </c>
      <c r="J187" t="s">
        <v>1158</v>
      </c>
    </row>
    <row r="188" spans="2:10" x14ac:dyDescent="0.25">
      <c r="I188" s="7"/>
    </row>
    <row r="189" spans="2:10" x14ac:dyDescent="0.25">
      <c r="E189" s="8" t="s">
        <v>394</v>
      </c>
      <c r="I189" s="7"/>
    </row>
    <row r="190" spans="2:10" x14ac:dyDescent="0.25">
      <c r="B190" t="s">
        <v>733</v>
      </c>
      <c r="C190" t="s">
        <v>37</v>
      </c>
      <c r="D190" t="s">
        <v>38</v>
      </c>
      <c r="E190" t="s">
        <v>1207</v>
      </c>
      <c r="F190" t="s">
        <v>426</v>
      </c>
      <c r="G190" s="7">
        <v>42</v>
      </c>
      <c r="H190" s="7">
        <v>39.69</v>
      </c>
      <c r="I190" s="7">
        <f t="shared" si="0"/>
        <v>2.3100000000000023</v>
      </c>
      <c r="J190" t="s">
        <v>1158</v>
      </c>
    </row>
    <row r="191" spans="2:10" x14ac:dyDescent="0.25">
      <c r="B191" t="s">
        <v>272</v>
      </c>
      <c r="C191" t="s">
        <v>37</v>
      </c>
      <c r="D191" t="s">
        <v>38</v>
      </c>
      <c r="E191" t="s">
        <v>1208</v>
      </c>
      <c r="F191" t="s">
        <v>426</v>
      </c>
      <c r="G191" s="7">
        <v>18.8</v>
      </c>
      <c r="H191" s="7">
        <v>17.77</v>
      </c>
      <c r="I191" s="7">
        <f t="shared" si="0"/>
        <v>1.0300000000000011</v>
      </c>
      <c r="J191" t="s">
        <v>1158</v>
      </c>
    </row>
    <row r="192" spans="2:10" x14ac:dyDescent="0.25">
      <c r="B192" t="s">
        <v>431</v>
      </c>
      <c r="C192" t="s">
        <v>37</v>
      </c>
      <c r="D192" t="s">
        <v>38</v>
      </c>
      <c r="E192" t="s">
        <v>1209</v>
      </c>
      <c r="F192" t="s">
        <v>426</v>
      </c>
      <c r="G192" s="7">
        <v>22.5</v>
      </c>
      <c r="H192" s="7">
        <v>21.26</v>
      </c>
      <c r="I192" s="7">
        <f t="shared" si="0"/>
        <v>1.2399999999999984</v>
      </c>
      <c r="J192" t="s">
        <v>1158</v>
      </c>
    </row>
    <row r="193" spans="2:10" x14ac:dyDescent="0.25">
      <c r="B193" t="s">
        <v>266</v>
      </c>
      <c r="C193" t="s">
        <v>37</v>
      </c>
      <c r="D193" t="s">
        <v>38</v>
      </c>
      <c r="E193" t="s">
        <v>1210</v>
      </c>
      <c r="F193" t="s">
        <v>426</v>
      </c>
      <c r="G193" s="7">
        <v>23.8</v>
      </c>
      <c r="H193" s="7">
        <v>22.49</v>
      </c>
      <c r="I193" s="7">
        <f t="shared" si="0"/>
        <v>1.3100000000000023</v>
      </c>
      <c r="J193" t="s">
        <v>1158</v>
      </c>
    </row>
    <row r="194" spans="2:10" x14ac:dyDescent="0.25">
      <c r="B194" t="s">
        <v>266</v>
      </c>
      <c r="C194" t="s">
        <v>37</v>
      </c>
      <c r="D194" t="s">
        <v>38</v>
      </c>
      <c r="E194" t="s">
        <v>1211</v>
      </c>
      <c r="F194" t="s">
        <v>426</v>
      </c>
      <c r="G194" s="7">
        <v>5</v>
      </c>
      <c r="H194" s="7">
        <v>4.7300000000000004</v>
      </c>
      <c r="I194" s="7">
        <f t="shared" si="0"/>
        <v>0.26999999999999957</v>
      </c>
      <c r="J194" t="s">
        <v>1158</v>
      </c>
    </row>
    <row r="195" spans="2:10" x14ac:dyDescent="0.25">
      <c r="B195" t="s">
        <v>269</v>
      </c>
      <c r="C195" t="s">
        <v>37</v>
      </c>
      <c r="D195" t="s">
        <v>38</v>
      </c>
      <c r="E195" t="s">
        <v>1212</v>
      </c>
      <c r="F195" t="s">
        <v>426</v>
      </c>
      <c r="G195" s="7">
        <v>12.5</v>
      </c>
      <c r="H195" s="7">
        <v>11.81</v>
      </c>
      <c r="I195" s="7">
        <f t="shared" si="0"/>
        <v>0.6899999999999995</v>
      </c>
      <c r="J195" t="s">
        <v>1158</v>
      </c>
    </row>
    <row r="196" spans="2:10" x14ac:dyDescent="0.25">
      <c r="E196" t="s">
        <v>1213</v>
      </c>
      <c r="F196" t="s">
        <v>424</v>
      </c>
      <c r="G196" s="7">
        <v>6</v>
      </c>
      <c r="H196" s="7">
        <v>5.67</v>
      </c>
      <c r="I196" s="7">
        <f t="shared" si="0"/>
        <v>0.33000000000000007</v>
      </c>
      <c r="J196" t="s">
        <v>1158</v>
      </c>
    </row>
    <row r="197" spans="2:10" x14ac:dyDescent="0.25">
      <c r="B197" t="s">
        <v>269</v>
      </c>
      <c r="C197" t="s">
        <v>37</v>
      </c>
      <c r="D197" t="s">
        <v>38</v>
      </c>
      <c r="E197" t="s">
        <v>1213</v>
      </c>
      <c r="F197" t="s">
        <v>426</v>
      </c>
      <c r="G197" s="7">
        <v>5</v>
      </c>
      <c r="H197" s="7">
        <v>4.7300000000000004</v>
      </c>
      <c r="I197" s="7">
        <f t="shared" si="0"/>
        <v>0.26999999999999957</v>
      </c>
      <c r="J197" t="s">
        <v>1158</v>
      </c>
    </row>
    <row r="198" spans="2:10" x14ac:dyDescent="0.25">
      <c r="B198" t="s">
        <v>438</v>
      </c>
      <c r="C198" t="s">
        <v>338</v>
      </c>
      <c r="D198" t="s">
        <v>38</v>
      </c>
      <c r="E198" t="s">
        <v>1214</v>
      </c>
      <c r="F198" t="s">
        <v>424</v>
      </c>
      <c r="G198" s="7">
        <v>22.56</v>
      </c>
      <c r="H198" s="7">
        <v>21.32</v>
      </c>
      <c r="I198" s="7">
        <f t="shared" si="0"/>
        <v>1.2399999999999984</v>
      </c>
      <c r="J198" t="s">
        <v>1158</v>
      </c>
    </row>
    <row r="199" spans="2:10" x14ac:dyDescent="0.25">
      <c r="B199" t="s">
        <v>438</v>
      </c>
      <c r="C199" t="s">
        <v>37</v>
      </c>
      <c r="D199" t="s">
        <v>38</v>
      </c>
      <c r="E199" t="s">
        <v>1214</v>
      </c>
      <c r="F199" t="s">
        <v>426</v>
      </c>
      <c r="G199" s="7">
        <v>18.8</v>
      </c>
      <c r="H199" s="7">
        <v>17.77</v>
      </c>
      <c r="I199" s="7">
        <f t="shared" si="0"/>
        <v>1.0300000000000011</v>
      </c>
      <c r="J199" t="s">
        <v>1158</v>
      </c>
    </row>
    <row r="200" spans="2:10" x14ac:dyDescent="0.25">
      <c r="I200" s="7"/>
    </row>
    <row r="201" spans="2:10" x14ac:dyDescent="0.25">
      <c r="B201" t="s">
        <v>726</v>
      </c>
      <c r="C201" t="s">
        <v>37</v>
      </c>
      <c r="D201" t="s">
        <v>38</v>
      </c>
      <c r="E201" t="s">
        <v>1327</v>
      </c>
      <c r="F201" t="s">
        <v>426</v>
      </c>
      <c r="G201" s="7">
        <v>425</v>
      </c>
      <c r="H201" s="7">
        <v>401.625</v>
      </c>
      <c r="I201" s="7">
        <f>G201-H201</f>
        <v>23.375</v>
      </c>
      <c r="J201" t="s">
        <v>1158</v>
      </c>
    </row>
    <row r="202" spans="2:10" x14ac:dyDescent="0.25">
      <c r="B202" t="s">
        <v>726</v>
      </c>
      <c r="C202" t="s">
        <v>373</v>
      </c>
      <c r="D202" t="s">
        <v>38</v>
      </c>
      <c r="E202" t="s">
        <v>1327</v>
      </c>
      <c r="F202" t="s">
        <v>427</v>
      </c>
      <c r="G202" s="7">
        <v>425</v>
      </c>
      <c r="H202" s="7">
        <v>401.625</v>
      </c>
      <c r="I202" s="7">
        <f t="shared" ref="I202:I226" si="2">G202-H202</f>
        <v>23.375</v>
      </c>
      <c r="J202" t="s">
        <v>1158</v>
      </c>
    </row>
    <row r="203" spans="2:10" x14ac:dyDescent="0.25">
      <c r="B203" t="s">
        <v>726</v>
      </c>
      <c r="C203" t="s">
        <v>338</v>
      </c>
      <c r="D203" t="s">
        <v>38</v>
      </c>
      <c r="E203" t="s">
        <v>1327</v>
      </c>
      <c r="F203" t="s">
        <v>424</v>
      </c>
      <c r="G203" s="7">
        <v>510</v>
      </c>
      <c r="H203" s="7">
        <v>481.95</v>
      </c>
      <c r="I203" s="7">
        <f t="shared" si="2"/>
        <v>28.050000000000011</v>
      </c>
      <c r="J203" t="s">
        <v>1158</v>
      </c>
    </row>
    <row r="204" spans="2:10" x14ac:dyDescent="0.25">
      <c r="B204" t="s">
        <v>726</v>
      </c>
      <c r="C204" t="s">
        <v>37</v>
      </c>
      <c r="D204" t="s">
        <v>38</v>
      </c>
      <c r="E204" t="s">
        <v>1328</v>
      </c>
      <c r="F204" t="s">
        <v>426</v>
      </c>
      <c r="G204" s="7">
        <v>62.5</v>
      </c>
      <c r="H204" s="7">
        <v>62.5</v>
      </c>
      <c r="I204" s="7">
        <f t="shared" si="2"/>
        <v>0</v>
      </c>
      <c r="J204" t="s">
        <v>1158</v>
      </c>
    </row>
    <row r="205" spans="2:10" x14ac:dyDescent="0.25">
      <c r="B205" t="s">
        <v>726</v>
      </c>
      <c r="C205" t="s">
        <v>373</v>
      </c>
      <c r="D205" t="s">
        <v>38</v>
      </c>
      <c r="E205" t="s">
        <v>1328</v>
      </c>
      <c r="F205" t="s">
        <v>427</v>
      </c>
      <c r="G205" s="7">
        <v>62.5</v>
      </c>
      <c r="H205" s="7">
        <v>62.5</v>
      </c>
      <c r="I205" s="7">
        <f t="shared" si="2"/>
        <v>0</v>
      </c>
      <c r="J205" t="s">
        <v>1158</v>
      </c>
    </row>
    <row r="206" spans="2:10" x14ac:dyDescent="0.25">
      <c r="B206" t="s">
        <v>726</v>
      </c>
      <c r="C206" t="s">
        <v>338</v>
      </c>
      <c r="D206" t="s">
        <v>38</v>
      </c>
      <c r="E206" t="s">
        <v>1328</v>
      </c>
      <c r="F206" t="s">
        <v>424</v>
      </c>
      <c r="G206" s="7">
        <v>75</v>
      </c>
      <c r="H206" s="7">
        <v>70.875</v>
      </c>
      <c r="I206" s="7">
        <f t="shared" si="2"/>
        <v>4.125</v>
      </c>
      <c r="J206" t="s">
        <v>1158</v>
      </c>
    </row>
    <row r="207" spans="2:10" x14ac:dyDescent="0.25">
      <c r="B207" t="s">
        <v>726</v>
      </c>
      <c r="C207" t="s">
        <v>37</v>
      </c>
      <c r="D207" t="s">
        <v>38</v>
      </c>
      <c r="E207" t="s">
        <v>1329</v>
      </c>
      <c r="F207" t="s">
        <v>426</v>
      </c>
      <c r="G207" s="7">
        <v>375</v>
      </c>
      <c r="H207" s="7">
        <v>375</v>
      </c>
      <c r="I207" s="7">
        <f t="shared" si="2"/>
        <v>0</v>
      </c>
      <c r="J207" t="s">
        <v>1158</v>
      </c>
    </row>
    <row r="208" spans="2:10" x14ac:dyDescent="0.25">
      <c r="B208" t="s">
        <v>726</v>
      </c>
      <c r="C208" t="s">
        <v>373</v>
      </c>
      <c r="D208" t="s">
        <v>38</v>
      </c>
      <c r="E208" t="s">
        <v>1329</v>
      </c>
      <c r="F208" t="s">
        <v>427</v>
      </c>
      <c r="G208" s="7">
        <v>375</v>
      </c>
      <c r="H208" s="7">
        <v>375</v>
      </c>
      <c r="I208" s="7">
        <f t="shared" si="2"/>
        <v>0</v>
      </c>
      <c r="J208" t="s">
        <v>1158</v>
      </c>
    </row>
    <row r="209" spans="2:10" x14ac:dyDescent="0.25">
      <c r="B209" t="s">
        <v>726</v>
      </c>
      <c r="C209" t="s">
        <v>338</v>
      </c>
      <c r="D209" t="s">
        <v>38</v>
      </c>
      <c r="E209" t="s">
        <v>1329</v>
      </c>
      <c r="F209" t="s">
        <v>424</v>
      </c>
      <c r="G209" s="7">
        <v>450</v>
      </c>
      <c r="H209" s="7">
        <v>425.25</v>
      </c>
      <c r="I209" s="7">
        <f t="shared" si="2"/>
        <v>24.75</v>
      </c>
      <c r="J209" t="s">
        <v>1158</v>
      </c>
    </row>
    <row r="210" spans="2:10" x14ac:dyDescent="0.25">
      <c r="B210" t="s">
        <v>726</v>
      </c>
      <c r="C210" t="s">
        <v>37</v>
      </c>
      <c r="D210" t="s">
        <v>38</v>
      </c>
      <c r="E210" t="s">
        <v>1330</v>
      </c>
      <c r="F210" t="s">
        <v>426</v>
      </c>
      <c r="G210" s="7">
        <v>250</v>
      </c>
      <c r="H210" s="7">
        <v>250</v>
      </c>
      <c r="I210" s="7">
        <f t="shared" si="2"/>
        <v>0</v>
      </c>
      <c r="J210" t="s">
        <v>1158</v>
      </c>
    </row>
    <row r="211" spans="2:10" x14ac:dyDescent="0.25">
      <c r="B211" t="s">
        <v>726</v>
      </c>
      <c r="C211" t="s">
        <v>373</v>
      </c>
      <c r="D211" t="s">
        <v>38</v>
      </c>
      <c r="E211" t="s">
        <v>1330</v>
      </c>
      <c r="F211" t="s">
        <v>427</v>
      </c>
      <c r="G211" s="7">
        <v>250</v>
      </c>
      <c r="H211" s="7">
        <v>250</v>
      </c>
      <c r="I211" s="7">
        <f t="shared" si="2"/>
        <v>0</v>
      </c>
      <c r="J211" t="s">
        <v>1158</v>
      </c>
    </row>
    <row r="212" spans="2:10" x14ac:dyDescent="0.25">
      <c r="B212" t="s">
        <v>726</v>
      </c>
      <c r="C212" t="s">
        <v>338</v>
      </c>
      <c r="D212" t="s">
        <v>38</v>
      </c>
      <c r="E212" t="s">
        <v>1330</v>
      </c>
      <c r="F212" t="s">
        <v>424</v>
      </c>
      <c r="G212" s="7">
        <v>300</v>
      </c>
      <c r="H212" s="7">
        <v>283.5</v>
      </c>
      <c r="I212" s="7">
        <f t="shared" si="2"/>
        <v>16.5</v>
      </c>
      <c r="J212" t="s">
        <v>1158</v>
      </c>
    </row>
    <row r="213" spans="2:10" x14ac:dyDescent="0.25">
      <c r="B213" t="s">
        <v>726</v>
      </c>
      <c r="C213" t="s">
        <v>37</v>
      </c>
      <c r="D213" t="s">
        <v>38</v>
      </c>
      <c r="E213" t="s">
        <v>1331</v>
      </c>
      <c r="F213" t="s">
        <v>426</v>
      </c>
      <c r="G213" s="7">
        <v>125</v>
      </c>
      <c r="H213" s="7">
        <v>125</v>
      </c>
      <c r="I213" s="7">
        <f t="shared" si="2"/>
        <v>0</v>
      </c>
      <c r="J213" t="s">
        <v>1158</v>
      </c>
    </row>
    <row r="214" spans="2:10" x14ac:dyDescent="0.25">
      <c r="B214" t="s">
        <v>726</v>
      </c>
      <c r="C214" t="s">
        <v>373</v>
      </c>
      <c r="D214" t="s">
        <v>38</v>
      </c>
      <c r="E214" t="s">
        <v>1331</v>
      </c>
      <c r="F214" t="s">
        <v>427</v>
      </c>
      <c r="G214" s="7">
        <v>125</v>
      </c>
      <c r="H214" s="7">
        <v>125</v>
      </c>
      <c r="I214" s="7">
        <f t="shared" si="2"/>
        <v>0</v>
      </c>
      <c r="J214" t="s">
        <v>1158</v>
      </c>
    </row>
    <row r="215" spans="2:10" x14ac:dyDescent="0.25">
      <c r="B215" t="s">
        <v>726</v>
      </c>
      <c r="C215" t="s">
        <v>338</v>
      </c>
      <c r="D215" t="s">
        <v>38</v>
      </c>
      <c r="E215" t="s">
        <v>1331</v>
      </c>
      <c r="F215" t="s">
        <v>424</v>
      </c>
      <c r="G215" s="7">
        <v>150</v>
      </c>
      <c r="H215" s="7">
        <v>141.75</v>
      </c>
      <c r="I215" s="7">
        <f t="shared" si="2"/>
        <v>8.25</v>
      </c>
      <c r="J215" t="s">
        <v>1158</v>
      </c>
    </row>
    <row r="216" spans="2:10" x14ac:dyDescent="0.25">
      <c r="B216" t="s">
        <v>726</v>
      </c>
      <c r="C216" t="s">
        <v>37</v>
      </c>
      <c r="D216" t="s">
        <v>38</v>
      </c>
      <c r="E216" t="s">
        <v>1332</v>
      </c>
      <c r="F216" t="s">
        <v>426</v>
      </c>
      <c r="G216" s="7">
        <v>0</v>
      </c>
      <c r="H216" s="7">
        <v>0</v>
      </c>
      <c r="I216" s="7">
        <f t="shared" si="2"/>
        <v>0</v>
      </c>
      <c r="J216" t="s">
        <v>1158</v>
      </c>
    </row>
    <row r="217" spans="2:10" x14ac:dyDescent="0.25">
      <c r="B217" t="s">
        <v>726</v>
      </c>
      <c r="C217" t="s">
        <v>373</v>
      </c>
      <c r="D217" t="s">
        <v>38</v>
      </c>
      <c r="E217" t="s">
        <v>1332</v>
      </c>
      <c r="F217" t="s">
        <v>427</v>
      </c>
      <c r="G217" s="7">
        <v>0</v>
      </c>
      <c r="H217" s="7">
        <v>0</v>
      </c>
      <c r="I217" s="7">
        <f t="shared" si="2"/>
        <v>0</v>
      </c>
      <c r="J217" t="s">
        <v>1158</v>
      </c>
    </row>
    <row r="218" spans="2:10" x14ac:dyDescent="0.25">
      <c r="B218" t="s">
        <v>726</v>
      </c>
      <c r="C218" t="s">
        <v>338</v>
      </c>
      <c r="D218" t="s">
        <v>38</v>
      </c>
      <c r="E218" t="s">
        <v>1332</v>
      </c>
      <c r="F218" t="s">
        <v>424</v>
      </c>
      <c r="G218" s="7">
        <v>0</v>
      </c>
      <c r="H218" s="7">
        <v>0</v>
      </c>
      <c r="I218" s="7">
        <f t="shared" si="2"/>
        <v>0</v>
      </c>
      <c r="J218" t="s">
        <v>1158</v>
      </c>
    </row>
    <row r="219" spans="2:10" x14ac:dyDescent="0.25">
      <c r="B219" t="s">
        <v>726</v>
      </c>
      <c r="C219" t="s">
        <v>37</v>
      </c>
      <c r="D219" t="s">
        <v>38</v>
      </c>
      <c r="E219" t="s">
        <v>1333</v>
      </c>
      <c r="F219" t="s">
        <v>426</v>
      </c>
      <c r="G219" s="7">
        <v>75</v>
      </c>
      <c r="H219" s="7">
        <v>75</v>
      </c>
      <c r="I219" s="7">
        <f t="shared" si="2"/>
        <v>0</v>
      </c>
      <c r="J219" t="s">
        <v>1158</v>
      </c>
    </row>
    <row r="220" spans="2:10" x14ac:dyDescent="0.25">
      <c r="B220" t="s">
        <v>726</v>
      </c>
      <c r="C220" t="s">
        <v>338</v>
      </c>
      <c r="D220" t="s">
        <v>38</v>
      </c>
      <c r="E220" t="s">
        <v>1333</v>
      </c>
      <c r="F220" t="s">
        <v>424</v>
      </c>
      <c r="G220" s="7">
        <v>90</v>
      </c>
      <c r="H220" s="7">
        <v>85.05</v>
      </c>
      <c r="I220" s="7">
        <f t="shared" si="2"/>
        <v>4.9500000000000028</v>
      </c>
      <c r="J220" t="s">
        <v>1158</v>
      </c>
    </row>
    <row r="221" spans="2:10" x14ac:dyDescent="0.25">
      <c r="B221" t="s">
        <v>726</v>
      </c>
      <c r="C221" t="s">
        <v>37</v>
      </c>
      <c r="D221" t="s">
        <v>38</v>
      </c>
      <c r="E221" t="s">
        <v>1334</v>
      </c>
      <c r="F221" t="s">
        <v>426</v>
      </c>
      <c r="G221" s="7">
        <v>250</v>
      </c>
      <c r="H221" s="7">
        <v>250</v>
      </c>
      <c r="I221" s="7">
        <f t="shared" si="2"/>
        <v>0</v>
      </c>
      <c r="J221" t="s">
        <v>1158</v>
      </c>
    </row>
    <row r="222" spans="2:10" x14ac:dyDescent="0.25">
      <c r="B222" t="s">
        <v>726</v>
      </c>
      <c r="C222" t="s">
        <v>373</v>
      </c>
      <c r="D222" t="s">
        <v>38</v>
      </c>
      <c r="E222" t="s">
        <v>1334</v>
      </c>
      <c r="F222" t="s">
        <v>427</v>
      </c>
      <c r="G222" s="7">
        <v>250</v>
      </c>
      <c r="H222" s="7">
        <v>250</v>
      </c>
      <c r="I222" s="7">
        <f t="shared" si="2"/>
        <v>0</v>
      </c>
      <c r="J222" t="s">
        <v>1158</v>
      </c>
    </row>
    <row r="223" spans="2:10" x14ac:dyDescent="0.25">
      <c r="B223" t="s">
        <v>726</v>
      </c>
      <c r="C223" t="s">
        <v>338</v>
      </c>
      <c r="D223" t="s">
        <v>38</v>
      </c>
      <c r="E223" t="s">
        <v>1334</v>
      </c>
      <c r="F223" t="s">
        <v>424</v>
      </c>
      <c r="G223" s="7">
        <v>300</v>
      </c>
      <c r="H223" s="7">
        <v>283.5</v>
      </c>
      <c r="I223" s="7">
        <f t="shared" si="2"/>
        <v>16.5</v>
      </c>
      <c r="J223" t="s">
        <v>1158</v>
      </c>
    </row>
    <row r="224" spans="2:10" x14ac:dyDescent="0.25">
      <c r="B224" t="s">
        <v>726</v>
      </c>
      <c r="C224" t="s">
        <v>37</v>
      </c>
      <c r="D224" t="s">
        <v>38</v>
      </c>
      <c r="E224" t="s">
        <v>1335</v>
      </c>
      <c r="F224" t="s">
        <v>426</v>
      </c>
      <c r="G224" s="7">
        <v>500</v>
      </c>
      <c r="H224" s="7">
        <v>500</v>
      </c>
      <c r="I224" s="7">
        <f t="shared" si="2"/>
        <v>0</v>
      </c>
      <c r="J224" t="s">
        <v>1158</v>
      </c>
    </row>
    <row r="225" spans="2:10" x14ac:dyDescent="0.25">
      <c r="B225" t="s">
        <v>726</v>
      </c>
      <c r="C225" t="s">
        <v>373</v>
      </c>
      <c r="D225" t="s">
        <v>38</v>
      </c>
      <c r="E225" t="s">
        <v>1335</v>
      </c>
      <c r="F225" t="s">
        <v>427</v>
      </c>
      <c r="G225" s="7">
        <v>500</v>
      </c>
      <c r="H225" s="7">
        <v>500</v>
      </c>
      <c r="I225" s="7">
        <f t="shared" si="2"/>
        <v>0</v>
      </c>
      <c r="J225" t="s">
        <v>1158</v>
      </c>
    </row>
    <row r="226" spans="2:10" x14ac:dyDescent="0.25">
      <c r="B226" t="s">
        <v>726</v>
      </c>
      <c r="C226" t="s">
        <v>338</v>
      </c>
      <c r="D226" t="s">
        <v>38</v>
      </c>
      <c r="E226" t="s">
        <v>1335</v>
      </c>
      <c r="F226" t="s">
        <v>424</v>
      </c>
      <c r="G226" s="7">
        <v>600</v>
      </c>
      <c r="H226" s="7">
        <v>567</v>
      </c>
      <c r="I226" s="7">
        <f t="shared" si="2"/>
        <v>33</v>
      </c>
      <c r="J226" t="s">
        <v>1158</v>
      </c>
    </row>
    <row r="227" spans="2:10" x14ac:dyDescent="0.25">
      <c r="I227" s="7"/>
    </row>
    <row r="228" spans="2:10" x14ac:dyDescent="0.25">
      <c r="E228" s="8" t="s">
        <v>403</v>
      </c>
      <c r="I228" s="7"/>
    </row>
    <row r="229" spans="2:10" x14ac:dyDescent="0.25">
      <c r="B229" t="s">
        <v>280</v>
      </c>
      <c r="C229" t="s">
        <v>338</v>
      </c>
      <c r="D229" t="s">
        <v>38</v>
      </c>
      <c r="E229" t="s">
        <v>1215</v>
      </c>
      <c r="F229" t="s">
        <v>424</v>
      </c>
      <c r="G229" s="7">
        <v>28.56</v>
      </c>
      <c r="H229" s="7">
        <v>26.99</v>
      </c>
      <c r="I229" s="7">
        <f>G229-H229</f>
        <v>1.5700000000000003</v>
      </c>
      <c r="J229" t="s">
        <v>1158</v>
      </c>
    </row>
    <row r="230" spans="2:10" x14ac:dyDescent="0.25">
      <c r="B230" t="s">
        <v>280</v>
      </c>
      <c r="C230" t="s">
        <v>37</v>
      </c>
      <c r="D230" t="s">
        <v>38</v>
      </c>
      <c r="E230" t="s">
        <v>1215</v>
      </c>
      <c r="F230" t="s">
        <v>426</v>
      </c>
      <c r="G230" s="7">
        <v>23.8</v>
      </c>
      <c r="H230" s="7">
        <v>22.49</v>
      </c>
      <c r="I230" s="7">
        <f t="shared" ref="I230:I234" si="3">G230-H230</f>
        <v>1.3100000000000023</v>
      </c>
      <c r="J230" t="s">
        <v>1158</v>
      </c>
    </row>
    <row r="231" spans="2:10" x14ac:dyDescent="0.25">
      <c r="B231" t="s">
        <v>280</v>
      </c>
      <c r="C231" t="s">
        <v>338</v>
      </c>
      <c r="D231" t="s">
        <v>38</v>
      </c>
      <c r="E231" t="s">
        <v>1216</v>
      </c>
      <c r="F231" t="s">
        <v>424</v>
      </c>
      <c r="G231" s="7">
        <v>6</v>
      </c>
      <c r="H231" s="7">
        <v>5.67</v>
      </c>
      <c r="I231" s="7">
        <f t="shared" si="3"/>
        <v>0.33000000000000007</v>
      </c>
      <c r="J231" t="s">
        <v>1158</v>
      </c>
    </row>
    <row r="232" spans="2:10" x14ac:dyDescent="0.25">
      <c r="B232" t="s">
        <v>280</v>
      </c>
      <c r="C232" t="s">
        <v>37</v>
      </c>
      <c r="D232" t="s">
        <v>38</v>
      </c>
      <c r="E232" t="s">
        <v>1216</v>
      </c>
      <c r="F232" t="s">
        <v>426</v>
      </c>
      <c r="G232" s="7">
        <v>5</v>
      </c>
      <c r="H232" s="7">
        <v>4.7300000000000004</v>
      </c>
      <c r="I232" s="7">
        <f t="shared" si="3"/>
        <v>0.26999999999999957</v>
      </c>
      <c r="J232" t="s">
        <v>1158</v>
      </c>
    </row>
    <row r="233" spans="2:10" x14ac:dyDescent="0.25">
      <c r="B233" t="s">
        <v>278</v>
      </c>
      <c r="C233" t="s">
        <v>338</v>
      </c>
      <c r="D233" t="s">
        <v>38</v>
      </c>
      <c r="E233" t="s">
        <v>1217</v>
      </c>
      <c r="F233" t="s">
        <v>424</v>
      </c>
      <c r="G233" s="7">
        <v>25.2</v>
      </c>
      <c r="H233" s="7">
        <v>23.81</v>
      </c>
      <c r="I233" s="7">
        <f t="shared" si="3"/>
        <v>1.3900000000000006</v>
      </c>
      <c r="J233" t="s">
        <v>1158</v>
      </c>
    </row>
    <row r="234" spans="2:10" x14ac:dyDescent="0.25">
      <c r="B234" t="s">
        <v>278</v>
      </c>
      <c r="C234" t="s">
        <v>37</v>
      </c>
      <c r="D234" t="s">
        <v>38</v>
      </c>
      <c r="E234" t="s">
        <v>1217</v>
      </c>
      <c r="F234" t="s">
        <v>426</v>
      </c>
      <c r="G234" s="7">
        <v>21</v>
      </c>
      <c r="H234" s="7">
        <v>19.850000000000001</v>
      </c>
      <c r="I234" s="7">
        <f t="shared" si="3"/>
        <v>1.1499999999999986</v>
      </c>
      <c r="J234" t="s">
        <v>1158</v>
      </c>
    </row>
    <row r="235" spans="2:10" x14ac:dyDescent="0.25">
      <c r="I235" s="7"/>
    </row>
    <row r="236" spans="2:10" x14ac:dyDescent="0.25">
      <c r="E236" s="8" t="s">
        <v>376</v>
      </c>
      <c r="I236" s="7"/>
    </row>
    <row r="237" spans="2:10" x14ac:dyDescent="0.25">
      <c r="B237" t="s">
        <v>174</v>
      </c>
      <c r="C237" t="s">
        <v>338</v>
      </c>
      <c r="D237" t="s">
        <v>38</v>
      </c>
      <c r="E237" t="s">
        <v>1218</v>
      </c>
      <c r="F237" t="s">
        <v>424</v>
      </c>
      <c r="G237" s="7">
        <v>86.4</v>
      </c>
      <c r="H237" s="7">
        <v>81.650000000000006</v>
      </c>
      <c r="I237" s="7">
        <f>G237-H237</f>
        <v>4.75</v>
      </c>
      <c r="J237" t="s">
        <v>1158</v>
      </c>
    </row>
    <row r="238" spans="2:10" x14ac:dyDescent="0.25">
      <c r="B238" t="s">
        <v>174</v>
      </c>
      <c r="C238" t="s">
        <v>373</v>
      </c>
      <c r="D238" t="s">
        <v>38</v>
      </c>
      <c r="E238" t="s">
        <v>1218</v>
      </c>
      <c r="F238" t="s">
        <v>703</v>
      </c>
      <c r="G238" s="7">
        <v>72</v>
      </c>
      <c r="H238" s="7">
        <v>68.040000000000006</v>
      </c>
      <c r="I238" s="7">
        <f t="shared" si="0"/>
        <v>3.9599999999999937</v>
      </c>
      <c r="J238" t="s">
        <v>1158</v>
      </c>
    </row>
    <row r="239" spans="2:10" x14ac:dyDescent="0.25">
      <c r="B239" t="s">
        <v>174</v>
      </c>
      <c r="C239" t="s">
        <v>37</v>
      </c>
      <c r="D239" t="s">
        <v>38</v>
      </c>
      <c r="E239" t="s">
        <v>1219</v>
      </c>
      <c r="F239" t="s">
        <v>424</v>
      </c>
      <c r="G239" s="7">
        <v>18</v>
      </c>
      <c r="H239" s="7">
        <v>17.010000000000002</v>
      </c>
      <c r="I239" s="7">
        <f t="shared" si="0"/>
        <v>0.98999999999999844</v>
      </c>
      <c r="J239" t="s">
        <v>1158</v>
      </c>
    </row>
    <row r="240" spans="2:10" x14ac:dyDescent="0.25">
      <c r="B240" t="s">
        <v>174</v>
      </c>
      <c r="C240" t="s">
        <v>373</v>
      </c>
      <c r="D240" t="s">
        <v>38</v>
      </c>
      <c r="E240" t="s">
        <v>1219</v>
      </c>
      <c r="F240" t="s">
        <v>426</v>
      </c>
      <c r="G240" s="7">
        <v>15</v>
      </c>
      <c r="H240" s="7">
        <v>14.18</v>
      </c>
      <c r="I240" s="7">
        <f t="shared" si="0"/>
        <v>0.82000000000000028</v>
      </c>
      <c r="J240" t="s">
        <v>1158</v>
      </c>
    </row>
    <row r="241" spans="2:10" x14ac:dyDescent="0.25">
      <c r="B241" t="s">
        <v>183</v>
      </c>
      <c r="C241" t="s">
        <v>373</v>
      </c>
      <c r="D241" t="s">
        <v>38</v>
      </c>
      <c r="E241" t="s">
        <v>184</v>
      </c>
      <c r="F241" t="s">
        <v>703</v>
      </c>
      <c r="G241" s="7">
        <v>12.5</v>
      </c>
      <c r="H241" s="7">
        <v>11.81</v>
      </c>
      <c r="I241" s="7">
        <f t="shared" si="0"/>
        <v>0.6899999999999995</v>
      </c>
      <c r="J241" t="s">
        <v>1158</v>
      </c>
    </row>
    <row r="242" spans="2:10" x14ac:dyDescent="0.25">
      <c r="B242" t="s">
        <v>185</v>
      </c>
      <c r="C242" t="s">
        <v>338</v>
      </c>
      <c r="D242" t="s">
        <v>38</v>
      </c>
      <c r="E242" t="s">
        <v>1256</v>
      </c>
      <c r="F242" t="s">
        <v>424</v>
      </c>
      <c r="G242" s="7">
        <v>22.56</v>
      </c>
      <c r="H242" s="7">
        <v>21.32</v>
      </c>
      <c r="I242" s="7">
        <f t="shared" si="0"/>
        <v>1.2399999999999984</v>
      </c>
      <c r="J242" t="s">
        <v>1158</v>
      </c>
    </row>
    <row r="243" spans="2:10" x14ac:dyDescent="0.25">
      <c r="C243" t="s">
        <v>37</v>
      </c>
      <c r="D243" t="s">
        <v>38</v>
      </c>
      <c r="E243" t="s">
        <v>1256</v>
      </c>
      <c r="F243" t="s">
        <v>426</v>
      </c>
      <c r="G243" s="7">
        <v>18.8</v>
      </c>
      <c r="H243" s="7">
        <v>17.77</v>
      </c>
      <c r="I243" s="7">
        <f>G243-H243</f>
        <v>1.0300000000000011</v>
      </c>
      <c r="J243" t="s">
        <v>1158</v>
      </c>
    </row>
    <row r="244" spans="2:10" x14ac:dyDescent="0.25">
      <c r="B244" t="s">
        <v>183</v>
      </c>
      <c r="C244" t="s">
        <v>338</v>
      </c>
      <c r="D244" t="s">
        <v>38</v>
      </c>
      <c r="E244" t="s">
        <v>1254</v>
      </c>
      <c r="F244" t="s">
        <v>424</v>
      </c>
      <c r="G244" s="7">
        <v>15</v>
      </c>
      <c r="H244" s="7">
        <v>14.18</v>
      </c>
      <c r="I244" s="7">
        <f t="shared" ref="I244:I325" si="4">G244-H244</f>
        <v>0.82000000000000028</v>
      </c>
      <c r="J244" t="s">
        <v>1158</v>
      </c>
    </row>
    <row r="245" spans="2:10" x14ac:dyDescent="0.25">
      <c r="B245" t="s">
        <v>183</v>
      </c>
      <c r="C245" t="s">
        <v>37</v>
      </c>
      <c r="D245" t="s">
        <v>38</v>
      </c>
      <c r="E245" t="s">
        <v>1254</v>
      </c>
      <c r="F245" t="s">
        <v>426</v>
      </c>
      <c r="G245" s="7">
        <v>12.5</v>
      </c>
      <c r="H245" s="7">
        <v>11.81</v>
      </c>
      <c r="I245" s="7">
        <f t="shared" si="4"/>
        <v>0.6899999999999995</v>
      </c>
      <c r="J245" t="s">
        <v>1158</v>
      </c>
    </row>
    <row r="246" spans="2:10" x14ac:dyDescent="0.25">
      <c r="B246" t="s">
        <v>242</v>
      </c>
      <c r="C246" t="s">
        <v>373</v>
      </c>
      <c r="D246" t="s">
        <v>38</v>
      </c>
      <c r="E246" t="s">
        <v>1254</v>
      </c>
      <c r="F246" t="s">
        <v>703</v>
      </c>
      <c r="G246" s="7">
        <v>675</v>
      </c>
      <c r="H246" s="7">
        <v>637.88</v>
      </c>
      <c r="I246" s="7">
        <f t="shared" si="4"/>
        <v>37.120000000000005</v>
      </c>
      <c r="J246" t="s">
        <v>1158</v>
      </c>
    </row>
    <row r="247" spans="2:10" x14ac:dyDescent="0.25">
      <c r="B247" t="s">
        <v>240</v>
      </c>
      <c r="C247" t="s">
        <v>338</v>
      </c>
      <c r="D247" t="s">
        <v>38</v>
      </c>
      <c r="E247" t="s">
        <v>1257</v>
      </c>
      <c r="F247" t="s">
        <v>424</v>
      </c>
      <c r="G247" s="7">
        <v>1.68</v>
      </c>
      <c r="H247" s="7">
        <v>1.59</v>
      </c>
      <c r="I247" s="7">
        <f t="shared" si="4"/>
        <v>8.9999999999999858E-2</v>
      </c>
      <c r="J247" t="s">
        <v>1158</v>
      </c>
    </row>
    <row r="248" spans="2:10" x14ac:dyDescent="0.25">
      <c r="B248" t="s">
        <v>240</v>
      </c>
      <c r="C248" t="s">
        <v>37</v>
      </c>
      <c r="D248" t="s">
        <v>38</v>
      </c>
      <c r="E248" t="s">
        <v>1257</v>
      </c>
      <c r="F248" t="s">
        <v>426</v>
      </c>
      <c r="G248" s="7">
        <v>1.4</v>
      </c>
      <c r="H248" s="7">
        <v>1.32</v>
      </c>
      <c r="I248" s="7">
        <f t="shared" si="4"/>
        <v>7.9999999999999849E-2</v>
      </c>
      <c r="J248" t="s">
        <v>1158</v>
      </c>
    </row>
    <row r="249" spans="2:10" x14ac:dyDescent="0.25">
      <c r="B249" t="s">
        <v>238</v>
      </c>
      <c r="C249" t="s">
        <v>338</v>
      </c>
      <c r="D249" t="s">
        <v>38</v>
      </c>
      <c r="E249" t="s">
        <v>1255</v>
      </c>
      <c r="F249" t="s">
        <v>424</v>
      </c>
      <c r="G249" s="7">
        <v>33.6</v>
      </c>
      <c r="H249" s="7">
        <v>31.75</v>
      </c>
      <c r="I249" s="7">
        <f t="shared" si="4"/>
        <v>1.8500000000000014</v>
      </c>
      <c r="J249" t="s">
        <v>1158</v>
      </c>
    </row>
    <row r="250" spans="2:10" x14ac:dyDescent="0.25">
      <c r="B250" t="s">
        <v>238</v>
      </c>
      <c r="C250" t="s">
        <v>37</v>
      </c>
      <c r="D250" t="s">
        <v>38</v>
      </c>
      <c r="E250" t="s">
        <v>1255</v>
      </c>
      <c r="F250" t="s">
        <v>426</v>
      </c>
      <c r="G250" s="7">
        <v>28</v>
      </c>
      <c r="H250" s="7">
        <v>26.46</v>
      </c>
      <c r="I250" s="7">
        <f t="shared" si="4"/>
        <v>1.5399999999999991</v>
      </c>
      <c r="J250" t="s">
        <v>1158</v>
      </c>
    </row>
    <row r="251" spans="2:10" x14ac:dyDescent="0.25">
      <c r="B251" t="s">
        <v>242</v>
      </c>
      <c r="C251" t="s">
        <v>37</v>
      </c>
      <c r="D251" t="s">
        <v>38</v>
      </c>
      <c r="E251" t="s">
        <v>243</v>
      </c>
      <c r="F251" t="s">
        <v>426</v>
      </c>
      <c r="G251" s="7">
        <v>675</v>
      </c>
      <c r="H251" s="7">
        <v>637.88</v>
      </c>
      <c r="I251" s="7">
        <f t="shared" si="4"/>
        <v>37.120000000000005</v>
      </c>
      <c r="J251" t="s">
        <v>1158</v>
      </c>
    </row>
    <row r="252" spans="2:10" x14ac:dyDescent="0.25">
      <c r="B252" t="s">
        <v>248</v>
      </c>
      <c r="C252" t="s">
        <v>338</v>
      </c>
      <c r="D252" t="s">
        <v>38</v>
      </c>
      <c r="E252" t="s">
        <v>1258</v>
      </c>
      <c r="F252" t="s">
        <v>424</v>
      </c>
      <c r="G252" s="7">
        <v>2430</v>
      </c>
      <c r="H252" s="7">
        <v>2296.35</v>
      </c>
      <c r="I252" s="7">
        <f t="shared" si="4"/>
        <v>133.65000000000009</v>
      </c>
      <c r="J252" t="s">
        <v>1158</v>
      </c>
    </row>
    <row r="253" spans="2:10" x14ac:dyDescent="0.25">
      <c r="B253" t="s">
        <v>736</v>
      </c>
      <c r="C253" t="s">
        <v>373</v>
      </c>
      <c r="D253" t="s">
        <v>38</v>
      </c>
      <c r="E253" t="s">
        <v>250</v>
      </c>
      <c r="F253" t="s">
        <v>703</v>
      </c>
      <c r="G253" s="7">
        <v>3950</v>
      </c>
      <c r="H253" s="7">
        <v>3732.75</v>
      </c>
      <c r="I253" s="7">
        <f t="shared" si="4"/>
        <v>217.25</v>
      </c>
      <c r="J253" t="s">
        <v>1158</v>
      </c>
    </row>
    <row r="254" spans="2:10" x14ac:dyDescent="0.25">
      <c r="B254" t="s">
        <v>251</v>
      </c>
      <c r="C254" t="s">
        <v>338</v>
      </c>
      <c r="D254" t="s">
        <v>38</v>
      </c>
      <c r="E254" t="s">
        <v>1259</v>
      </c>
      <c r="F254" t="s">
        <v>424</v>
      </c>
      <c r="G254" s="7">
        <v>7200</v>
      </c>
      <c r="H254" s="7">
        <v>6804</v>
      </c>
      <c r="I254" s="7">
        <f t="shared" si="4"/>
        <v>396</v>
      </c>
      <c r="J254" t="s">
        <v>1158</v>
      </c>
    </row>
    <row r="255" spans="2:10" x14ac:dyDescent="0.25">
      <c r="B255" t="s">
        <v>177</v>
      </c>
      <c r="C255" t="s">
        <v>338</v>
      </c>
      <c r="D255" t="s">
        <v>38</v>
      </c>
      <c r="E255" t="s">
        <v>1220</v>
      </c>
      <c r="F255" t="s">
        <v>424</v>
      </c>
      <c r="G255" s="7">
        <v>86.4</v>
      </c>
      <c r="H255" s="7">
        <v>81.650000000000006</v>
      </c>
      <c r="I255" s="7">
        <f t="shared" si="4"/>
        <v>4.75</v>
      </c>
      <c r="J255" t="s">
        <v>1158</v>
      </c>
    </row>
    <row r="256" spans="2:10" x14ac:dyDescent="0.25">
      <c r="B256" t="s">
        <v>177</v>
      </c>
      <c r="C256" t="s">
        <v>373</v>
      </c>
      <c r="D256" t="s">
        <v>38</v>
      </c>
      <c r="E256" t="s">
        <v>1220</v>
      </c>
      <c r="F256" t="s">
        <v>703</v>
      </c>
      <c r="G256" s="7">
        <v>72</v>
      </c>
      <c r="H256" s="7">
        <v>68.040000000000006</v>
      </c>
      <c r="I256" s="7">
        <f t="shared" si="4"/>
        <v>3.9599999999999937</v>
      </c>
      <c r="J256" t="s">
        <v>1158</v>
      </c>
    </row>
    <row r="257" spans="2:10" x14ac:dyDescent="0.25">
      <c r="B257" t="s">
        <v>177</v>
      </c>
      <c r="C257" t="s">
        <v>338</v>
      </c>
      <c r="D257" t="s">
        <v>38</v>
      </c>
      <c r="E257" t="s">
        <v>1221</v>
      </c>
      <c r="F257" t="s">
        <v>424</v>
      </c>
      <c r="G257" s="7">
        <v>18</v>
      </c>
      <c r="H257" s="7">
        <v>17.010000000000002</v>
      </c>
      <c r="I257" s="7">
        <f t="shared" si="4"/>
        <v>0.98999999999999844</v>
      </c>
      <c r="J257" t="s">
        <v>1158</v>
      </c>
    </row>
    <row r="258" spans="2:10" x14ac:dyDescent="0.25">
      <c r="B258" t="s">
        <v>177</v>
      </c>
      <c r="C258" t="s">
        <v>373</v>
      </c>
      <c r="D258" t="s">
        <v>38</v>
      </c>
      <c r="E258" t="s">
        <v>1221</v>
      </c>
      <c r="F258" t="s">
        <v>703</v>
      </c>
      <c r="G258" s="7">
        <v>15</v>
      </c>
      <c r="H258" s="7">
        <v>14.18</v>
      </c>
      <c r="I258" s="7">
        <f t="shared" si="4"/>
        <v>0.82000000000000028</v>
      </c>
      <c r="J258" t="s">
        <v>1158</v>
      </c>
    </row>
    <row r="259" spans="2:10" x14ac:dyDescent="0.25">
      <c r="I259" s="7"/>
    </row>
    <row r="260" spans="2:10" x14ac:dyDescent="0.25">
      <c r="E260" s="8" t="s">
        <v>407</v>
      </c>
      <c r="I260" s="7"/>
    </row>
    <row r="261" spans="2:10" x14ac:dyDescent="0.25">
      <c r="C261" t="s">
        <v>338</v>
      </c>
      <c r="D261" t="s">
        <v>38</v>
      </c>
      <c r="E261" t="s">
        <v>1222</v>
      </c>
      <c r="F261" t="s">
        <v>424</v>
      </c>
      <c r="G261" s="7">
        <v>600</v>
      </c>
      <c r="H261" s="7">
        <v>567</v>
      </c>
      <c r="I261" s="7">
        <f>G261-H261</f>
        <v>33</v>
      </c>
      <c r="J261" t="s">
        <v>1158</v>
      </c>
    </row>
    <row r="262" spans="2:10" x14ac:dyDescent="0.25">
      <c r="B262" t="s">
        <v>293</v>
      </c>
      <c r="C262" t="s">
        <v>37</v>
      </c>
      <c r="D262" t="s">
        <v>38</v>
      </c>
      <c r="E262" t="s">
        <v>1222</v>
      </c>
      <c r="F262" t="s">
        <v>426</v>
      </c>
      <c r="G262" s="7">
        <v>500</v>
      </c>
      <c r="H262" s="7">
        <v>472.5</v>
      </c>
      <c r="I262" s="7">
        <f t="shared" ref="I262:I267" si="5">G262-H262</f>
        <v>27.5</v>
      </c>
      <c r="J262" t="s">
        <v>1158</v>
      </c>
    </row>
    <row r="263" spans="2:10" x14ac:dyDescent="0.25">
      <c r="B263" t="s">
        <v>290</v>
      </c>
      <c r="C263" t="s">
        <v>338</v>
      </c>
      <c r="D263" t="s">
        <v>38</v>
      </c>
      <c r="E263" t="s">
        <v>1223</v>
      </c>
      <c r="F263" t="s">
        <v>424</v>
      </c>
      <c r="G263" s="7">
        <v>90</v>
      </c>
      <c r="H263" s="7">
        <v>85.05</v>
      </c>
      <c r="I263" s="7">
        <f t="shared" si="5"/>
        <v>4.9500000000000028</v>
      </c>
      <c r="J263" t="s">
        <v>1158</v>
      </c>
    </row>
    <row r="264" spans="2:10" x14ac:dyDescent="0.25">
      <c r="B264" t="s">
        <v>290</v>
      </c>
      <c r="C264" t="s">
        <v>37</v>
      </c>
      <c r="D264" t="s">
        <v>38</v>
      </c>
      <c r="E264" t="s">
        <v>1223</v>
      </c>
      <c r="F264" t="s">
        <v>426</v>
      </c>
      <c r="G264" s="7">
        <v>75</v>
      </c>
      <c r="H264" s="7">
        <v>70.88</v>
      </c>
      <c r="I264" s="7">
        <f t="shared" si="5"/>
        <v>4.1200000000000045</v>
      </c>
      <c r="J264" t="s">
        <v>1158</v>
      </c>
    </row>
    <row r="265" spans="2:10" x14ac:dyDescent="0.25">
      <c r="C265" t="s">
        <v>37</v>
      </c>
      <c r="D265" t="s">
        <v>38</v>
      </c>
      <c r="E265" t="s">
        <v>1250</v>
      </c>
      <c r="F265" t="s">
        <v>426</v>
      </c>
      <c r="G265" s="7">
        <v>500</v>
      </c>
      <c r="H265" s="7">
        <v>472.5</v>
      </c>
      <c r="I265" s="7">
        <f t="shared" si="5"/>
        <v>27.5</v>
      </c>
      <c r="J265" t="s">
        <v>1158</v>
      </c>
    </row>
    <row r="266" spans="2:10" x14ac:dyDescent="0.25">
      <c r="C266" t="s">
        <v>338</v>
      </c>
      <c r="D266" t="s">
        <v>38</v>
      </c>
      <c r="E266" t="s">
        <v>1250</v>
      </c>
      <c r="F266" t="s">
        <v>424</v>
      </c>
      <c r="G266" s="7">
        <v>600</v>
      </c>
      <c r="H266" s="7">
        <v>567</v>
      </c>
      <c r="I266" s="7">
        <f t="shared" si="5"/>
        <v>33</v>
      </c>
      <c r="J266" t="s">
        <v>1158</v>
      </c>
    </row>
    <row r="267" spans="2:10" x14ac:dyDescent="0.25">
      <c r="C267" t="s">
        <v>37</v>
      </c>
      <c r="D267" t="s">
        <v>38</v>
      </c>
      <c r="E267" t="s">
        <v>1251</v>
      </c>
      <c r="F267" t="s">
        <v>426</v>
      </c>
      <c r="G267" s="7">
        <v>75</v>
      </c>
      <c r="H267" s="7">
        <v>70.88</v>
      </c>
      <c r="I267" s="7">
        <f t="shared" si="5"/>
        <v>4.1200000000000045</v>
      </c>
      <c r="J267" t="s">
        <v>1158</v>
      </c>
    </row>
    <row r="268" spans="2:10" x14ac:dyDescent="0.25">
      <c r="I268" s="7"/>
    </row>
    <row r="269" spans="2:10" x14ac:dyDescent="0.25">
      <c r="E269" s="8" t="s">
        <v>190</v>
      </c>
      <c r="I269" s="7"/>
    </row>
    <row r="270" spans="2:10" x14ac:dyDescent="0.25">
      <c r="B270" t="s">
        <v>189</v>
      </c>
      <c r="C270" t="s">
        <v>338</v>
      </c>
      <c r="D270" t="s">
        <v>38</v>
      </c>
      <c r="E270" t="s">
        <v>1252</v>
      </c>
      <c r="F270" t="s">
        <v>424</v>
      </c>
      <c r="G270" s="7">
        <v>31.2</v>
      </c>
      <c r="H270" s="7">
        <v>26.21</v>
      </c>
      <c r="I270" s="7">
        <f>G270-H270</f>
        <v>4.9899999999999984</v>
      </c>
      <c r="J270" t="s">
        <v>1158</v>
      </c>
    </row>
    <row r="271" spans="2:10" x14ac:dyDescent="0.25">
      <c r="B271" t="s">
        <v>189</v>
      </c>
      <c r="C271" t="s">
        <v>37</v>
      </c>
      <c r="D271" t="s">
        <v>38</v>
      </c>
      <c r="E271" t="s">
        <v>1252</v>
      </c>
      <c r="F271" t="s">
        <v>426</v>
      </c>
      <c r="G271" s="7">
        <v>26</v>
      </c>
      <c r="H271" s="7">
        <v>21.84</v>
      </c>
      <c r="I271" s="7">
        <f t="shared" si="4"/>
        <v>4.16</v>
      </c>
      <c r="J271" t="s">
        <v>1158</v>
      </c>
    </row>
    <row r="272" spans="2:10" x14ac:dyDescent="0.25">
      <c r="I272" s="7"/>
    </row>
    <row r="273" spans="2:10" x14ac:dyDescent="0.25">
      <c r="E273" s="8" t="s">
        <v>405</v>
      </c>
      <c r="I273" s="7"/>
    </row>
    <row r="274" spans="2:10" x14ac:dyDescent="0.25">
      <c r="B274" t="s">
        <v>284</v>
      </c>
      <c r="C274" t="s">
        <v>37</v>
      </c>
      <c r="D274" t="s">
        <v>38</v>
      </c>
      <c r="E274" t="s">
        <v>1224</v>
      </c>
      <c r="F274" t="s">
        <v>426</v>
      </c>
      <c r="G274" s="7">
        <v>48</v>
      </c>
      <c r="H274" s="7">
        <v>45.36</v>
      </c>
      <c r="I274" s="7">
        <f t="shared" si="4"/>
        <v>2.6400000000000006</v>
      </c>
      <c r="J274" t="s">
        <v>1158</v>
      </c>
    </row>
    <row r="275" spans="2:10" x14ac:dyDescent="0.25">
      <c r="B275" t="s">
        <v>284</v>
      </c>
      <c r="C275" t="s">
        <v>37</v>
      </c>
      <c r="D275" t="s">
        <v>38</v>
      </c>
      <c r="E275" t="s">
        <v>1225</v>
      </c>
      <c r="F275" t="s">
        <v>426</v>
      </c>
      <c r="G275" s="7">
        <v>12</v>
      </c>
      <c r="H275" s="7">
        <v>11.34</v>
      </c>
      <c r="I275" s="7">
        <f t="shared" si="4"/>
        <v>0.66000000000000014</v>
      </c>
      <c r="J275" t="s">
        <v>1158</v>
      </c>
    </row>
    <row r="276" spans="2:10" x14ac:dyDescent="0.25">
      <c r="B276" t="s">
        <v>284</v>
      </c>
      <c r="C276" t="s">
        <v>37</v>
      </c>
      <c r="D276" t="s">
        <v>38</v>
      </c>
      <c r="E276" t="s">
        <v>1226</v>
      </c>
      <c r="F276" t="s">
        <v>426</v>
      </c>
      <c r="G276" s="7">
        <v>1.6</v>
      </c>
      <c r="H276" s="7">
        <v>1.51</v>
      </c>
      <c r="I276" s="7">
        <f t="shared" si="4"/>
        <v>9.000000000000008E-2</v>
      </c>
      <c r="J276" t="s">
        <v>1158</v>
      </c>
    </row>
    <row r="277" spans="2:10" x14ac:dyDescent="0.25">
      <c r="B277" t="s">
        <v>284</v>
      </c>
      <c r="C277" t="s">
        <v>338</v>
      </c>
      <c r="D277" t="s">
        <v>38</v>
      </c>
      <c r="E277" t="s">
        <v>1253</v>
      </c>
      <c r="F277" t="s">
        <v>424</v>
      </c>
      <c r="G277" s="7">
        <v>672</v>
      </c>
      <c r="H277" s="7">
        <v>635.04</v>
      </c>
      <c r="I277" s="7">
        <f t="shared" si="4"/>
        <v>36.960000000000036</v>
      </c>
      <c r="J277" t="s">
        <v>1158</v>
      </c>
    </row>
    <row r="278" spans="2:10" x14ac:dyDescent="0.25">
      <c r="B278" t="s">
        <v>284</v>
      </c>
      <c r="C278" t="s">
        <v>37</v>
      </c>
      <c r="D278" t="s">
        <v>38</v>
      </c>
      <c r="E278" t="s">
        <v>1253</v>
      </c>
      <c r="F278" t="s">
        <v>426</v>
      </c>
      <c r="G278" s="7">
        <v>560</v>
      </c>
      <c r="H278" s="7">
        <v>529.20000000000005</v>
      </c>
      <c r="I278" s="7">
        <f t="shared" si="4"/>
        <v>30.799999999999955</v>
      </c>
      <c r="J278" t="s">
        <v>1158</v>
      </c>
    </row>
    <row r="279" spans="2:10" x14ac:dyDescent="0.25">
      <c r="I279" s="7"/>
    </row>
    <row r="280" spans="2:10" x14ac:dyDescent="0.25">
      <c r="E280" s="8" t="s">
        <v>401</v>
      </c>
      <c r="I280" s="7"/>
    </row>
    <row r="281" spans="2:10" x14ac:dyDescent="0.25">
      <c r="B281" t="s">
        <v>275</v>
      </c>
      <c r="C281" t="s">
        <v>373</v>
      </c>
      <c r="D281" t="s">
        <v>38</v>
      </c>
      <c r="E281" t="s">
        <v>1227</v>
      </c>
      <c r="F281" t="s">
        <v>703</v>
      </c>
      <c r="G281" s="7">
        <v>15</v>
      </c>
      <c r="H281" s="7">
        <v>14.18</v>
      </c>
      <c r="I281" s="7">
        <f t="shared" si="4"/>
        <v>0.82000000000000028</v>
      </c>
      <c r="J281" t="s">
        <v>1158</v>
      </c>
    </row>
    <row r="282" spans="2:10" x14ac:dyDescent="0.25">
      <c r="B282" t="s">
        <v>275</v>
      </c>
      <c r="C282" t="s">
        <v>37</v>
      </c>
      <c r="D282" t="s">
        <v>38</v>
      </c>
      <c r="E282" t="s">
        <v>1227</v>
      </c>
      <c r="F282" t="s">
        <v>426</v>
      </c>
      <c r="G282" s="7">
        <v>15</v>
      </c>
      <c r="H282" s="7">
        <v>14.18</v>
      </c>
      <c r="I282" s="7">
        <f t="shared" si="4"/>
        <v>0.82000000000000028</v>
      </c>
      <c r="J282" t="s">
        <v>1158</v>
      </c>
    </row>
    <row r="283" spans="2:10" x14ac:dyDescent="0.25">
      <c r="B283" t="s">
        <v>275</v>
      </c>
      <c r="C283" t="s">
        <v>338</v>
      </c>
      <c r="D283" t="s">
        <v>38</v>
      </c>
      <c r="E283" t="s">
        <v>1227</v>
      </c>
      <c r="F283" t="s">
        <v>424</v>
      </c>
      <c r="G283" s="7">
        <v>18</v>
      </c>
      <c r="H283" s="7">
        <v>17.010000000000002</v>
      </c>
      <c r="I283" s="7">
        <f t="shared" si="4"/>
        <v>0.98999999999999844</v>
      </c>
      <c r="J283" t="s">
        <v>1158</v>
      </c>
    </row>
    <row r="284" spans="2:10" x14ac:dyDescent="0.25">
      <c r="B284" t="s">
        <v>275</v>
      </c>
      <c r="C284" t="s">
        <v>338</v>
      </c>
      <c r="D284" t="s">
        <v>38</v>
      </c>
      <c r="E284" t="s">
        <v>1228</v>
      </c>
      <c r="F284" t="s">
        <v>424</v>
      </c>
      <c r="G284" s="7">
        <v>57.6</v>
      </c>
      <c r="H284" s="7">
        <v>54.43</v>
      </c>
      <c r="I284" s="7">
        <f t="shared" si="4"/>
        <v>3.1700000000000017</v>
      </c>
      <c r="J284" t="s">
        <v>1158</v>
      </c>
    </row>
    <row r="285" spans="2:10" x14ac:dyDescent="0.25">
      <c r="B285" t="s">
        <v>275</v>
      </c>
      <c r="C285" t="s">
        <v>37</v>
      </c>
      <c r="D285" t="s">
        <v>38</v>
      </c>
      <c r="E285" t="s">
        <v>1228</v>
      </c>
      <c r="F285" t="s">
        <v>426</v>
      </c>
      <c r="G285" s="7">
        <v>48</v>
      </c>
      <c r="H285" s="7">
        <v>45.36</v>
      </c>
      <c r="I285" s="7">
        <f t="shared" si="4"/>
        <v>2.6400000000000006</v>
      </c>
      <c r="J285" t="s">
        <v>1158</v>
      </c>
    </row>
    <row r="286" spans="2:10" x14ac:dyDescent="0.25">
      <c r="I286" s="7"/>
    </row>
    <row r="287" spans="2:10" x14ac:dyDescent="0.25">
      <c r="E287" s="8" t="s">
        <v>388</v>
      </c>
      <c r="I287" s="7"/>
    </row>
    <row r="288" spans="2:10" x14ac:dyDescent="0.25">
      <c r="B288" t="s">
        <v>255</v>
      </c>
      <c r="C288" t="s">
        <v>338</v>
      </c>
      <c r="D288" t="s">
        <v>38</v>
      </c>
      <c r="E288" t="s">
        <v>1229</v>
      </c>
      <c r="F288" t="s">
        <v>424</v>
      </c>
      <c r="G288" s="7">
        <v>28.56</v>
      </c>
      <c r="H288" s="7">
        <v>26.99</v>
      </c>
      <c r="I288" s="7">
        <f>G288-H288</f>
        <v>1.5700000000000003</v>
      </c>
      <c r="J288" t="s">
        <v>1158</v>
      </c>
    </row>
    <row r="289" spans="2:10" x14ac:dyDescent="0.25">
      <c r="B289" t="s">
        <v>255</v>
      </c>
      <c r="C289" t="s">
        <v>37</v>
      </c>
      <c r="D289" t="s">
        <v>38</v>
      </c>
      <c r="E289" t="s">
        <v>1229</v>
      </c>
      <c r="F289" t="s">
        <v>426</v>
      </c>
      <c r="G289" s="7">
        <v>23.8</v>
      </c>
      <c r="H289" s="7">
        <v>22.49</v>
      </c>
      <c r="I289" s="7">
        <f t="shared" si="4"/>
        <v>1.3100000000000023</v>
      </c>
      <c r="J289" t="s">
        <v>1158</v>
      </c>
    </row>
    <row r="290" spans="2:10" x14ac:dyDescent="0.25">
      <c r="B290" t="s">
        <v>255</v>
      </c>
      <c r="C290" t="s">
        <v>338</v>
      </c>
      <c r="D290" t="s">
        <v>38</v>
      </c>
      <c r="E290" t="s">
        <v>1230</v>
      </c>
      <c r="F290" t="s">
        <v>424</v>
      </c>
      <c r="G290" s="7">
        <v>6</v>
      </c>
      <c r="H290" s="7">
        <v>5.67</v>
      </c>
      <c r="I290" s="7">
        <f t="shared" si="4"/>
        <v>0.33000000000000007</v>
      </c>
      <c r="J290" t="s">
        <v>1158</v>
      </c>
    </row>
    <row r="291" spans="2:10" x14ac:dyDescent="0.25">
      <c r="B291" t="s">
        <v>255</v>
      </c>
      <c r="C291" t="s">
        <v>37</v>
      </c>
      <c r="D291" t="s">
        <v>38</v>
      </c>
      <c r="E291" t="s">
        <v>1230</v>
      </c>
      <c r="F291" t="s">
        <v>426</v>
      </c>
      <c r="G291" s="7">
        <v>5</v>
      </c>
      <c r="H291" s="7">
        <v>4.7300000000000004</v>
      </c>
      <c r="I291" s="7">
        <f t="shared" si="4"/>
        <v>0.26999999999999957</v>
      </c>
      <c r="J291" t="s">
        <v>1158</v>
      </c>
    </row>
    <row r="292" spans="2:10" x14ac:dyDescent="0.25">
      <c r="B292" t="s">
        <v>258</v>
      </c>
      <c r="C292" t="s">
        <v>338</v>
      </c>
      <c r="D292" t="s">
        <v>38</v>
      </c>
      <c r="E292" t="s">
        <v>1231</v>
      </c>
      <c r="F292" t="s">
        <v>424</v>
      </c>
      <c r="G292" s="7">
        <v>15</v>
      </c>
      <c r="H292" s="7">
        <v>14.18</v>
      </c>
      <c r="I292" s="7">
        <f t="shared" si="4"/>
        <v>0.82000000000000028</v>
      </c>
      <c r="J292" t="s">
        <v>1158</v>
      </c>
    </row>
    <row r="293" spans="2:10" x14ac:dyDescent="0.25">
      <c r="B293" t="s">
        <v>258</v>
      </c>
      <c r="C293" t="s">
        <v>37</v>
      </c>
      <c r="D293" t="s">
        <v>38</v>
      </c>
      <c r="E293" t="s">
        <v>1231</v>
      </c>
      <c r="F293" t="s">
        <v>426</v>
      </c>
      <c r="G293" s="7">
        <v>12.5</v>
      </c>
      <c r="H293" s="7">
        <v>11.81</v>
      </c>
      <c r="I293" s="7">
        <f t="shared" si="4"/>
        <v>0.6899999999999995</v>
      </c>
      <c r="J293" t="s">
        <v>1158</v>
      </c>
    </row>
    <row r="294" spans="2:10" x14ac:dyDescent="0.25">
      <c r="B294" t="s">
        <v>262</v>
      </c>
      <c r="C294" t="s">
        <v>338</v>
      </c>
      <c r="D294" t="s">
        <v>38</v>
      </c>
      <c r="E294" t="s">
        <v>1232</v>
      </c>
      <c r="F294" t="s">
        <v>424</v>
      </c>
      <c r="G294" s="7">
        <v>40.56</v>
      </c>
      <c r="H294" s="7">
        <v>38.33</v>
      </c>
      <c r="I294" s="7">
        <f t="shared" si="4"/>
        <v>2.230000000000004</v>
      </c>
      <c r="J294" t="s">
        <v>1158</v>
      </c>
    </row>
    <row r="295" spans="2:10" x14ac:dyDescent="0.25">
      <c r="B295" t="s">
        <v>262</v>
      </c>
      <c r="C295" t="s">
        <v>37</v>
      </c>
      <c r="D295" t="s">
        <v>38</v>
      </c>
      <c r="E295" t="s">
        <v>1232</v>
      </c>
      <c r="F295" t="s">
        <v>426</v>
      </c>
      <c r="G295" s="7">
        <v>33.799999999999997</v>
      </c>
      <c r="H295" s="7">
        <v>31.94</v>
      </c>
      <c r="I295" s="7">
        <f t="shared" si="4"/>
        <v>1.8599999999999959</v>
      </c>
      <c r="J295" t="s">
        <v>1158</v>
      </c>
    </row>
    <row r="296" spans="2:10" x14ac:dyDescent="0.25">
      <c r="B296" t="s">
        <v>260</v>
      </c>
      <c r="C296" t="s">
        <v>338</v>
      </c>
      <c r="D296" t="s">
        <v>38</v>
      </c>
      <c r="E296" t="s">
        <v>1233</v>
      </c>
      <c r="F296" t="s">
        <v>424</v>
      </c>
      <c r="G296" s="7">
        <v>6</v>
      </c>
      <c r="H296" s="7">
        <v>5.67</v>
      </c>
      <c r="I296" s="7">
        <f t="shared" si="4"/>
        <v>0.33000000000000007</v>
      </c>
      <c r="J296" t="s">
        <v>1158</v>
      </c>
    </row>
    <row r="297" spans="2:10" x14ac:dyDescent="0.25">
      <c r="B297" t="s">
        <v>260</v>
      </c>
      <c r="C297" t="s">
        <v>37</v>
      </c>
      <c r="D297" t="s">
        <v>38</v>
      </c>
      <c r="E297" t="s">
        <v>1233</v>
      </c>
      <c r="F297" t="s">
        <v>426</v>
      </c>
      <c r="G297" s="7">
        <v>5</v>
      </c>
      <c r="H297" s="7">
        <v>4.7300000000000004</v>
      </c>
      <c r="I297" s="7">
        <f t="shared" si="4"/>
        <v>0.26999999999999957</v>
      </c>
      <c r="J297" t="s">
        <v>1158</v>
      </c>
    </row>
    <row r="298" spans="2:10" x14ac:dyDescent="0.25">
      <c r="B298" t="s">
        <v>187</v>
      </c>
      <c r="C298" t="s">
        <v>338</v>
      </c>
      <c r="D298" t="s">
        <v>38</v>
      </c>
      <c r="E298" t="s">
        <v>188</v>
      </c>
      <c r="F298" t="s">
        <v>424</v>
      </c>
      <c r="G298" s="7">
        <v>2.4</v>
      </c>
      <c r="H298" s="7">
        <v>2.27</v>
      </c>
      <c r="I298" s="7">
        <f t="shared" si="4"/>
        <v>0.12999999999999989</v>
      </c>
      <c r="J298" t="s">
        <v>1158</v>
      </c>
    </row>
    <row r="299" spans="2:10" x14ac:dyDescent="0.25">
      <c r="B299" t="s">
        <v>187</v>
      </c>
      <c r="C299" t="s">
        <v>37</v>
      </c>
      <c r="D299" t="s">
        <v>38</v>
      </c>
      <c r="E299" t="s">
        <v>188</v>
      </c>
      <c r="F299" t="s">
        <v>426</v>
      </c>
      <c r="G299" s="7">
        <v>2</v>
      </c>
      <c r="H299" s="7">
        <v>1.89</v>
      </c>
      <c r="I299" s="7">
        <f t="shared" si="4"/>
        <v>0.1100000000000001</v>
      </c>
      <c r="J299" t="s">
        <v>1158</v>
      </c>
    </row>
    <row r="300" spans="2:10" x14ac:dyDescent="0.25">
      <c r="I300" s="7"/>
    </row>
    <row r="301" spans="2:10" x14ac:dyDescent="0.25">
      <c r="E301" s="8" t="s">
        <v>412</v>
      </c>
      <c r="I301" s="7"/>
    </row>
    <row r="302" spans="2:10" x14ac:dyDescent="0.25">
      <c r="B302" t="s">
        <v>303</v>
      </c>
      <c r="C302" t="s">
        <v>338</v>
      </c>
      <c r="D302" t="s">
        <v>38</v>
      </c>
      <c r="E302" t="s">
        <v>1276</v>
      </c>
      <c r="F302" t="s">
        <v>424</v>
      </c>
      <c r="G302" s="7">
        <v>4</v>
      </c>
      <c r="H302" s="7">
        <v>3.78</v>
      </c>
      <c r="I302" s="7">
        <f>G302-H302</f>
        <v>0.2200000000000002</v>
      </c>
      <c r="J302" t="s">
        <v>1158</v>
      </c>
    </row>
    <row r="303" spans="2:10" x14ac:dyDescent="0.25">
      <c r="B303" t="s">
        <v>303</v>
      </c>
      <c r="C303" t="s">
        <v>338</v>
      </c>
      <c r="D303" t="s">
        <v>38</v>
      </c>
      <c r="E303" t="s">
        <v>1234</v>
      </c>
      <c r="F303" t="s">
        <v>424</v>
      </c>
      <c r="G303" s="7">
        <v>2.4</v>
      </c>
      <c r="H303" s="7">
        <v>2.27</v>
      </c>
      <c r="I303" s="7">
        <f>G303-H303</f>
        <v>0.12999999999999989</v>
      </c>
      <c r="J303" t="s">
        <v>1158</v>
      </c>
    </row>
    <row r="304" spans="2:10" x14ac:dyDescent="0.25">
      <c r="B304" t="s">
        <v>303</v>
      </c>
      <c r="C304" t="s">
        <v>37</v>
      </c>
      <c r="D304" t="s">
        <v>38</v>
      </c>
      <c r="E304" t="s">
        <v>1234</v>
      </c>
      <c r="F304" t="s">
        <v>426</v>
      </c>
      <c r="G304" s="7">
        <v>2</v>
      </c>
      <c r="H304" s="7">
        <v>1.89</v>
      </c>
      <c r="I304" s="7">
        <f t="shared" si="4"/>
        <v>0.1100000000000001</v>
      </c>
      <c r="J304" t="s">
        <v>1158</v>
      </c>
    </row>
    <row r="305" spans="2:10" x14ac:dyDescent="0.25">
      <c r="B305" t="s">
        <v>1122</v>
      </c>
      <c r="C305" t="s">
        <v>338</v>
      </c>
      <c r="D305" t="s">
        <v>38</v>
      </c>
      <c r="E305" t="s">
        <v>1277</v>
      </c>
      <c r="F305" t="s">
        <v>426</v>
      </c>
      <c r="G305" s="7">
        <v>1.6</v>
      </c>
      <c r="H305" s="7">
        <v>1.51</v>
      </c>
      <c r="I305" s="7">
        <f t="shared" si="4"/>
        <v>9.000000000000008E-2</v>
      </c>
      <c r="J305" t="s">
        <v>1158</v>
      </c>
    </row>
    <row r="306" spans="2:10" x14ac:dyDescent="0.25">
      <c r="C306" t="s">
        <v>338</v>
      </c>
      <c r="D306" t="s">
        <v>38</v>
      </c>
      <c r="E306" t="s">
        <v>1278</v>
      </c>
      <c r="F306" t="s">
        <v>424</v>
      </c>
      <c r="G306" s="7">
        <v>2.4</v>
      </c>
      <c r="H306" s="7">
        <v>2.27</v>
      </c>
      <c r="I306" s="7">
        <f t="shared" si="4"/>
        <v>0.12999999999999989</v>
      </c>
      <c r="J306" t="s">
        <v>1158</v>
      </c>
    </row>
    <row r="307" spans="2:10" x14ac:dyDescent="0.25">
      <c r="C307" t="s">
        <v>37</v>
      </c>
      <c r="D307" t="s">
        <v>38</v>
      </c>
      <c r="E307" t="s">
        <v>1278</v>
      </c>
      <c r="F307" t="s">
        <v>426</v>
      </c>
      <c r="G307" s="7">
        <v>2</v>
      </c>
      <c r="H307" s="7">
        <v>1.89</v>
      </c>
      <c r="I307" s="7">
        <f t="shared" si="4"/>
        <v>0.1100000000000001</v>
      </c>
      <c r="J307" t="s">
        <v>1158</v>
      </c>
    </row>
    <row r="308" spans="2:10" x14ac:dyDescent="0.25">
      <c r="C308" t="s">
        <v>37</v>
      </c>
      <c r="D308" t="s">
        <v>38</v>
      </c>
      <c r="E308" t="s">
        <v>1279</v>
      </c>
      <c r="F308" t="s">
        <v>426</v>
      </c>
      <c r="G308" s="7">
        <v>0.8</v>
      </c>
      <c r="H308" s="7">
        <v>0.76</v>
      </c>
      <c r="I308" s="7">
        <f t="shared" si="4"/>
        <v>4.0000000000000036E-2</v>
      </c>
      <c r="J308" t="s">
        <v>1158</v>
      </c>
    </row>
    <row r="309" spans="2:10" x14ac:dyDescent="0.25">
      <c r="I309" s="7"/>
    </row>
    <row r="310" spans="2:10" x14ac:dyDescent="0.25">
      <c r="E310" s="8" t="s">
        <v>420</v>
      </c>
      <c r="I310" s="7"/>
    </row>
    <row r="311" spans="2:10" x14ac:dyDescent="0.25">
      <c r="B311" t="s">
        <v>1235</v>
      </c>
      <c r="C311" t="s">
        <v>37</v>
      </c>
      <c r="D311" t="s">
        <v>38</v>
      </c>
      <c r="E311" t="s">
        <v>1236</v>
      </c>
      <c r="F311" t="s">
        <v>426</v>
      </c>
      <c r="G311" s="7">
        <v>0.5</v>
      </c>
      <c r="H311" s="7">
        <v>0.47</v>
      </c>
      <c r="I311" s="7">
        <f t="shared" si="4"/>
        <v>3.0000000000000027E-2</v>
      </c>
      <c r="J311" t="s">
        <v>1158</v>
      </c>
    </row>
    <row r="312" spans="2:10" x14ac:dyDescent="0.25">
      <c r="C312" t="s">
        <v>338</v>
      </c>
      <c r="D312" t="s">
        <v>38</v>
      </c>
      <c r="E312" t="s">
        <v>1271</v>
      </c>
      <c r="F312" t="s">
        <v>424</v>
      </c>
      <c r="G312" s="7">
        <v>1.8</v>
      </c>
      <c r="H312" s="7">
        <v>1.7</v>
      </c>
      <c r="I312" s="7">
        <f t="shared" si="4"/>
        <v>0.10000000000000009</v>
      </c>
      <c r="J312" t="s">
        <v>1158</v>
      </c>
    </row>
    <row r="313" spans="2:10" x14ac:dyDescent="0.25">
      <c r="C313" t="s">
        <v>37</v>
      </c>
      <c r="D313" t="s">
        <v>38</v>
      </c>
      <c r="E313" t="s">
        <v>1271</v>
      </c>
      <c r="F313" t="s">
        <v>426</v>
      </c>
      <c r="G313" s="7">
        <v>1.5</v>
      </c>
      <c r="H313" s="7">
        <v>1.42</v>
      </c>
      <c r="I313" s="7">
        <f t="shared" si="4"/>
        <v>8.0000000000000071E-2</v>
      </c>
      <c r="J313" t="s">
        <v>1158</v>
      </c>
    </row>
    <row r="314" spans="2:10" x14ac:dyDescent="0.25">
      <c r="C314" t="s">
        <v>338</v>
      </c>
      <c r="D314" t="s">
        <v>38</v>
      </c>
      <c r="E314" t="s">
        <v>1272</v>
      </c>
      <c r="F314" t="s">
        <v>424</v>
      </c>
      <c r="G314" s="7">
        <v>1.2</v>
      </c>
      <c r="H314" s="7">
        <v>1.1299999999999999</v>
      </c>
      <c r="I314" s="7">
        <f t="shared" si="4"/>
        <v>7.0000000000000062E-2</v>
      </c>
      <c r="J314" t="s">
        <v>1158</v>
      </c>
    </row>
    <row r="315" spans="2:10" x14ac:dyDescent="0.25">
      <c r="C315" t="s">
        <v>37</v>
      </c>
      <c r="D315" t="s">
        <v>38</v>
      </c>
      <c r="E315" t="s">
        <v>1272</v>
      </c>
      <c r="F315" t="s">
        <v>426</v>
      </c>
      <c r="G315" s="7">
        <v>1</v>
      </c>
      <c r="H315" s="7">
        <v>0.95</v>
      </c>
      <c r="I315" s="7">
        <f t="shared" si="4"/>
        <v>5.0000000000000044E-2</v>
      </c>
      <c r="J315" t="s">
        <v>1158</v>
      </c>
    </row>
    <row r="316" spans="2:10" x14ac:dyDescent="0.25">
      <c r="C316" t="s">
        <v>338</v>
      </c>
      <c r="D316" t="s">
        <v>38</v>
      </c>
      <c r="E316" t="s">
        <v>1273</v>
      </c>
      <c r="F316" t="s">
        <v>424</v>
      </c>
      <c r="G316" s="7">
        <v>2.2999999999999998</v>
      </c>
      <c r="H316" s="7">
        <v>2.17</v>
      </c>
      <c r="I316" s="7">
        <f t="shared" si="4"/>
        <v>0.12999999999999989</v>
      </c>
      <c r="J316" t="s">
        <v>1158</v>
      </c>
    </row>
    <row r="317" spans="2:10" x14ac:dyDescent="0.25">
      <c r="C317" t="s">
        <v>37</v>
      </c>
      <c r="D317" t="s">
        <v>38</v>
      </c>
      <c r="E317" t="s">
        <v>1273</v>
      </c>
      <c r="F317" t="s">
        <v>426</v>
      </c>
      <c r="G317" s="7">
        <v>2.76</v>
      </c>
      <c r="H317" s="7">
        <v>2.6</v>
      </c>
      <c r="I317" s="7">
        <f t="shared" si="4"/>
        <v>0.1599999999999997</v>
      </c>
      <c r="J317" t="s">
        <v>1158</v>
      </c>
    </row>
    <row r="318" spans="2:10" x14ac:dyDescent="0.25">
      <c r="I318" s="7"/>
    </row>
    <row r="319" spans="2:10" x14ac:dyDescent="0.25">
      <c r="E319" s="8" t="s">
        <v>421</v>
      </c>
      <c r="I319" s="7"/>
    </row>
    <row r="320" spans="2:10" x14ac:dyDescent="0.25">
      <c r="B320" t="s">
        <v>330</v>
      </c>
      <c r="C320" t="s">
        <v>338</v>
      </c>
      <c r="D320" t="s">
        <v>38</v>
      </c>
      <c r="E320" t="s">
        <v>1237</v>
      </c>
      <c r="F320" t="s">
        <v>424</v>
      </c>
      <c r="G320" s="7">
        <v>1.92</v>
      </c>
      <c r="H320" s="7">
        <v>1.82</v>
      </c>
      <c r="I320" s="7">
        <f>G320-H320</f>
        <v>9.9999999999999867E-2</v>
      </c>
      <c r="J320" t="s">
        <v>1158</v>
      </c>
    </row>
    <row r="321" spans="1:10" x14ac:dyDescent="0.25">
      <c r="A321" t="s">
        <v>289</v>
      </c>
      <c r="B321" t="s">
        <v>330</v>
      </c>
      <c r="C321" t="s">
        <v>37</v>
      </c>
      <c r="D321" t="s">
        <v>38</v>
      </c>
      <c r="E321" t="s">
        <v>1237</v>
      </c>
      <c r="F321" t="s">
        <v>426</v>
      </c>
      <c r="G321" s="7">
        <v>120</v>
      </c>
      <c r="H321" s="7">
        <v>113.4</v>
      </c>
      <c r="I321" s="7">
        <f t="shared" si="4"/>
        <v>6.5999999999999943</v>
      </c>
      <c r="J321" t="s">
        <v>1158</v>
      </c>
    </row>
    <row r="322" spans="1:10" x14ac:dyDescent="0.25">
      <c r="B322" t="s">
        <v>330</v>
      </c>
      <c r="C322" t="s">
        <v>338</v>
      </c>
      <c r="D322" t="s">
        <v>38</v>
      </c>
      <c r="E322" t="s">
        <v>1238</v>
      </c>
      <c r="F322" t="s">
        <v>424</v>
      </c>
      <c r="G322" s="7">
        <v>144</v>
      </c>
      <c r="H322" s="7">
        <v>136.08000000000001</v>
      </c>
      <c r="I322" s="7">
        <f t="shared" si="4"/>
        <v>7.9199999999999875</v>
      </c>
      <c r="J322" t="s">
        <v>1158</v>
      </c>
    </row>
    <row r="323" spans="1:10" x14ac:dyDescent="0.25">
      <c r="B323" t="s">
        <v>330</v>
      </c>
      <c r="C323" t="s">
        <v>37</v>
      </c>
      <c r="D323" t="s">
        <v>38</v>
      </c>
      <c r="E323" t="s">
        <v>1238</v>
      </c>
      <c r="F323" t="s">
        <v>426</v>
      </c>
      <c r="G323" s="7">
        <v>120</v>
      </c>
      <c r="H323" s="7">
        <v>113.4</v>
      </c>
      <c r="I323" s="7">
        <f t="shared" si="4"/>
        <v>6.5999999999999943</v>
      </c>
      <c r="J323" t="s">
        <v>1158</v>
      </c>
    </row>
    <row r="324" spans="1:10" x14ac:dyDescent="0.25">
      <c r="B324" t="s">
        <v>330</v>
      </c>
      <c r="C324" t="s">
        <v>338</v>
      </c>
      <c r="D324" t="s">
        <v>38</v>
      </c>
      <c r="E324" t="s">
        <v>1239</v>
      </c>
      <c r="F324" t="s">
        <v>424</v>
      </c>
      <c r="G324" s="7">
        <v>12</v>
      </c>
      <c r="H324" s="7">
        <v>11.34</v>
      </c>
      <c r="I324" s="7">
        <f t="shared" si="4"/>
        <v>0.66000000000000014</v>
      </c>
      <c r="J324" t="s">
        <v>1158</v>
      </c>
    </row>
    <row r="325" spans="1:10" x14ac:dyDescent="0.25">
      <c r="B325" t="s">
        <v>330</v>
      </c>
      <c r="C325" t="s">
        <v>37</v>
      </c>
      <c r="D325" t="s">
        <v>38</v>
      </c>
      <c r="E325" t="s">
        <v>1239</v>
      </c>
      <c r="F325" t="s">
        <v>426</v>
      </c>
      <c r="G325" s="7">
        <v>10</v>
      </c>
      <c r="H325" s="7">
        <v>9.4499999999999993</v>
      </c>
      <c r="I325" s="7">
        <f t="shared" si="4"/>
        <v>0.55000000000000071</v>
      </c>
      <c r="J325" t="s">
        <v>1158</v>
      </c>
    </row>
    <row r="326" spans="1:10" x14ac:dyDescent="0.25">
      <c r="I326" s="7"/>
    </row>
    <row r="327" spans="1:10" x14ac:dyDescent="0.25">
      <c r="E327" s="8" t="s">
        <v>359</v>
      </c>
      <c r="I327" s="7"/>
    </row>
    <row r="328" spans="1:10" x14ac:dyDescent="0.25">
      <c r="C328" t="s">
        <v>338</v>
      </c>
      <c r="D328" t="s">
        <v>38</v>
      </c>
      <c r="E328" t="s">
        <v>1240</v>
      </c>
      <c r="F328" t="s">
        <v>424</v>
      </c>
      <c r="G328" s="7">
        <v>2.1</v>
      </c>
      <c r="H328" s="7">
        <v>1.98</v>
      </c>
      <c r="I328" s="7">
        <f>G328-H328</f>
        <v>0.12000000000000011</v>
      </c>
      <c r="J328" t="s">
        <v>1158</v>
      </c>
    </row>
    <row r="329" spans="1:10" x14ac:dyDescent="0.25">
      <c r="B329" t="s">
        <v>140</v>
      </c>
      <c r="C329" t="s">
        <v>37</v>
      </c>
      <c r="D329" t="s">
        <v>38</v>
      </c>
      <c r="E329" t="s">
        <v>1240</v>
      </c>
      <c r="F329" t="s">
        <v>426</v>
      </c>
      <c r="G329" s="7">
        <v>1.75</v>
      </c>
      <c r="H329" s="7">
        <v>1.65</v>
      </c>
      <c r="I329" s="7">
        <f t="shared" ref="I329:I331" si="6">G329-H329</f>
        <v>0.10000000000000009</v>
      </c>
      <c r="J329" t="s">
        <v>1158</v>
      </c>
    </row>
    <row r="330" spans="1:10" x14ac:dyDescent="0.25">
      <c r="C330" t="s">
        <v>338</v>
      </c>
      <c r="D330" t="s">
        <v>38</v>
      </c>
      <c r="E330" t="s">
        <v>1241</v>
      </c>
      <c r="F330" t="s">
        <v>424</v>
      </c>
      <c r="G330" s="7">
        <v>3.96</v>
      </c>
      <c r="H330" s="7">
        <v>3.74</v>
      </c>
      <c r="I330" s="7">
        <f t="shared" si="6"/>
        <v>0.21999999999999975</v>
      </c>
      <c r="J330" t="s">
        <v>1158</v>
      </c>
    </row>
    <row r="331" spans="1:10" x14ac:dyDescent="0.25">
      <c r="B331" t="s">
        <v>143</v>
      </c>
      <c r="C331" t="s">
        <v>37</v>
      </c>
      <c r="D331" t="s">
        <v>38</v>
      </c>
      <c r="E331" t="s">
        <v>1241</v>
      </c>
      <c r="F331" t="s">
        <v>426</v>
      </c>
      <c r="G331" s="7">
        <v>3.3</v>
      </c>
      <c r="H331" s="7">
        <v>3.12</v>
      </c>
      <c r="I331" s="7">
        <f t="shared" si="6"/>
        <v>0.17999999999999972</v>
      </c>
      <c r="J331" t="s">
        <v>1158</v>
      </c>
    </row>
  </sheetData>
  <hyperlinks>
    <hyperlink ref="K1" location="'Incentives Guide'!A1" display="Global H2 Incentive" xr:uid="{B9C7558C-7004-4A4F-8C5F-8761CBFC359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78776-1969-48D3-96BB-9D361A1C2025}">
  <dimension ref="B1:N126"/>
  <sheetViews>
    <sheetView zoomScale="70" zoomScaleNormal="70" workbookViewId="0">
      <selection sqref="A1:XFD1048576"/>
    </sheetView>
  </sheetViews>
  <sheetFormatPr defaultColWidth="10.140625" defaultRowHeight="15" x14ac:dyDescent="0.25"/>
  <cols>
    <col min="1" max="1" width="3.85546875" customWidth="1"/>
    <col min="2" max="2" width="50.42578125" style="117" customWidth="1"/>
    <col min="3" max="3" width="121.140625" style="88" customWidth="1"/>
    <col min="8" max="8" width="16.140625" customWidth="1"/>
    <col min="18" max="18" width="31" customWidth="1"/>
  </cols>
  <sheetData>
    <row r="1" spans="2:14" ht="16.5" thickBot="1" x14ac:dyDescent="0.3">
      <c r="B1" s="50"/>
      <c r="H1" s="89"/>
      <c r="I1" s="89"/>
      <c r="J1" s="89"/>
      <c r="K1" s="89"/>
      <c r="L1" s="89"/>
      <c r="M1" s="89"/>
      <c r="N1" s="89"/>
    </row>
    <row r="2" spans="2:14" ht="17.25" thickTop="1" thickBot="1" x14ac:dyDescent="0.3">
      <c r="B2" s="90" t="s">
        <v>495</v>
      </c>
      <c r="C2" s="90" t="s">
        <v>496</v>
      </c>
      <c r="D2" s="91"/>
      <c r="E2" s="91"/>
      <c r="F2" s="91"/>
      <c r="G2" s="91"/>
      <c r="H2" s="89"/>
      <c r="I2" s="89"/>
      <c r="J2" s="89"/>
      <c r="K2" s="89"/>
      <c r="L2" s="89"/>
      <c r="M2" s="89"/>
      <c r="N2" s="89"/>
    </row>
    <row r="3" spans="2:14" ht="17.25" thickTop="1" thickBot="1" x14ac:dyDescent="0.3">
      <c r="B3" s="92"/>
      <c r="C3" s="93"/>
      <c r="D3" s="12"/>
      <c r="E3" s="12"/>
      <c r="F3" s="12"/>
      <c r="G3" s="12"/>
      <c r="H3" s="89"/>
      <c r="I3" s="89"/>
      <c r="J3" s="89"/>
      <c r="K3" s="89"/>
      <c r="L3" s="89"/>
      <c r="M3" s="89"/>
      <c r="N3" s="89"/>
    </row>
    <row r="4" spans="2:14" ht="17.25" thickTop="1" thickBot="1" x14ac:dyDescent="0.3">
      <c r="B4" s="123" t="s">
        <v>497</v>
      </c>
      <c r="C4" s="123"/>
      <c r="G4" s="91"/>
      <c r="H4" s="89"/>
    </row>
    <row r="5" spans="2:14" ht="31.5" thickTop="1" thickBot="1" x14ac:dyDescent="0.3">
      <c r="B5" s="51" t="s">
        <v>498</v>
      </c>
      <c r="C5" s="94" t="s">
        <v>499</v>
      </c>
    </row>
    <row r="6" spans="2:14" ht="31.5" customHeight="1" thickTop="1" thickBot="1" x14ac:dyDescent="0.3">
      <c r="B6" s="51" t="s">
        <v>500</v>
      </c>
      <c r="C6" s="95" t="s">
        <v>501</v>
      </c>
      <c r="H6" s="89"/>
    </row>
    <row r="7" spans="2:14" ht="31.5" thickTop="1" thickBot="1" x14ac:dyDescent="0.3">
      <c r="B7" s="96" t="s">
        <v>502</v>
      </c>
      <c r="C7" s="94" t="s">
        <v>503</v>
      </c>
      <c r="H7" s="89"/>
    </row>
    <row r="8" spans="2:14" ht="30" customHeight="1" thickTop="1" thickBot="1" x14ac:dyDescent="0.3">
      <c r="B8" s="97" t="s">
        <v>504</v>
      </c>
      <c r="C8" s="95" t="s">
        <v>505</v>
      </c>
      <c r="H8" s="89"/>
    </row>
    <row r="9" spans="2:14" ht="30.6" customHeight="1" thickTop="1" thickBot="1" x14ac:dyDescent="0.3">
      <c r="B9" s="97" t="s">
        <v>506</v>
      </c>
      <c r="C9" s="95" t="s">
        <v>507</v>
      </c>
      <c r="H9" s="89"/>
    </row>
    <row r="10" spans="2:14" ht="34.35" customHeight="1" thickTop="1" thickBot="1" x14ac:dyDescent="0.3">
      <c r="B10" s="97" t="s">
        <v>508</v>
      </c>
      <c r="C10" s="94" t="s">
        <v>509</v>
      </c>
      <c r="H10" s="89"/>
    </row>
    <row r="11" spans="2:14" ht="16.5" thickTop="1" x14ac:dyDescent="0.25">
      <c r="B11" s="98"/>
      <c r="H11" s="89"/>
    </row>
    <row r="12" spans="2:14" ht="16.5" thickBot="1" x14ac:dyDescent="0.3">
      <c r="B12" s="99"/>
      <c r="H12" s="89"/>
    </row>
    <row r="13" spans="2:14" ht="17.25" thickTop="1" thickBot="1" x14ac:dyDescent="0.3">
      <c r="B13" s="127" t="s">
        <v>771</v>
      </c>
      <c r="C13" s="127"/>
      <c r="H13" s="89"/>
    </row>
    <row r="14" spans="2:14" ht="73.349999999999994" customHeight="1" thickTop="1" thickBot="1" x14ac:dyDescent="0.3">
      <c r="B14" s="97" t="s">
        <v>772</v>
      </c>
      <c r="C14" s="94" t="s">
        <v>1336</v>
      </c>
      <c r="H14" s="89"/>
    </row>
    <row r="15" spans="2:14" ht="16.5" thickTop="1" x14ac:dyDescent="0.25">
      <c r="B15" s="99"/>
      <c r="H15" s="89"/>
    </row>
    <row r="16" spans="2:14" ht="16.5" thickBot="1" x14ac:dyDescent="0.3">
      <c r="B16" s="100"/>
      <c r="H16" s="89"/>
    </row>
    <row r="17" spans="2:8" ht="17.25" thickTop="1" thickBot="1" x14ac:dyDescent="0.3">
      <c r="B17" s="123" t="s">
        <v>510</v>
      </c>
      <c r="C17" s="123"/>
    </row>
    <row r="18" spans="2:8" ht="32.1" customHeight="1" thickTop="1" thickBot="1" x14ac:dyDescent="0.3">
      <c r="B18" s="97" t="s">
        <v>511</v>
      </c>
      <c r="C18" s="95" t="s">
        <v>512</v>
      </c>
    </row>
    <row r="19" spans="2:8" ht="15.75" thickTop="1" x14ac:dyDescent="0.25">
      <c r="B19" s="98"/>
    </row>
    <row r="20" spans="2:8" ht="16.5" thickBot="1" x14ac:dyDescent="0.3">
      <c r="B20" s="101"/>
      <c r="H20" s="89"/>
    </row>
    <row r="21" spans="2:8" ht="17.25" thickTop="1" thickBot="1" x14ac:dyDescent="0.3">
      <c r="B21" s="123" t="s">
        <v>513</v>
      </c>
      <c r="C21" s="123"/>
    </row>
    <row r="22" spans="2:8" ht="21" customHeight="1" thickTop="1" thickBot="1" x14ac:dyDescent="0.3">
      <c r="B22" s="97" t="s">
        <v>514</v>
      </c>
      <c r="C22" s="102" t="s">
        <v>773</v>
      </c>
    </row>
    <row r="23" spans="2:8" ht="15.75" thickTop="1" x14ac:dyDescent="0.25">
      <c r="B23" s="98"/>
    </row>
    <row r="24" spans="2:8" ht="15.75" thickBot="1" x14ac:dyDescent="0.3">
      <c r="B24" s="100"/>
    </row>
    <row r="25" spans="2:8" ht="17.25" thickTop="1" thickBot="1" x14ac:dyDescent="0.3">
      <c r="B25" s="123" t="s">
        <v>515</v>
      </c>
      <c r="C25" s="123"/>
    </row>
    <row r="26" spans="2:8" ht="15.6" hidden="1" customHeight="1" x14ac:dyDescent="0.25">
      <c r="B26" s="103" t="s">
        <v>516</v>
      </c>
      <c r="C26" s="95"/>
    </row>
    <row r="27" spans="2:8" ht="37.35" customHeight="1" thickTop="1" thickBot="1" x14ac:dyDescent="0.3">
      <c r="B27" s="104" t="s">
        <v>517</v>
      </c>
      <c r="C27" s="105" t="s">
        <v>518</v>
      </c>
    </row>
    <row r="28" spans="2:8" ht="32.450000000000003" customHeight="1" thickTop="1" thickBot="1" x14ac:dyDescent="0.3">
      <c r="B28" s="97" t="s">
        <v>774</v>
      </c>
      <c r="C28" s="95" t="s">
        <v>775</v>
      </c>
    </row>
    <row r="29" spans="2:8" ht="15.75" thickTop="1" x14ac:dyDescent="0.25">
      <c r="B29" s="106"/>
    </row>
    <row r="30" spans="2:8" ht="16.5" thickBot="1" x14ac:dyDescent="0.3">
      <c r="B30" s="92"/>
    </row>
    <row r="31" spans="2:8" ht="15.6" hidden="1" customHeight="1" x14ac:dyDescent="0.25">
      <c r="B31" s="53" t="s">
        <v>519</v>
      </c>
    </row>
    <row r="32" spans="2:8" ht="15.6" hidden="1" customHeight="1" x14ac:dyDescent="0.25">
      <c r="B32" s="107" t="s">
        <v>520</v>
      </c>
    </row>
    <row r="33" spans="2:3" ht="15.6" hidden="1" customHeight="1" thickBot="1" x14ac:dyDescent="0.3">
      <c r="B33" s="108"/>
    </row>
    <row r="34" spans="2:3" ht="17.25" thickTop="1" thickBot="1" x14ac:dyDescent="0.3">
      <c r="B34" s="123" t="s">
        <v>521</v>
      </c>
      <c r="C34" s="123"/>
    </row>
    <row r="35" spans="2:3" ht="35.450000000000003" customHeight="1" thickTop="1" thickBot="1" x14ac:dyDescent="0.3">
      <c r="B35" s="97" t="s">
        <v>522</v>
      </c>
      <c r="C35" s="94" t="s">
        <v>523</v>
      </c>
    </row>
    <row r="36" spans="2:3" ht="29.1" customHeight="1" thickTop="1" thickBot="1" x14ac:dyDescent="0.3">
      <c r="B36" s="97" t="s">
        <v>524</v>
      </c>
      <c r="C36" s="95" t="s">
        <v>525</v>
      </c>
    </row>
    <row r="37" spans="2:3" ht="15.6" hidden="1" customHeight="1" thickTop="1" thickBot="1" x14ac:dyDescent="0.3">
      <c r="B37" s="103" t="s">
        <v>526</v>
      </c>
      <c r="C37" s="95"/>
    </row>
    <row r="38" spans="2:3" ht="34.35" customHeight="1" thickTop="1" thickBot="1" x14ac:dyDescent="0.3">
      <c r="B38" s="97" t="s">
        <v>527</v>
      </c>
      <c r="C38" s="94" t="s">
        <v>528</v>
      </c>
    </row>
    <row r="39" spans="2:3" ht="34.35" customHeight="1" thickTop="1" thickBot="1" x14ac:dyDescent="0.3">
      <c r="B39" s="97" t="s">
        <v>1337</v>
      </c>
      <c r="C39" s="94" t="s">
        <v>1338</v>
      </c>
    </row>
    <row r="40" spans="2:3" ht="15.75" thickTop="1" x14ac:dyDescent="0.25">
      <c r="B40" s="98"/>
    </row>
    <row r="41" spans="2:3" ht="15.75" thickBot="1" x14ac:dyDescent="0.3">
      <c r="B41" s="99"/>
    </row>
    <row r="42" spans="2:3" ht="17.25" thickTop="1" thickBot="1" x14ac:dyDescent="0.3">
      <c r="B42" s="128" t="s">
        <v>776</v>
      </c>
      <c r="C42" s="128"/>
    </row>
    <row r="43" spans="2:3" ht="30.6" customHeight="1" thickTop="1" thickBot="1" x14ac:dyDescent="0.3">
      <c r="B43" s="54" t="s">
        <v>777</v>
      </c>
      <c r="C43" s="94" t="s">
        <v>778</v>
      </c>
    </row>
    <row r="44" spans="2:3" ht="15.75" thickTop="1" x14ac:dyDescent="0.25">
      <c r="B44" s="99"/>
    </row>
    <row r="45" spans="2:3" ht="16.5" thickBot="1" x14ac:dyDescent="0.3">
      <c r="B45" s="101"/>
    </row>
    <row r="46" spans="2:3" ht="17.25" thickTop="1" thickBot="1" x14ac:dyDescent="0.3">
      <c r="B46" s="123" t="s">
        <v>529</v>
      </c>
      <c r="C46" s="123"/>
    </row>
    <row r="47" spans="2:3" ht="31.5" thickTop="1" thickBot="1" x14ac:dyDescent="0.3">
      <c r="B47" s="97" t="s">
        <v>530</v>
      </c>
      <c r="C47" s="94" t="s">
        <v>531</v>
      </c>
    </row>
    <row r="48" spans="2:3" ht="36" customHeight="1" thickTop="1" thickBot="1" x14ac:dyDescent="0.3">
      <c r="B48" s="97" t="s">
        <v>532</v>
      </c>
      <c r="C48" s="94" t="s">
        <v>533</v>
      </c>
    </row>
    <row r="49" spans="2:3" ht="37.5" customHeight="1" thickTop="1" thickBot="1" x14ac:dyDescent="0.3">
      <c r="B49" s="97" t="s">
        <v>534</v>
      </c>
      <c r="C49" s="94" t="s">
        <v>535</v>
      </c>
    </row>
    <row r="50" spans="2:3" ht="15.75" thickTop="1" x14ac:dyDescent="0.25">
      <c r="B50" s="98"/>
    </row>
    <row r="51" spans="2:3" ht="15.75" thickBot="1" x14ac:dyDescent="0.3">
      <c r="B51" s="99"/>
    </row>
    <row r="52" spans="2:3" ht="17.25" thickTop="1" thickBot="1" x14ac:dyDescent="0.3">
      <c r="B52" s="124" t="s">
        <v>779</v>
      </c>
      <c r="C52" s="124"/>
    </row>
    <row r="53" spans="2:3" ht="29.45" customHeight="1" thickTop="1" thickBot="1" x14ac:dyDescent="0.3">
      <c r="B53" s="97" t="s">
        <v>780</v>
      </c>
      <c r="C53" s="94" t="s">
        <v>781</v>
      </c>
    </row>
    <row r="54" spans="2:3" ht="16.5" thickTop="1" x14ac:dyDescent="0.25">
      <c r="B54" s="92"/>
    </row>
    <row r="55" spans="2:3" ht="15.6" hidden="1" customHeight="1" x14ac:dyDescent="0.25">
      <c r="B55" s="53" t="s">
        <v>536</v>
      </c>
    </row>
    <row r="56" spans="2:3" ht="15.6" hidden="1" customHeight="1" x14ac:dyDescent="0.25">
      <c r="B56" s="109" t="s">
        <v>537</v>
      </c>
    </row>
    <row r="57" spans="2:3" ht="15.6" hidden="1" customHeight="1" thickBot="1" x14ac:dyDescent="0.3">
      <c r="B57" s="108"/>
    </row>
    <row r="58" spans="2:3" ht="15.6" customHeight="1" thickBot="1" x14ac:dyDescent="0.3">
      <c r="B58" s="92"/>
    </row>
    <row r="59" spans="2:3" ht="17.25" thickTop="1" thickBot="1" x14ac:dyDescent="0.3">
      <c r="B59" s="124" t="s">
        <v>538</v>
      </c>
      <c r="C59" s="124"/>
    </row>
    <row r="60" spans="2:3" ht="30.6" customHeight="1" thickTop="1" thickBot="1" x14ac:dyDescent="0.3">
      <c r="B60" s="97" t="s">
        <v>539</v>
      </c>
      <c r="C60" s="95" t="s">
        <v>540</v>
      </c>
    </row>
    <row r="61" spans="2:3" ht="31.5" customHeight="1" thickTop="1" thickBot="1" x14ac:dyDescent="0.3">
      <c r="B61" s="97" t="s">
        <v>541</v>
      </c>
      <c r="C61" s="95" t="s">
        <v>542</v>
      </c>
    </row>
    <row r="62" spans="2:3" ht="15.75" thickTop="1" x14ac:dyDescent="0.25">
      <c r="B62" s="98"/>
    </row>
    <row r="63" spans="2:3" ht="16.5" thickBot="1" x14ac:dyDescent="0.3">
      <c r="B63" s="101"/>
    </row>
    <row r="64" spans="2:3" ht="17.25" thickTop="1" thickBot="1" x14ac:dyDescent="0.3">
      <c r="B64" s="124" t="s">
        <v>543</v>
      </c>
      <c r="C64" s="124"/>
    </row>
    <row r="65" spans="2:3" ht="31.5" thickTop="1" thickBot="1" x14ac:dyDescent="0.3">
      <c r="B65" s="97" t="s">
        <v>544</v>
      </c>
      <c r="C65" s="94" t="s">
        <v>545</v>
      </c>
    </row>
    <row r="66" spans="2:3" ht="15.75" thickTop="1" x14ac:dyDescent="0.25">
      <c r="B66" s="98"/>
    </row>
    <row r="67" spans="2:3" ht="15.75" thickBot="1" x14ac:dyDescent="0.3">
      <c r="B67" s="99"/>
    </row>
    <row r="68" spans="2:3" ht="17.25" thickTop="1" thickBot="1" x14ac:dyDescent="0.3">
      <c r="B68" s="124" t="s">
        <v>1339</v>
      </c>
      <c r="C68" s="124"/>
    </row>
    <row r="69" spans="2:3" ht="48" customHeight="1" thickTop="1" thickBot="1" x14ac:dyDescent="0.3">
      <c r="B69" s="97" t="s">
        <v>1340</v>
      </c>
      <c r="C69" s="94" t="s">
        <v>1341</v>
      </c>
    </row>
    <row r="70" spans="2:3" ht="16.5" thickTop="1" x14ac:dyDescent="0.25">
      <c r="B70" s="92"/>
    </row>
    <row r="71" spans="2:3" ht="16.5" thickBot="1" x14ac:dyDescent="0.3">
      <c r="B71" s="92"/>
    </row>
    <row r="72" spans="2:3" ht="17.25" thickTop="1" thickBot="1" x14ac:dyDescent="0.3">
      <c r="B72" s="124" t="s">
        <v>546</v>
      </c>
      <c r="C72" s="124"/>
    </row>
    <row r="73" spans="2:3" ht="31.5" thickTop="1" thickBot="1" x14ac:dyDescent="0.3">
      <c r="B73" s="110" t="s">
        <v>547</v>
      </c>
      <c r="C73" s="111" t="s">
        <v>548</v>
      </c>
    </row>
    <row r="74" spans="2:3" ht="15.75" thickTop="1" x14ac:dyDescent="0.25">
      <c r="B74" s="98"/>
    </row>
    <row r="75" spans="2:3" ht="16.5" thickBot="1" x14ac:dyDescent="0.3">
      <c r="B75" s="101"/>
    </row>
    <row r="76" spans="2:3" ht="17.25" thickTop="1" thickBot="1" x14ac:dyDescent="0.3">
      <c r="B76" s="123" t="s">
        <v>549</v>
      </c>
      <c r="C76" s="123"/>
    </row>
    <row r="77" spans="2:3" ht="33.950000000000003" customHeight="1" thickTop="1" thickBot="1" x14ac:dyDescent="0.3">
      <c r="B77" s="97" t="s">
        <v>550</v>
      </c>
      <c r="C77" s="94" t="s">
        <v>551</v>
      </c>
    </row>
    <row r="78" spans="2:3" ht="15.75" thickTop="1" x14ac:dyDescent="0.25">
      <c r="B78" s="98"/>
    </row>
    <row r="79" spans="2:3" ht="16.5" thickBot="1" x14ac:dyDescent="0.3">
      <c r="B79" s="101"/>
    </row>
    <row r="80" spans="2:3" ht="17.25" thickTop="1" thickBot="1" x14ac:dyDescent="0.3">
      <c r="B80" s="123" t="s">
        <v>552</v>
      </c>
      <c r="C80" s="123"/>
    </row>
    <row r="81" spans="2:3" ht="31.5" thickTop="1" thickBot="1" x14ac:dyDescent="0.3">
      <c r="B81" s="97" t="s">
        <v>553</v>
      </c>
      <c r="C81" s="94" t="s">
        <v>554</v>
      </c>
    </row>
    <row r="82" spans="2:3" ht="15.75" thickTop="1" x14ac:dyDescent="0.25">
      <c r="B82" s="98"/>
    </row>
    <row r="83" spans="2:3" ht="16.5" thickBot="1" x14ac:dyDescent="0.3">
      <c r="B83" s="92"/>
      <c r="C83" s="112"/>
    </row>
    <row r="84" spans="2:3" ht="17.25" thickTop="1" thickBot="1" x14ac:dyDescent="0.3">
      <c r="B84" s="123" t="s">
        <v>555</v>
      </c>
      <c r="C84" s="123"/>
    </row>
    <row r="85" spans="2:3" ht="33" customHeight="1" thickTop="1" thickBot="1" x14ac:dyDescent="0.3">
      <c r="B85" s="97" t="s">
        <v>556</v>
      </c>
      <c r="C85" s="95" t="s">
        <v>557</v>
      </c>
    </row>
    <row r="86" spans="2:3" ht="15.75" thickTop="1" x14ac:dyDescent="0.25">
      <c r="B86" s="99"/>
      <c r="C86" s="113"/>
    </row>
    <row r="87" spans="2:3" ht="16.5" thickBot="1" x14ac:dyDescent="0.3">
      <c r="B87" s="92"/>
      <c r="C87" s="112"/>
    </row>
    <row r="88" spans="2:3" ht="17.25" thickTop="1" thickBot="1" x14ac:dyDescent="0.3">
      <c r="B88" s="123" t="s">
        <v>652</v>
      </c>
      <c r="C88" s="123"/>
    </row>
    <row r="89" spans="2:3" ht="27.6" customHeight="1" thickTop="1" thickBot="1" x14ac:dyDescent="0.3">
      <c r="B89" s="54" t="s">
        <v>558</v>
      </c>
      <c r="C89" s="94" t="s">
        <v>559</v>
      </c>
    </row>
    <row r="90" spans="2:3" ht="31.5" thickTop="1" thickBot="1" x14ac:dyDescent="0.3">
      <c r="B90" s="52" t="s">
        <v>560</v>
      </c>
      <c r="C90" s="94" t="s">
        <v>561</v>
      </c>
    </row>
    <row r="91" spans="2:3" ht="32.450000000000003" customHeight="1" thickTop="1" thickBot="1" x14ac:dyDescent="0.3">
      <c r="B91" s="97" t="s">
        <v>562</v>
      </c>
      <c r="C91" s="94" t="s">
        <v>563</v>
      </c>
    </row>
    <row r="92" spans="2:3" ht="36" customHeight="1" thickTop="1" thickBot="1" x14ac:dyDescent="0.3">
      <c r="B92" s="97" t="s">
        <v>564</v>
      </c>
      <c r="C92" s="94" t="s">
        <v>565</v>
      </c>
    </row>
    <row r="93" spans="2:3" ht="37.700000000000003" customHeight="1" thickTop="1" thickBot="1" x14ac:dyDescent="0.3">
      <c r="B93" s="96" t="s">
        <v>566</v>
      </c>
      <c r="C93" s="94" t="s">
        <v>866</v>
      </c>
    </row>
    <row r="94" spans="2:3" ht="34.35" customHeight="1" thickTop="1" thickBot="1" x14ac:dyDescent="0.3">
      <c r="B94" s="114" t="s">
        <v>567</v>
      </c>
      <c r="C94" s="115" t="s">
        <v>867</v>
      </c>
    </row>
    <row r="95" spans="2:3" ht="32.1" customHeight="1" thickTop="1" thickBot="1" x14ac:dyDescent="0.3">
      <c r="B95" s="97" t="s">
        <v>782</v>
      </c>
      <c r="C95" s="94" t="s">
        <v>783</v>
      </c>
    </row>
    <row r="96" spans="2:3" ht="15.75" thickTop="1" x14ac:dyDescent="0.25">
      <c r="B96" s="99"/>
      <c r="C96" s="116"/>
    </row>
    <row r="97" spans="2:3" ht="16.5" thickBot="1" x14ac:dyDescent="0.3">
      <c r="B97" s="92"/>
    </row>
    <row r="98" spans="2:3" ht="16.5" thickBot="1" x14ac:dyDescent="0.3">
      <c r="B98" s="125" t="s">
        <v>568</v>
      </c>
      <c r="C98" s="126"/>
    </row>
    <row r="99" spans="2:3" ht="30.75" thickBot="1" x14ac:dyDescent="0.3">
      <c r="B99" s="110" t="s">
        <v>569</v>
      </c>
      <c r="C99" s="111" t="s">
        <v>570</v>
      </c>
    </row>
    <row r="100" spans="2:3" ht="33" customHeight="1" thickTop="1" thickBot="1" x14ac:dyDescent="0.3">
      <c r="B100" s="110" t="s">
        <v>571</v>
      </c>
      <c r="C100" s="111" t="s">
        <v>572</v>
      </c>
    </row>
    <row r="101" spans="2:3" ht="15.75" thickTop="1" x14ac:dyDescent="0.25"/>
    <row r="102" spans="2:3" ht="15.75" thickBot="1" x14ac:dyDescent="0.3">
      <c r="B102" s="99"/>
    </row>
    <row r="103" spans="2:3" ht="17.25" thickTop="1" thickBot="1" x14ac:dyDescent="0.3">
      <c r="B103" s="123" t="s">
        <v>573</v>
      </c>
      <c r="C103" s="123"/>
    </row>
    <row r="104" spans="2:3" ht="30.95" customHeight="1" thickTop="1" thickBot="1" x14ac:dyDescent="0.3">
      <c r="B104" s="97" t="s">
        <v>574</v>
      </c>
      <c r="C104" s="95" t="s">
        <v>575</v>
      </c>
    </row>
    <row r="105" spans="2:3" ht="15.75" thickTop="1" x14ac:dyDescent="0.25">
      <c r="B105" s="98"/>
    </row>
    <row r="106" spans="2:3" ht="16.5" thickBot="1" x14ac:dyDescent="0.3">
      <c r="B106" s="101"/>
    </row>
    <row r="107" spans="2:3" ht="17.25" thickTop="1" thickBot="1" x14ac:dyDescent="0.3">
      <c r="B107" s="123" t="s">
        <v>576</v>
      </c>
      <c r="C107" s="123"/>
    </row>
    <row r="108" spans="2:3" ht="31.5" thickTop="1" thickBot="1" x14ac:dyDescent="0.3">
      <c r="B108" s="97" t="s">
        <v>577</v>
      </c>
      <c r="C108" s="94" t="s">
        <v>578</v>
      </c>
    </row>
    <row r="109" spans="2:3" ht="31.5" thickTop="1" thickBot="1" x14ac:dyDescent="0.3">
      <c r="B109" s="97" t="s">
        <v>579</v>
      </c>
      <c r="C109" s="94" t="s">
        <v>580</v>
      </c>
    </row>
    <row r="110" spans="2:3" ht="39" customHeight="1" thickTop="1" thickBot="1" x14ac:dyDescent="0.3">
      <c r="B110" s="97" t="s">
        <v>581</v>
      </c>
      <c r="C110" s="94" t="s">
        <v>582</v>
      </c>
    </row>
    <row r="111" spans="2:3" ht="15.75" thickTop="1" x14ac:dyDescent="0.25">
      <c r="B111" s="50"/>
      <c r="C111" s="113"/>
    </row>
    <row r="112" spans="2:3" x14ac:dyDescent="0.25">
      <c r="B112" s="50"/>
    </row>
    <row r="113" spans="2:2" x14ac:dyDescent="0.25">
      <c r="B113" s="50"/>
    </row>
    <row r="114" spans="2:2" x14ac:dyDescent="0.25">
      <c r="B114" s="50"/>
    </row>
    <row r="115" spans="2:2" x14ac:dyDescent="0.25">
      <c r="B115" s="50"/>
    </row>
    <row r="116" spans="2:2" x14ac:dyDescent="0.25">
      <c r="B116" s="50"/>
    </row>
    <row r="117" spans="2:2" x14ac:dyDescent="0.25">
      <c r="B117" s="50"/>
    </row>
    <row r="118" spans="2:2" x14ac:dyDescent="0.25">
      <c r="B118" s="50"/>
    </row>
    <row r="119" spans="2:2" x14ac:dyDescent="0.25">
      <c r="B119" s="50"/>
    </row>
    <row r="120" spans="2:2" x14ac:dyDescent="0.25">
      <c r="B120" s="50"/>
    </row>
    <row r="121" spans="2:2" x14ac:dyDescent="0.25">
      <c r="B121" s="50"/>
    </row>
    <row r="122" spans="2:2" x14ac:dyDescent="0.25">
      <c r="B122" s="50"/>
    </row>
    <row r="123" spans="2:2" x14ac:dyDescent="0.25">
      <c r="B123" s="50"/>
    </row>
    <row r="124" spans="2:2" x14ac:dyDescent="0.25">
      <c r="B124" s="50"/>
    </row>
    <row r="125" spans="2:2" x14ac:dyDescent="0.25">
      <c r="B125" s="50"/>
    </row>
    <row r="126" spans="2:2" x14ac:dyDescent="0.25">
      <c r="B126" s="50"/>
    </row>
  </sheetData>
  <mergeCells count="20">
    <mergeCell ref="B64:C64"/>
    <mergeCell ref="B68:C68"/>
    <mergeCell ref="B4:C4"/>
    <mergeCell ref="B17:C17"/>
    <mergeCell ref="B21:C21"/>
    <mergeCell ref="B25:C25"/>
    <mergeCell ref="B13:C13"/>
    <mergeCell ref="B34:C34"/>
    <mergeCell ref="B42:C42"/>
    <mergeCell ref="B46:C46"/>
    <mergeCell ref="B52:C52"/>
    <mergeCell ref="B59:C59"/>
    <mergeCell ref="B103:C103"/>
    <mergeCell ref="B107:C107"/>
    <mergeCell ref="B72:C72"/>
    <mergeCell ref="B76:C76"/>
    <mergeCell ref="B80:C80"/>
    <mergeCell ref="B84:C84"/>
    <mergeCell ref="B88:C88"/>
    <mergeCell ref="B98:C98"/>
  </mergeCells>
  <hyperlinks>
    <hyperlink ref="B5" location="'4Sight'!B5" display="Asset Management | 4asset" xr:uid="{ADE79608-F0D2-4DB8-845D-BF997594F877}"/>
    <hyperlink ref="B64" location="'Education - Campus and Schools'!A1" display="Education - Campus and Schools" xr:uid="{CA448E2E-CE0C-4095-9ECF-028FA02A4849}"/>
    <hyperlink ref="B110" location="'Reporting and Forecasting'!B7" display="Data Management and Analytics | ZAP" xr:uid="{9B05F567-3D0C-4D59-A823-F4E4CCFD1627}"/>
    <hyperlink ref="B109" location="'Reporting and Forecasting'!B6" display="Corporate Peformance Management | Solver" xr:uid="{3D8657D5-E697-4016-A396-0A2986CC834E}"/>
    <hyperlink ref="B108" location="'Reporting and Forecasting'!B5" display="Budgeting and Forecasting | IDU" xr:uid="{17A3766B-C2D1-4D24-8058-08309BF95036}"/>
    <hyperlink ref="B104" location="'Property Management'!B5" display="MRI" xr:uid="{F86BB0B9-EC88-4A32-8644-07BC1F8066B4}"/>
    <hyperlink ref="B100" location="'Point of Sale'!B6" display="Point of Sale | TallOrder" xr:uid="{A41C1514-1835-4078-BA5E-6AAC4F792253}"/>
    <hyperlink ref="B99" location="'Point of Sale'!B5" display="Enterprise Retail Management | iVend" xr:uid="{C6C8A41B-6408-4247-8B64-B985AA40E9A8}"/>
    <hyperlink ref="B94" location="'Payroll and HR'!B10" display="Workforce Management | Econz Wireless" xr:uid="{094C29A8-5B08-4C54-96B3-348916E57FB1}"/>
    <hyperlink ref="B93" location="'Payroll and HR'!B8" display="Recruitment | Direct Hire" xr:uid="{CBF3BC21-99F6-4D8E-AA8B-225053D26187}"/>
    <hyperlink ref="B92" location="'Payroll and HR'!B7" display="Human Resource Management | Signify" xr:uid="{08575040-D4B2-4A84-84EC-D72151B0055B}"/>
    <hyperlink ref="B91" location="'Payroll and HR'!B6" display="Financial Wellness | Paymenow" xr:uid="{3CDF0A91-FB05-4076-AC61-4763F207E7D4}"/>
    <hyperlink ref="B89" location="'Payroll and HR'!B8" display="Dynamics Payroll and HR" xr:uid="{46226E64-AB7D-4DBF-9718-E6580019E40D}"/>
    <hyperlink ref="B85" location="'Payment Services'!B5" display="Netcash" xr:uid="{A9717AAB-7E53-4BFD-87D9-32B57C567A0A}"/>
    <hyperlink ref="B81" location="Healthcare!B5" display="Trifour Health" xr:uid="{BDBEB9B7-F835-4027-B486-BD5D8BC83C4F}"/>
    <hyperlink ref="B77" location="'Governance, Risk and Compliance'!B5" display="OSA Int" xr:uid="{FF1E001C-9465-4208-9242-B7FF01A782CE}"/>
    <hyperlink ref="B73" location="'Field Service'!B5" display="DarkRed" xr:uid="{FA65725B-035B-41E4-9A04-5F0E999FE847}"/>
    <hyperlink ref="B65" location="'Education - Campus and Schools'!B5" display="Codevision" xr:uid="{31BB7D77-FE6B-4F68-AB3B-3E1BAAACFE45}"/>
    <hyperlink ref="B61" location="'e-Learning'!B6" display="Learning Management | NewLeaf" xr:uid="{77CDF2DE-1229-4ECF-A3D8-0C7597CD71DB}"/>
    <hyperlink ref="B60" location="'e-Learning'!B5" display="Communities Learning Platform | EDDuus" xr:uid="{3EF0EA18-D179-4955-AE9D-15CA41C1711A}"/>
    <hyperlink ref="B56" location="'e-Commerce Platform'!B5" display="Shopify" xr:uid="{CF097EF2-81B3-4004-B87B-E7BEED5CAF2D}"/>
    <hyperlink ref="B49" location="'Document Management'!B7" display="Invoice Recognition | Paperless" xr:uid="{5E330E48-217C-4338-A50F-12653E054654}"/>
    <hyperlink ref="B48" location="'Document Management'!B6" display="Enterprise Document Management | Docuvision" xr:uid="{333CE5EA-855C-4488-87D3-0A0A554D3B58}"/>
    <hyperlink ref="B47" location="'Document Management'!B5" display="Enterprise Content Management | Virtual Postman" xr:uid="{9869B884-49F1-4D64-B927-81DD824491E0}"/>
    <hyperlink ref="B38" location="'Cyber Security'!B8" display="Ransomware | BlackFog" xr:uid="{FA15AFC8-135A-42CE-BF5F-E98E61EFC38E}"/>
    <hyperlink ref="B37" location="'Cyber Security'!B7" display="IOT Cyber Security | Nzomi" xr:uid="{F383F511-9795-4528-BD80-F4AD86E99AC8}"/>
    <hyperlink ref="B36" location="'Cyber Security'!B6" display="Backup and Cyber Security | Acronis" xr:uid="{E1B62D51-2A39-413B-AE63-2F4881F01932}"/>
    <hyperlink ref="B35" location="'Cyber Security'!B5" display="Acronis Reporting | Xtracti" xr:uid="{CCCB266B-C7AD-4EB4-A1A5-EFF4F5DDA4BE}"/>
    <hyperlink ref="B32" location="'Computer Hardware'!B5" display="Mustek" xr:uid="{012C1183-EA79-41D7-9F44-6893A4F46F65}"/>
    <hyperlink ref="B27" location="Communications!B6" display="Engagement Solution | Kunjani" xr:uid="{5F3F71A4-6306-40E9-A806-A08E106BCE4D}"/>
    <hyperlink ref="B26" location="Communications!B5" display="Email Signature Management | Exclaimer" xr:uid="{F507BE40-5CD5-469F-BB6A-C23986E2EB36}"/>
    <hyperlink ref="B22" location="Collections!B5" display="Cognius.AI" xr:uid="{B0E34D65-D544-44EB-9B22-10A3331A384E}"/>
    <hyperlink ref="B18" location="'Banking and Insurance'!B5" display="Veripark" xr:uid="{078B270E-06B5-4FFF-8B6A-D5ABF5083891}"/>
    <hyperlink ref="B10" location="'4Sight'!B16" display="Intelligent Process Automation | 4flow" xr:uid="{B42FB170-8746-41A9-BDEC-021F88451EED}"/>
    <hyperlink ref="B9" location="'4Sight'!B15" display="Integration | 4integrate" xr:uid="{F6F8F439-EBAA-4E61-9F58-88498EFC269E}"/>
    <hyperlink ref="B8" location="'4Sight'!B12" display="Database Management | 4audit" xr:uid="{F2C99F40-5DF4-4570-8626-AD82F61487A3}"/>
    <hyperlink ref="B7" location="'4Sight'!B9" display="Communications | 4talk" xr:uid="{E0502D64-7966-4ED9-B90E-31429E3D739A}"/>
    <hyperlink ref="B6" location="'4Sight'!B7" display="Asset Verification | 4verify" xr:uid="{E386D7CA-EB6E-41FF-9730-609BE56E7B15}"/>
    <hyperlink ref="B107" location="'Reporting and Forecasting'!A1" display="Reporting and Forecasting" xr:uid="{9DCA2B41-00FA-439E-AD20-C12BC1AB30D7}"/>
    <hyperlink ref="B103" location="'Property Management'!A1" display="Property Management" xr:uid="{C197807D-EC2B-4110-8477-83B4B4C904E2}"/>
    <hyperlink ref="B98" location="'Point of Sale'!A1" display="Point of Sale" xr:uid="{ABA5D945-811C-4995-A13F-5F2F85F6B768}"/>
    <hyperlink ref="B84" location="'Payment Services'!A1" display="Payment Services" xr:uid="{D7976CB8-4B26-4BC7-B158-E9EF402C7018}"/>
    <hyperlink ref="B80" location="Healthcare!A1" display="Healthcare" xr:uid="{B8742A9E-1542-4229-937D-85E0846FF881}"/>
    <hyperlink ref="B76" location="'Governance, Risk and Compliance'!A1" display="Governance, Risk and Compliance" xr:uid="{5A72725A-1C0A-4818-9D5B-1A79856EB92E}"/>
    <hyperlink ref="B72" location="'Field Service'!A1" display="Field Service" xr:uid="{DC58B2E8-2C8A-4AF2-8287-D23716C68CC4}"/>
    <hyperlink ref="B59" location="'e-Learning'!A1" display="e-Learning" xr:uid="{C9489AF5-1D12-4121-B6D5-02613F8ABC1B}"/>
    <hyperlink ref="B55" location="'e-Commerce Platform'!A1" display="e-Commerce Platform" xr:uid="{3FBD1E36-B18E-444C-ACD0-E28C06269D4E}"/>
    <hyperlink ref="B46" location="'Document Management'!A1" display="Document Management" xr:uid="{271F7C21-D235-4EC8-AB54-8CB35780F254}"/>
    <hyperlink ref="B34" location="'Cyber Security'!A1" display="Cyber Security" xr:uid="{30B52ED8-35D4-4822-AA9F-23E555779D43}"/>
    <hyperlink ref="B31" location="'Computer Hardware'!A1" display="Computer Hardware" xr:uid="{8A0AA7B5-0D74-42FD-8416-BACC6F5F8AA2}"/>
    <hyperlink ref="B25" location="Communications!A1" display="Communications" xr:uid="{D0D6263C-DBD5-45BA-99C0-B0D1A56C6210}"/>
    <hyperlink ref="B21" location="Collections!A1" display="Collections" xr:uid="{825E3332-0E89-4D2D-BD7E-28FF98D9D51E}"/>
    <hyperlink ref="B17" location="'Banking and Insurance'!A1" display="Banking and Insurance" xr:uid="{4A2539AF-48BF-4C26-AD9A-20FDAA191DD6}"/>
    <hyperlink ref="B4" location="'4Sight'!A1" display="4Sight" xr:uid="{8119259C-E600-421C-8C35-A1BA6F69C1DA}"/>
    <hyperlink ref="B90" location="'Payroll and HR'!B6" display="ERS Bio" xr:uid="{C96F215D-5B66-49DE-8816-28AFA51DBD9D}"/>
    <hyperlink ref="B88:C88" location="'Payroll and HR'!A1" display="Payroll and HR" xr:uid="{9EBDEE40-40AD-4F46-A9AD-4131F12B65CC}"/>
    <hyperlink ref="B95" location="'Payroll and HR'!A1" display="     ERP Management | Prudence" xr:uid="{5E6F7889-0A3D-4FCA-B017-D98E955EAF49}"/>
    <hyperlink ref="B53" location="'E-Commerce'!B5" display="e-Commerce Platform | Shopify" xr:uid="{0DB31CC4-6125-4C38-A388-FA1633019BA6}"/>
    <hyperlink ref="B52" location="'e-Learning'!A1" display="e-Learning" xr:uid="{42BB8A55-161E-4708-AFB4-EF82FBA63119}"/>
    <hyperlink ref="B28" location="Communications!A1" display="Communication  |Solgari" xr:uid="{0629DD98-CC4F-4A21-8C8B-874A334C4484}"/>
    <hyperlink ref="B13" location="'Banking and Insurance'!A1" display="Banking and Insurance" xr:uid="{98EE09B9-0425-4DCE-8D4A-9D4054A7FB64}"/>
    <hyperlink ref="B14" location="Agriculture!B5" display="Navfarm" xr:uid="{760194DE-589C-432D-A0D8-F07307F868B1}"/>
    <hyperlink ref="B43" location="'Digital Transformation'!B5" display="Bimser" xr:uid="{5A64AA61-7DB7-41EC-8D5F-365AED1E7570}"/>
    <hyperlink ref="B42" location="'e-Learning'!A1" display="e-Learning" xr:uid="{1C027896-9EFB-44C5-BA74-EDDB33B5EB3E}"/>
    <hyperlink ref="B13:C13" location="Agriculture!A1" display="Agriculture" xr:uid="{A8FA623D-9817-470F-A166-CD5492827074}"/>
    <hyperlink ref="B42:C42" location="'Digital Transformation'!A1" display="Digital Transformation" xr:uid="{13AF3689-7D5E-4D33-8208-2E7AF2756C1E}"/>
    <hyperlink ref="B68" location="'Education - Campus and Schools'!A1" display="Education - Campus and Schools" xr:uid="{69C47108-99CD-40CD-9C04-EC3E5F49C993}"/>
    <hyperlink ref="B69" location="'Email Signature Management'!B5" display="Crossware" xr:uid="{3D39A415-6CDD-41DF-B589-99DD5CCF5737}"/>
    <hyperlink ref="B39" location="'Cyber Security'!B8" display="Ransomware | BlackFog" xr:uid="{10B3EA21-B18C-48D5-BC1E-BEEEE2DDC0E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ABF9A-F044-4B06-8AA6-35E6D5D38F8A}">
  <dimension ref="B1:F14"/>
  <sheetViews>
    <sheetView workbookViewId="0">
      <selection sqref="A1:XFD1048576"/>
    </sheetView>
  </sheetViews>
  <sheetFormatPr defaultColWidth="10.140625" defaultRowHeight="15" x14ac:dyDescent="0.25"/>
  <cols>
    <col min="1" max="1" width="2.28515625" customWidth="1"/>
    <col min="2" max="2" width="32.5703125" customWidth="1"/>
    <col min="3" max="3" width="19.85546875" customWidth="1"/>
    <col min="4" max="4" width="45.7109375" customWidth="1"/>
    <col min="5" max="5" width="19.28515625" hidden="1" customWidth="1"/>
    <col min="6" max="6" width="20.5703125" customWidth="1"/>
  </cols>
  <sheetData>
    <row r="1" spans="2:6" ht="15.75" thickBot="1" x14ac:dyDescent="0.3"/>
    <row r="2" spans="2:6" ht="19.5" thickBot="1" x14ac:dyDescent="0.35">
      <c r="B2" s="129" t="s">
        <v>497</v>
      </c>
      <c r="C2" s="130"/>
      <c r="D2" s="130"/>
      <c r="E2" s="130"/>
      <c r="F2" s="131"/>
    </row>
    <row r="3" spans="2:6" ht="15.75" thickBot="1" x14ac:dyDescent="0.3"/>
    <row r="4" spans="2:6" ht="16.5" thickBot="1" x14ac:dyDescent="0.3">
      <c r="B4" s="13" t="s">
        <v>583</v>
      </c>
      <c r="C4" s="13" t="s">
        <v>584</v>
      </c>
      <c r="D4" s="13" t="s">
        <v>585</v>
      </c>
      <c r="E4" s="13" t="s">
        <v>586</v>
      </c>
      <c r="F4" s="13" t="s">
        <v>587</v>
      </c>
    </row>
    <row r="5" spans="2:6" ht="16.5" thickBot="1" x14ac:dyDescent="0.3">
      <c r="B5" s="14" t="s">
        <v>588</v>
      </c>
      <c r="C5" s="118" t="s">
        <v>589</v>
      </c>
      <c r="D5" s="58" t="s">
        <v>590</v>
      </c>
      <c r="E5" s="15"/>
      <c r="F5" s="60" t="s">
        <v>591</v>
      </c>
    </row>
    <row r="6" spans="2:6" ht="16.5" thickBot="1" x14ac:dyDescent="0.3">
      <c r="B6" s="14" t="s">
        <v>592</v>
      </c>
      <c r="C6" s="118" t="s">
        <v>593</v>
      </c>
      <c r="D6" s="58" t="s">
        <v>594</v>
      </c>
      <c r="E6" s="15"/>
      <c r="F6" s="60" t="s">
        <v>591</v>
      </c>
    </row>
    <row r="7" spans="2:6" ht="16.5" thickBot="1" x14ac:dyDescent="0.3">
      <c r="B7" s="14" t="s">
        <v>515</v>
      </c>
      <c r="C7" s="118" t="s">
        <v>595</v>
      </c>
      <c r="D7" s="59" t="s">
        <v>596</v>
      </c>
      <c r="E7" s="119"/>
      <c r="F7" s="61" t="s">
        <v>591</v>
      </c>
    </row>
    <row r="8" spans="2:6" ht="16.5" thickBot="1" x14ac:dyDescent="0.3">
      <c r="B8" s="120" t="s">
        <v>597</v>
      </c>
      <c r="C8" s="121" t="s">
        <v>598</v>
      </c>
      <c r="D8" s="56" t="s">
        <v>599</v>
      </c>
      <c r="E8" s="119"/>
      <c r="F8" s="60" t="s">
        <v>591</v>
      </c>
    </row>
    <row r="9" spans="2:6" ht="16.5" thickBot="1" x14ac:dyDescent="0.3">
      <c r="B9" s="14" t="s">
        <v>600</v>
      </c>
      <c r="C9" s="118" t="s">
        <v>601</v>
      </c>
      <c r="D9" s="58" t="s">
        <v>602</v>
      </c>
      <c r="E9" s="15"/>
      <c r="F9" s="60" t="s">
        <v>591</v>
      </c>
    </row>
    <row r="10" spans="2:6" ht="16.5" thickBot="1" x14ac:dyDescent="0.3">
      <c r="B10" s="16" t="s">
        <v>603</v>
      </c>
      <c r="C10" s="122" t="s">
        <v>604</v>
      </c>
      <c r="D10" s="57" t="s">
        <v>605</v>
      </c>
      <c r="E10" s="17"/>
      <c r="F10" s="62" t="s">
        <v>591</v>
      </c>
    </row>
    <row r="11" spans="2:6" ht="15.75" x14ac:dyDescent="0.25">
      <c r="D11" s="18"/>
      <c r="F11" s="19"/>
    </row>
    <row r="14" spans="2:6" ht="15.75" x14ac:dyDescent="0.25">
      <c r="E14" s="55"/>
    </row>
  </sheetData>
  <mergeCells count="1">
    <mergeCell ref="B2:F2"/>
  </mergeCells>
  <hyperlinks>
    <hyperlink ref="B2:C2" location="Index!B4" display="4Sight" xr:uid="{0EC1FBE1-FD32-4F5F-842F-F22BDA15FEFD}"/>
    <hyperlink ref="D7" r:id="rId1" xr:uid="{F2169F0A-8A2E-4509-B79E-7106D0DF1876}"/>
    <hyperlink ref="D5" r:id="rId2" xr:uid="{138F71F2-9518-4280-9514-6B3200A6CE0B}"/>
    <hyperlink ref="D6" r:id="rId3" xr:uid="{03996891-9B93-4179-AD52-FEFA24AC507F}"/>
    <hyperlink ref="D8" r:id="rId4" xr:uid="{DB59A987-7975-4ADA-8E9F-0A04724BE48B}"/>
    <hyperlink ref="D9" r:id="rId5" xr:uid="{39384787-59B2-497E-B0DF-0722D49A5FC3}"/>
    <hyperlink ref="D10" r:id="rId6" xr:uid="{B391EEEB-DC65-494C-98A1-E8EDB29CDC79}"/>
    <hyperlink ref="F5" r:id="rId7" xr:uid="{BF53FD6D-A62D-486F-B66B-22DDD7784592}"/>
    <hyperlink ref="F6" r:id="rId8" xr:uid="{A29B9C9A-367C-47B5-AE02-8CD87426FE97}"/>
    <hyperlink ref="F7" r:id="rId9" xr:uid="{399712F8-F6A3-4726-9AC9-F8124A487A92}"/>
    <hyperlink ref="F8" r:id="rId10" xr:uid="{55E1D42D-FAED-45FD-A34F-8AFA72865C68}"/>
    <hyperlink ref="F9" r:id="rId11" xr:uid="{4B95A6AA-E254-42F5-81F1-B69A8EDB7FFF}"/>
    <hyperlink ref="F10" r:id="rId12" xr:uid="{C09710EE-D063-4D05-B346-BE2A82CC139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F4725-763F-455E-BA61-B2CBBE0A6856}">
  <dimension ref="B1:F6"/>
  <sheetViews>
    <sheetView workbookViewId="0">
      <selection sqref="A1:XFD1048576"/>
    </sheetView>
  </sheetViews>
  <sheetFormatPr defaultColWidth="10.140625" defaultRowHeight="15" x14ac:dyDescent="0.25"/>
  <cols>
    <col min="1" max="1" width="2.28515625" customWidth="1"/>
    <col min="2" max="2" width="19.85546875" customWidth="1"/>
    <col min="3" max="3" width="19.42578125" customWidth="1"/>
    <col min="4" max="4" width="43.42578125" customWidth="1"/>
    <col min="5" max="5" width="19" hidden="1" customWidth="1"/>
    <col min="6" max="6" width="19.85546875" customWidth="1"/>
  </cols>
  <sheetData>
    <row r="1" spans="2:6" ht="15.75" thickBot="1" x14ac:dyDescent="0.3"/>
    <row r="2" spans="2:6" ht="19.5" thickBot="1" x14ac:dyDescent="0.35">
      <c r="B2" s="129" t="s">
        <v>771</v>
      </c>
      <c r="C2" s="130"/>
      <c r="D2" s="130"/>
      <c r="E2" s="130"/>
      <c r="F2" s="131"/>
    </row>
    <row r="3" spans="2:6" ht="15.75" thickBot="1" x14ac:dyDescent="0.3"/>
    <row r="4" spans="2:6" ht="16.5" thickBot="1" x14ac:dyDescent="0.3">
      <c r="B4" s="13" t="s">
        <v>584</v>
      </c>
      <c r="C4" s="13" t="s">
        <v>600</v>
      </c>
      <c r="D4" s="20" t="s">
        <v>585</v>
      </c>
      <c r="E4" s="13" t="s">
        <v>586</v>
      </c>
      <c r="F4" s="13" t="s">
        <v>587</v>
      </c>
    </row>
    <row r="5" spans="2:6" ht="16.5" thickBot="1" x14ac:dyDescent="0.3">
      <c r="B5" s="21" t="s">
        <v>772</v>
      </c>
      <c r="C5" s="22" t="s">
        <v>606</v>
      </c>
      <c r="D5" s="78" t="s">
        <v>784</v>
      </c>
      <c r="E5" s="15"/>
      <c r="F5" s="79" t="s">
        <v>591</v>
      </c>
    </row>
    <row r="6" spans="2:6" ht="15.75" x14ac:dyDescent="0.25">
      <c r="F6" s="19"/>
    </row>
  </sheetData>
  <mergeCells count="1">
    <mergeCell ref="B2:F2"/>
  </mergeCells>
  <hyperlinks>
    <hyperlink ref="D5" r:id="rId1" xr:uid="{7E7A4DE6-7CE8-453B-8A21-52AD02B02899}"/>
    <hyperlink ref="B2:E2" location="Index!B18" display="Banking and Insurance" xr:uid="{3C1535AA-50D2-49E0-8CDD-7916AD364EB0}"/>
    <hyperlink ref="F5" r:id="rId2" xr:uid="{9D60A86A-D1B4-4A05-BC4E-BED226ED2CB0}"/>
    <hyperlink ref="B2:F2" location="Index!B13" display="Banking and Insurance" xr:uid="{528B848C-13F7-4102-98F6-49D675E4A48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0A362-8E26-48D7-8B75-A1707B54DA35}">
  <dimension ref="B1:F6"/>
  <sheetViews>
    <sheetView workbookViewId="0">
      <selection sqref="A1:XFD1048576"/>
    </sheetView>
  </sheetViews>
  <sheetFormatPr defaultColWidth="10.140625" defaultRowHeight="15" x14ac:dyDescent="0.25"/>
  <cols>
    <col min="1" max="1" width="2.28515625" customWidth="1"/>
    <col min="2" max="2" width="19.85546875" customWidth="1"/>
    <col min="3" max="3" width="19.42578125" customWidth="1"/>
    <col min="4" max="4" width="43.42578125" customWidth="1"/>
    <col min="5" max="5" width="19" hidden="1" customWidth="1"/>
    <col min="6" max="6" width="19.85546875" customWidth="1"/>
  </cols>
  <sheetData>
    <row r="1" spans="2:6" ht="15.75" thickBot="1" x14ac:dyDescent="0.3"/>
    <row r="2" spans="2:6" ht="19.5" thickBot="1" x14ac:dyDescent="0.35">
      <c r="B2" s="129" t="s">
        <v>510</v>
      </c>
      <c r="C2" s="130"/>
      <c r="D2" s="130"/>
      <c r="E2" s="130"/>
      <c r="F2" s="131"/>
    </row>
    <row r="3" spans="2:6" ht="15.75" thickBot="1" x14ac:dyDescent="0.3"/>
    <row r="4" spans="2:6" ht="16.5" thickBot="1" x14ac:dyDescent="0.3">
      <c r="B4" s="13" t="s">
        <v>584</v>
      </c>
      <c r="C4" s="13" t="s">
        <v>600</v>
      </c>
      <c r="D4" s="20" t="s">
        <v>585</v>
      </c>
      <c r="E4" s="13" t="s">
        <v>586</v>
      </c>
      <c r="F4" s="13" t="s">
        <v>587</v>
      </c>
    </row>
    <row r="5" spans="2:6" ht="16.5" thickBot="1" x14ac:dyDescent="0.3">
      <c r="B5" s="21" t="s">
        <v>511</v>
      </c>
      <c r="C5" s="22" t="s">
        <v>606</v>
      </c>
      <c r="D5" s="64" t="s">
        <v>607</v>
      </c>
      <c r="E5" s="15"/>
      <c r="F5" s="65" t="s">
        <v>591</v>
      </c>
    </row>
    <row r="6" spans="2:6" ht="15.75" x14ac:dyDescent="0.25">
      <c r="F6" s="19"/>
    </row>
  </sheetData>
  <mergeCells count="1">
    <mergeCell ref="B2:F2"/>
  </mergeCells>
  <hyperlinks>
    <hyperlink ref="D5" r:id="rId1" xr:uid="{787EA347-4CBD-4309-A3DB-18E85DBB02E3}"/>
    <hyperlink ref="B2:E2" location="Index!B18" display="Banking and Insurance" xr:uid="{ED1860BB-A7A5-4101-914A-8C7C22A01F19}"/>
    <hyperlink ref="F5" r:id="rId2" xr:uid="{E6EF283C-5D37-49A2-80A5-0063ED0C2852}"/>
    <hyperlink ref="B2:F2" location="Index!B13" display="Banking and Insurance" xr:uid="{60A0F064-2E18-425F-94B2-A9B9D185F46A}"/>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53573-ECED-4446-AAF9-D9B59E6284D0}">
  <dimension ref="B1:F5"/>
  <sheetViews>
    <sheetView workbookViewId="0">
      <selection sqref="A1:XFD1048576"/>
    </sheetView>
  </sheetViews>
  <sheetFormatPr defaultColWidth="10.140625" defaultRowHeight="15" x14ac:dyDescent="0.25"/>
  <cols>
    <col min="1" max="1" width="2.28515625" customWidth="1"/>
    <col min="2" max="3" width="19.85546875" customWidth="1"/>
    <col min="4" max="4" width="45" customWidth="1"/>
    <col min="5" max="5" width="24.5703125" hidden="1" customWidth="1"/>
    <col min="6" max="6" width="18.85546875" customWidth="1"/>
  </cols>
  <sheetData>
    <row r="1" spans="2:6" ht="15.75" thickBot="1" x14ac:dyDescent="0.3"/>
    <row r="2" spans="2:6" ht="19.5" thickBot="1" x14ac:dyDescent="0.35">
      <c r="B2" s="129" t="s">
        <v>513</v>
      </c>
      <c r="C2" s="130"/>
      <c r="D2" s="130"/>
      <c r="E2" s="130"/>
      <c r="F2" s="131"/>
    </row>
    <row r="3" spans="2:6" ht="15.75" thickBot="1" x14ac:dyDescent="0.3"/>
    <row r="4" spans="2:6" ht="16.5" thickBot="1" x14ac:dyDescent="0.3">
      <c r="B4" s="13" t="s">
        <v>584</v>
      </c>
      <c r="C4" s="13" t="s">
        <v>600</v>
      </c>
      <c r="D4" s="20" t="s">
        <v>585</v>
      </c>
      <c r="E4" s="13" t="s">
        <v>586</v>
      </c>
      <c r="F4" s="13" t="s">
        <v>587</v>
      </c>
    </row>
    <row r="5" spans="2:6" ht="16.5" hidden="1" customHeight="1" thickBot="1" x14ac:dyDescent="0.3">
      <c r="B5" s="23" t="s">
        <v>514</v>
      </c>
      <c r="C5" s="24" t="s">
        <v>606</v>
      </c>
      <c r="D5" s="64" t="s">
        <v>1342</v>
      </c>
      <c r="E5" s="15"/>
      <c r="F5" s="65" t="s">
        <v>591</v>
      </c>
    </row>
  </sheetData>
  <mergeCells count="1">
    <mergeCell ref="B2:F2"/>
  </mergeCells>
  <hyperlinks>
    <hyperlink ref="D5" r:id="rId1" xr:uid="{135E3D00-E84C-4FB4-978E-AF541E34B7BE}"/>
    <hyperlink ref="B2:E2" location="Index!B21" display="Collections" xr:uid="{88FE2312-BA6F-4146-B8FC-E31815F858E5}"/>
    <hyperlink ref="F5" r:id="rId2" xr:uid="{F02916AC-553E-4C28-B2F9-D2BD2EF50333}"/>
    <hyperlink ref="B2:F2" location="Index!B17" display="Collections" xr:uid="{04A60098-5D60-41CD-AF9F-9527B5F84127}"/>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9B86B-9148-4BC5-A5CE-8F4980CA72A8}">
  <dimension ref="B1:G7"/>
  <sheetViews>
    <sheetView workbookViewId="0">
      <selection sqref="A1:XFD1048576"/>
    </sheetView>
  </sheetViews>
  <sheetFormatPr defaultColWidth="10.140625" defaultRowHeight="15" x14ac:dyDescent="0.25"/>
  <cols>
    <col min="1" max="1" width="2.28515625" customWidth="1"/>
    <col min="2" max="2" width="25.140625" customWidth="1"/>
    <col min="3" max="3" width="17.85546875" customWidth="1"/>
    <col min="4" max="4" width="19.85546875" customWidth="1"/>
    <col min="5" max="5" width="42.7109375" customWidth="1"/>
    <col min="6" max="6" width="22.140625" hidden="1" customWidth="1"/>
    <col min="7" max="7" width="19.85546875" customWidth="1"/>
  </cols>
  <sheetData>
    <row r="1" spans="2:7" ht="15.75" thickBot="1" x14ac:dyDescent="0.3"/>
    <row r="2" spans="2:7" ht="19.5" thickBot="1" x14ac:dyDescent="0.35">
      <c r="B2" s="129" t="s">
        <v>515</v>
      </c>
      <c r="C2" s="130"/>
      <c r="D2" s="130"/>
      <c r="E2" s="130"/>
      <c r="F2" s="130"/>
      <c r="G2" s="131"/>
    </row>
    <row r="3" spans="2:7" ht="15.75" thickBot="1" x14ac:dyDescent="0.3"/>
    <row r="4" spans="2:7" ht="16.5" thickBot="1" x14ac:dyDescent="0.3">
      <c r="B4" s="25" t="s">
        <v>608</v>
      </c>
      <c r="C4" s="13" t="s">
        <v>584</v>
      </c>
      <c r="D4" s="13" t="s">
        <v>600</v>
      </c>
      <c r="E4" s="20" t="s">
        <v>585</v>
      </c>
      <c r="F4" s="13" t="s">
        <v>586</v>
      </c>
      <c r="G4" s="13" t="s">
        <v>587</v>
      </c>
    </row>
    <row r="5" spans="2:7" ht="15.75" hidden="1" customHeight="1" thickBot="1" x14ac:dyDescent="0.3">
      <c r="B5" t="s">
        <v>609</v>
      </c>
      <c r="C5" s="26" t="s">
        <v>610</v>
      </c>
      <c r="D5" t="s">
        <v>611</v>
      </c>
      <c r="E5" s="18"/>
    </row>
    <row r="6" spans="2:7" ht="16.5" thickBot="1" x14ac:dyDescent="0.3">
      <c r="B6" s="23" t="s">
        <v>612</v>
      </c>
      <c r="C6" s="24" t="s">
        <v>613</v>
      </c>
      <c r="D6" s="27" t="s">
        <v>614</v>
      </c>
      <c r="E6" s="65" t="s">
        <v>615</v>
      </c>
      <c r="F6" s="15"/>
      <c r="G6" s="70" t="s">
        <v>591</v>
      </c>
    </row>
    <row r="7" spans="2:7" ht="16.5" thickBot="1" x14ac:dyDescent="0.3">
      <c r="B7" s="23" t="s">
        <v>785</v>
      </c>
      <c r="C7" s="24" t="s">
        <v>786</v>
      </c>
      <c r="D7" s="27" t="s">
        <v>614</v>
      </c>
      <c r="E7" s="65" t="s">
        <v>787</v>
      </c>
      <c r="F7" s="15"/>
      <c r="G7" s="70" t="s">
        <v>591</v>
      </c>
    </row>
  </sheetData>
  <mergeCells count="1">
    <mergeCell ref="B2:G2"/>
  </mergeCells>
  <hyperlinks>
    <hyperlink ref="E6" r:id="rId1" xr:uid="{F1334B2A-2FCC-480E-A87D-B70B1D287A08}"/>
    <hyperlink ref="B2:F2" location="Index!B24" display="Communications" xr:uid="{B19F8BC5-9C40-4077-8B80-07F6C984FE78}"/>
    <hyperlink ref="G6" r:id="rId2" xr:uid="{0B6639A7-69AA-4B0E-BF0A-E82536392A50}"/>
    <hyperlink ref="B2:G2" location="Index!B21" display="Communications" xr:uid="{5C2668E2-417F-43E9-A963-54A494EBD4CC}"/>
    <hyperlink ref="E7" r:id="rId3" xr:uid="{253CEF89-8BE3-489B-9E8C-561F7E90FE33}"/>
    <hyperlink ref="G7" r:id="rId4" xr:uid="{8F895272-D6B2-496F-B10B-08B4483FF1B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E7CF6-54DE-420D-B687-98FC59877DCC}">
  <dimension ref="B1:G14"/>
  <sheetViews>
    <sheetView workbookViewId="0">
      <selection sqref="A1:XFD1048576"/>
    </sheetView>
  </sheetViews>
  <sheetFormatPr defaultColWidth="10.140625" defaultRowHeight="15" x14ac:dyDescent="0.25"/>
  <cols>
    <col min="1" max="1" width="2.28515625" customWidth="1"/>
    <col min="2" max="2" width="28" customWidth="1"/>
    <col min="3" max="3" width="19.85546875" customWidth="1"/>
    <col min="4" max="4" width="16.42578125" customWidth="1"/>
    <col min="5" max="5" width="43.85546875" customWidth="1"/>
    <col min="6" max="6" width="44" customWidth="1"/>
    <col min="7" max="7" width="17.5703125" customWidth="1"/>
  </cols>
  <sheetData>
    <row r="1" spans="2:7" ht="15.75" thickBot="1" x14ac:dyDescent="0.3"/>
    <row r="2" spans="2:7" ht="19.5" thickBot="1" x14ac:dyDescent="0.35">
      <c r="B2" s="129" t="s">
        <v>521</v>
      </c>
      <c r="C2" s="130"/>
      <c r="D2" s="130"/>
      <c r="E2" s="130"/>
      <c r="F2" s="130"/>
      <c r="G2" s="131"/>
    </row>
    <row r="3" spans="2:7" ht="15.75" thickBot="1" x14ac:dyDescent="0.3"/>
    <row r="4" spans="2:7" ht="16.5" thickBot="1" x14ac:dyDescent="0.3">
      <c r="B4" s="25" t="s">
        <v>608</v>
      </c>
      <c r="C4" s="13" t="s">
        <v>584</v>
      </c>
      <c r="D4" s="13" t="s">
        <v>600</v>
      </c>
      <c r="E4" s="28" t="s">
        <v>585</v>
      </c>
      <c r="F4" s="13" t="s">
        <v>586</v>
      </c>
      <c r="G4" s="13" t="s">
        <v>587</v>
      </c>
    </row>
    <row r="5" spans="2:7" ht="16.5" thickBot="1" x14ac:dyDescent="0.3">
      <c r="B5" s="29" t="s">
        <v>616</v>
      </c>
      <c r="C5" s="30" t="s">
        <v>868</v>
      </c>
      <c r="D5" s="30" t="s">
        <v>617</v>
      </c>
      <c r="E5" s="65" t="s">
        <v>869</v>
      </c>
      <c r="F5" s="65" t="s">
        <v>870</v>
      </c>
      <c r="G5" s="65" t="s">
        <v>591</v>
      </c>
    </row>
    <row r="6" spans="2:7" ht="15.75" x14ac:dyDescent="0.25">
      <c r="B6" s="134" t="s">
        <v>618</v>
      </c>
      <c r="C6" s="134" t="s">
        <v>617</v>
      </c>
      <c r="D6" s="134" t="s">
        <v>619</v>
      </c>
      <c r="E6" s="140" t="s">
        <v>620</v>
      </c>
      <c r="F6" s="66" t="s">
        <v>621</v>
      </c>
      <c r="G6" s="138" t="s">
        <v>591</v>
      </c>
    </row>
    <row r="7" spans="2:7" ht="16.5" thickBot="1" x14ac:dyDescent="0.3">
      <c r="B7" s="139"/>
      <c r="C7" s="139"/>
      <c r="D7" s="139"/>
      <c r="E7" s="141"/>
      <c r="F7" s="73" t="s">
        <v>871</v>
      </c>
      <c r="G7" s="143"/>
    </row>
    <row r="8" spans="2:7" ht="16.5" hidden="1" customHeight="1" thickBot="1" x14ac:dyDescent="0.3">
      <c r="B8" s="135"/>
      <c r="C8" s="135"/>
      <c r="D8" s="135"/>
      <c r="E8" s="142"/>
      <c r="F8" s="73" t="s">
        <v>622</v>
      </c>
      <c r="G8" s="137"/>
    </row>
    <row r="9" spans="2:7" ht="16.5" hidden="1" customHeight="1" thickBot="1" x14ac:dyDescent="0.3">
      <c r="B9" s="29" t="s">
        <v>1343</v>
      </c>
      <c r="C9" s="30" t="s">
        <v>1344</v>
      </c>
      <c r="D9" s="30" t="s">
        <v>619</v>
      </c>
      <c r="E9" s="65"/>
      <c r="F9" s="65"/>
      <c r="G9" s="79" t="s">
        <v>591</v>
      </c>
    </row>
    <row r="10" spans="2:7" ht="15.75" x14ac:dyDescent="0.25">
      <c r="B10" s="132" t="s">
        <v>623</v>
      </c>
      <c r="C10" s="134" t="s">
        <v>624</v>
      </c>
      <c r="D10" s="134" t="s">
        <v>619</v>
      </c>
      <c r="E10" s="136" t="s">
        <v>625</v>
      </c>
      <c r="F10" s="66" t="s">
        <v>626</v>
      </c>
      <c r="G10" s="138" t="s">
        <v>591</v>
      </c>
    </row>
    <row r="11" spans="2:7" ht="16.5" thickBot="1" x14ac:dyDescent="0.3">
      <c r="B11" s="133"/>
      <c r="C11" s="135"/>
      <c r="D11" s="135"/>
      <c r="E11" s="137"/>
      <c r="F11" s="73" t="s">
        <v>872</v>
      </c>
      <c r="G11" s="137"/>
    </row>
    <row r="12" spans="2:7" x14ac:dyDescent="0.25">
      <c r="F12" s="83"/>
    </row>
    <row r="13" spans="2:7" ht="15.75" x14ac:dyDescent="0.25">
      <c r="F13" s="12" t="s">
        <v>627</v>
      </c>
    </row>
    <row r="14" spans="2:7" ht="15.75" x14ac:dyDescent="0.25">
      <c r="F14" s="12" t="s">
        <v>628</v>
      </c>
    </row>
  </sheetData>
  <mergeCells count="11">
    <mergeCell ref="B2:G2"/>
    <mergeCell ref="B6:B8"/>
    <mergeCell ref="C6:C8"/>
    <mergeCell ref="D6:D8"/>
    <mergeCell ref="E6:E8"/>
    <mergeCell ref="G6:G8"/>
    <mergeCell ref="B10:B11"/>
    <mergeCell ref="C10:C11"/>
    <mergeCell ref="D10:D11"/>
    <mergeCell ref="E10:E11"/>
    <mergeCell ref="G10:G11"/>
  </mergeCells>
  <hyperlinks>
    <hyperlink ref="E5" r:id="rId1" xr:uid="{1AA6C39D-D189-4397-8390-BA12F4AF36D0}"/>
    <hyperlink ref="B2:F2" location="Index!B31" display="Cyber Security" xr:uid="{0863E27C-6E02-4104-81FA-CA2E9FC27FEA}"/>
    <hyperlink ref="F5" r:id="rId2" xr:uid="{886B597E-6D40-4C83-ACF6-89604B0E4286}"/>
    <hyperlink ref="E10" r:id="rId3" xr:uid="{E06A4BFE-9D45-4B90-8BED-AB9958CBB080}"/>
    <hyperlink ref="G5" r:id="rId4" xr:uid="{5A86CBEE-5FD3-4FE5-A091-4DF43B493A50}"/>
    <hyperlink ref="G10" r:id="rId5" xr:uid="{3975201D-CCC9-4C94-8101-8D302C82B4B6}"/>
    <hyperlink ref="E6" r:id="rId6" xr:uid="{D129C55E-FA18-448D-946A-8AFC2D6379AF}"/>
    <hyperlink ref="G6" r:id="rId7" xr:uid="{D4F5ABF8-0839-4A3E-92DA-6A9376017A9A}"/>
    <hyperlink ref="F6" r:id="rId8" xr:uid="{442B038D-B63F-4F7E-AA53-CD5AF0F166B7}"/>
    <hyperlink ref="F8" r:id="rId9" xr:uid="{84D0CFA8-275C-4368-9C61-200DE7E95D7F}"/>
    <hyperlink ref="B2:G2" location="Index!B29" display="Cyber Security" xr:uid="{702E004B-F52B-4D81-A9F2-A45CEEF66F96}"/>
    <hyperlink ref="F11" r:id="rId10" xr:uid="{85A6D92A-7289-4E4D-9A5B-3B0A51B71F77}"/>
    <hyperlink ref="F10" r:id="rId11" xr:uid="{B44FE223-82BF-497F-A183-EFF122991770}"/>
    <hyperlink ref="G6:G8" r:id="rId12" display="Request Quote" xr:uid="{3C51F5C1-473E-43C8-868F-01CEE6EBC0CD}"/>
    <hyperlink ref="G10:G11" r:id="rId13" display="Request Quote" xr:uid="{328142D4-0930-4FF7-A827-6855181337C0}"/>
    <hyperlink ref="F7" r:id="rId14" xr:uid="{1E279827-273E-40AC-A79A-255D0521047D}"/>
    <hyperlink ref="G9" r:id="rId15" xr:uid="{75AD6B2F-9918-4100-90E2-32A88DE2876F}"/>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99AFC-B7E8-4865-8ADF-34BC9DE881A9}">
  <dimension ref="B1:G5"/>
  <sheetViews>
    <sheetView workbookViewId="0">
      <selection sqref="A1:XFD1048576"/>
    </sheetView>
  </sheetViews>
  <sheetFormatPr defaultColWidth="10.140625" defaultRowHeight="15" x14ac:dyDescent="0.25"/>
  <cols>
    <col min="1" max="1" width="2.28515625" customWidth="1"/>
    <col min="2" max="2" width="36" customWidth="1"/>
    <col min="3" max="3" width="19.85546875" customWidth="1"/>
    <col min="4" max="4" width="24.5703125" customWidth="1"/>
    <col min="5" max="5" width="50.140625" customWidth="1"/>
    <col min="6" max="6" width="11.5703125" hidden="1" customWidth="1"/>
    <col min="7" max="7" width="18.28515625" customWidth="1"/>
  </cols>
  <sheetData>
    <row r="1" spans="2:7" ht="15.75" thickBot="1" x14ac:dyDescent="0.3"/>
    <row r="2" spans="2:7" ht="19.5" thickBot="1" x14ac:dyDescent="0.35">
      <c r="B2" s="129" t="s">
        <v>776</v>
      </c>
      <c r="C2" s="130"/>
      <c r="D2" s="130"/>
      <c r="E2" s="130"/>
      <c r="F2" s="130"/>
      <c r="G2" s="131"/>
    </row>
    <row r="3" spans="2:7" ht="15.75" thickBot="1" x14ac:dyDescent="0.3"/>
    <row r="4" spans="2:7" ht="16.5" thickBot="1" x14ac:dyDescent="0.3">
      <c r="B4" s="13" t="s">
        <v>608</v>
      </c>
      <c r="C4" s="13" t="s">
        <v>584</v>
      </c>
      <c r="D4" s="13" t="s">
        <v>600</v>
      </c>
      <c r="E4" s="13" t="s">
        <v>585</v>
      </c>
      <c r="F4" s="28" t="s">
        <v>586</v>
      </c>
      <c r="G4" s="13" t="s">
        <v>587</v>
      </c>
    </row>
    <row r="5" spans="2:7" s="2" customFormat="1" ht="16.5" thickBot="1" x14ac:dyDescent="0.3">
      <c r="B5" s="48" t="s">
        <v>788</v>
      </c>
      <c r="C5" s="40" t="s">
        <v>777</v>
      </c>
      <c r="D5" s="40" t="s">
        <v>631</v>
      </c>
      <c r="E5" s="80" t="s">
        <v>789</v>
      </c>
      <c r="F5" s="49"/>
      <c r="G5" s="81" t="s">
        <v>591</v>
      </c>
    </row>
  </sheetData>
  <mergeCells count="1">
    <mergeCell ref="B2:G2"/>
  </mergeCells>
  <hyperlinks>
    <hyperlink ref="E5" r:id="rId1" xr:uid="{64DF5B59-071A-4D2D-B90C-01440181C4A7}"/>
    <hyperlink ref="B2:F2" location="Index!B37" display="Document Management" xr:uid="{2A70B81A-024E-4364-8655-C0242B1EC483}"/>
    <hyperlink ref="G5" r:id="rId2" xr:uid="{9F974D9A-6EEE-4E18-B5F1-A92DCF8DB70A}"/>
    <hyperlink ref="B2:G2" location="Index!B36" display="Document Management" xr:uid="{DBD6C116-6A27-42D4-9BD0-294CB92F5F01}"/>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8846E-390C-4EB3-B260-BDA0B4A5774F}">
  <dimension ref="B1:G7"/>
  <sheetViews>
    <sheetView workbookViewId="0">
      <selection sqref="A1:XFD1048576"/>
    </sheetView>
  </sheetViews>
  <sheetFormatPr defaultColWidth="10.140625" defaultRowHeight="15" x14ac:dyDescent="0.25"/>
  <cols>
    <col min="1" max="1" width="2.28515625" customWidth="1"/>
    <col min="2" max="2" width="36" customWidth="1"/>
    <col min="3" max="3" width="19.85546875" customWidth="1"/>
    <col min="4" max="4" width="24.5703125" customWidth="1"/>
    <col min="5" max="5" width="49.5703125" customWidth="1"/>
    <col min="6" max="6" width="11.5703125" hidden="1" customWidth="1"/>
    <col min="7" max="7" width="18.28515625" customWidth="1"/>
  </cols>
  <sheetData>
    <row r="1" spans="2:7" ht="15.75" thickBot="1" x14ac:dyDescent="0.3"/>
    <row r="2" spans="2:7" ht="19.5" thickBot="1" x14ac:dyDescent="0.35">
      <c r="B2" s="129" t="s">
        <v>529</v>
      </c>
      <c r="C2" s="130"/>
      <c r="D2" s="130"/>
      <c r="E2" s="130"/>
      <c r="F2" s="130"/>
      <c r="G2" s="131"/>
    </row>
    <row r="3" spans="2:7" ht="15.75" thickBot="1" x14ac:dyDescent="0.3"/>
    <row r="4" spans="2:7" ht="16.5" thickBot="1" x14ac:dyDescent="0.3">
      <c r="B4" s="13" t="s">
        <v>608</v>
      </c>
      <c r="C4" s="13" t="s">
        <v>584</v>
      </c>
      <c r="D4" s="13" t="s">
        <v>600</v>
      </c>
      <c r="E4" s="13" t="s">
        <v>585</v>
      </c>
      <c r="F4" s="28" t="s">
        <v>586</v>
      </c>
      <c r="G4" s="13" t="s">
        <v>587</v>
      </c>
    </row>
    <row r="5" spans="2:7" ht="16.5" thickBot="1" x14ac:dyDescent="0.3">
      <c r="B5" s="29" t="s">
        <v>629</v>
      </c>
      <c r="C5" s="30" t="s">
        <v>630</v>
      </c>
      <c r="D5" s="30" t="s">
        <v>631</v>
      </c>
      <c r="E5" s="68" t="s">
        <v>632</v>
      </c>
      <c r="F5" s="33"/>
      <c r="G5" s="66" t="s">
        <v>591</v>
      </c>
    </row>
    <row r="6" spans="2:7" ht="16.5" thickBot="1" x14ac:dyDescent="0.3">
      <c r="B6" s="14" t="s">
        <v>633</v>
      </c>
      <c r="C6" s="24" t="s">
        <v>634</v>
      </c>
      <c r="D6" s="24" t="s">
        <v>631</v>
      </c>
      <c r="E6" s="64" t="s">
        <v>635</v>
      </c>
      <c r="F6" s="15"/>
      <c r="G6" s="65" t="s">
        <v>591</v>
      </c>
    </row>
    <row r="7" spans="2:7" ht="16.5" thickBot="1" x14ac:dyDescent="0.3">
      <c r="B7" s="14" t="s">
        <v>636</v>
      </c>
      <c r="C7" s="34" t="s">
        <v>637</v>
      </c>
      <c r="D7" s="34" t="s">
        <v>638</v>
      </c>
      <c r="E7" s="69" t="s">
        <v>639</v>
      </c>
      <c r="F7" s="17"/>
      <c r="G7" s="67" t="s">
        <v>591</v>
      </c>
    </row>
  </sheetData>
  <mergeCells count="1">
    <mergeCell ref="B2:G2"/>
  </mergeCells>
  <hyperlinks>
    <hyperlink ref="E6" r:id="rId1" xr:uid="{BEB759C3-5179-45A3-896E-A7CCA9193E63}"/>
    <hyperlink ref="E7" r:id="rId2" xr:uid="{4C63DD4E-C5D8-4ECA-B788-A38BACFEA934}"/>
    <hyperlink ref="E5" r:id="rId3" xr:uid="{C4F73C6E-A0BA-4948-A565-02DBC254A3AB}"/>
    <hyperlink ref="B2:F2" location="Index!B37" display="Document Management" xr:uid="{91AF7BE4-3B3C-4ABB-BF7D-569B6F26187F}"/>
    <hyperlink ref="G5" r:id="rId4" xr:uid="{45CE3A4F-B936-4445-AC80-4FA9E1B7DD1D}"/>
    <hyperlink ref="G6" r:id="rId5" xr:uid="{245D1A6A-7C3F-4646-984F-C3A0D83944F1}"/>
    <hyperlink ref="G7" r:id="rId6" xr:uid="{D1DFCCDE-C43E-4258-8155-ECEB35732C60}"/>
    <hyperlink ref="B2:G2" location="Index!B36" display="Document Management" xr:uid="{970C5702-B963-4DA4-A057-BE6A35B9F9ED}"/>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C5395-637F-4FD4-9A89-CD34859FE938}">
  <dimension ref="B1:G5"/>
  <sheetViews>
    <sheetView workbookViewId="0">
      <selection sqref="A1:XFD1048576"/>
    </sheetView>
  </sheetViews>
  <sheetFormatPr defaultColWidth="10.140625" defaultRowHeight="15" x14ac:dyDescent="0.25"/>
  <cols>
    <col min="1" max="1" width="2.28515625" customWidth="1"/>
    <col min="2" max="2" width="32.42578125" customWidth="1"/>
    <col min="3" max="3" width="17.7109375" customWidth="1"/>
    <col min="4" max="4" width="35.42578125" customWidth="1"/>
    <col min="5" max="5" width="44" customWidth="1"/>
    <col min="6" max="6" width="13.140625" hidden="1" customWidth="1"/>
    <col min="7" max="7" width="19.42578125" customWidth="1"/>
  </cols>
  <sheetData>
    <row r="1" spans="2:7" ht="15.75" thickBot="1" x14ac:dyDescent="0.3"/>
    <row r="2" spans="2:7" ht="19.5" thickBot="1" x14ac:dyDescent="0.35">
      <c r="B2" s="129" t="s">
        <v>779</v>
      </c>
      <c r="C2" s="130"/>
      <c r="D2" s="130"/>
      <c r="E2" s="130"/>
      <c r="F2" s="130"/>
      <c r="G2" s="131"/>
    </row>
    <row r="3" spans="2:7" ht="15.75" thickBot="1" x14ac:dyDescent="0.3"/>
    <row r="4" spans="2:7" ht="16.5" thickBot="1" x14ac:dyDescent="0.3">
      <c r="B4" s="13" t="s">
        <v>608</v>
      </c>
      <c r="C4" s="13" t="s">
        <v>584</v>
      </c>
      <c r="D4" s="13" t="s">
        <v>600</v>
      </c>
      <c r="E4" s="13" t="s">
        <v>585</v>
      </c>
      <c r="F4" s="28" t="s">
        <v>586</v>
      </c>
      <c r="G4" s="13" t="s">
        <v>587</v>
      </c>
    </row>
    <row r="5" spans="2:7" ht="16.5" thickBot="1" x14ac:dyDescent="0.3">
      <c r="B5" s="14" t="s">
        <v>536</v>
      </c>
      <c r="C5" s="24" t="s">
        <v>537</v>
      </c>
      <c r="D5" s="24" t="s">
        <v>631</v>
      </c>
      <c r="E5" s="78" t="s">
        <v>790</v>
      </c>
      <c r="F5" s="45"/>
      <c r="G5" s="79" t="s">
        <v>591</v>
      </c>
    </row>
  </sheetData>
  <mergeCells count="1">
    <mergeCell ref="B2:G2"/>
  </mergeCells>
  <hyperlinks>
    <hyperlink ref="E5" r:id="rId1" xr:uid="{4850975C-FBB0-4FA4-82AB-8D28E15E7CE4}"/>
    <hyperlink ref="B2:F2" location="Index!B45" display="e-Learning" xr:uid="{62C57BB5-218E-44CB-BF26-FCA859A1AF74}"/>
    <hyperlink ref="G5" r:id="rId2" xr:uid="{0A28F25C-5FEF-4499-85E3-32CA4BDF3F91}"/>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1C643-2FB3-4002-A346-32EEB8ADAA0F}">
  <dimension ref="B1:G6"/>
  <sheetViews>
    <sheetView workbookViewId="0">
      <selection sqref="A1:XFD1048576"/>
    </sheetView>
  </sheetViews>
  <sheetFormatPr defaultColWidth="10.140625" defaultRowHeight="15" x14ac:dyDescent="0.25"/>
  <cols>
    <col min="1" max="1" width="2.28515625" customWidth="1"/>
    <col min="2" max="2" width="32.42578125" customWidth="1"/>
    <col min="3" max="3" width="17.7109375" customWidth="1"/>
    <col min="4" max="4" width="35.42578125" customWidth="1"/>
    <col min="5" max="5" width="44" customWidth="1"/>
    <col min="6" max="6" width="13.140625" hidden="1" customWidth="1"/>
    <col min="7" max="7" width="19.42578125" customWidth="1"/>
  </cols>
  <sheetData>
    <row r="1" spans="2:7" ht="15.75" thickBot="1" x14ac:dyDescent="0.3"/>
    <row r="2" spans="2:7" ht="19.5" thickBot="1" x14ac:dyDescent="0.35">
      <c r="B2" s="129" t="s">
        <v>779</v>
      </c>
      <c r="C2" s="130"/>
      <c r="D2" s="130"/>
      <c r="E2" s="130"/>
      <c r="F2" s="130"/>
      <c r="G2" s="131"/>
    </row>
    <row r="3" spans="2:7" ht="15.75" thickBot="1" x14ac:dyDescent="0.3"/>
    <row r="4" spans="2:7" ht="16.5" thickBot="1" x14ac:dyDescent="0.3">
      <c r="B4" s="13" t="s">
        <v>608</v>
      </c>
      <c r="C4" s="13" t="s">
        <v>584</v>
      </c>
      <c r="D4" s="13" t="s">
        <v>600</v>
      </c>
      <c r="E4" s="13" t="s">
        <v>585</v>
      </c>
      <c r="F4" s="28" t="s">
        <v>586</v>
      </c>
      <c r="G4" s="13" t="s">
        <v>587</v>
      </c>
    </row>
    <row r="5" spans="2:7" ht="16.5" thickBot="1" x14ac:dyDescent="0.3">
      <c r="B5" s="14" t="s">
        <v>692</v>
      </c>
      <c r="C5" s="24" t="s">
        <v>693</v>
      </c>
      <c r="D5" s="24" t="s">
        <v>619</v>
      </c>
      <c r="E5" s="64" t="s">
        <v>694</v>
      </c>
      <c r="F5" s="45"/>
      <c r="G5" s="65" t="s">
        <v>591</v>
      </c>
    </row>
    <row r="6" spans="2:7" ht="16.5" thickBot="1" x14ac:dyDescent="0.3">
      <c r="B6" s="16" t="s">
        <v>695</v>
      </c>
      <c r="C6" s="34" t="s">
        <v>696</v>
      </c>
      <c r="D6" s="34" t="s">
        <v>697</v>
      </c>
      <c r="E6" s="69" t="s">
        <v>698</v>
      </c>
      <c r="F6" s="46"/>
      <c r="G6" s="67" t="s">
        <v>591</v>
      </c>
    </row>
  </sheetData>
  <mergeCells count="1">
    <mergeCell ref="B2:G2"/>
  </mergeCells>
  <hyperlinks>
    <hyperlink ref="E6" r:id="rId1" xr:uid="{2155FD5B-E72C-4EE7-BD4D-4CD2C926B6B1}"/>
    <hyperlink ref="E5" r:id="rId2" xr:uid="{9784999D-2E51-4133-8A67-E474175B422D}"/>
    <hyperlink ref="B2:F2" location="Index!B45" display="e-Learning" xr:uid="{5CE1EA0F-86F0-4E46-9BFB-691D0C0D0BC6}"/>
    <hyperlink ref="G5" r:id="rId3" xr:uid="{63754F89-10DA-47AD-B4C3-76CDE053F114}"/>
    <hyperlink ref="G6" r:id="rId4" xr:uid="{5CBF295C-20C2-4BF3-B453-E0871492E7AE}"/>
    <hyperlink ref="B2:G2" location="Index!B45" display="e-Commerce" xr:uid="{00D7325B-44C7-4A1D-8263-41D9A2D5A408}"/>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298F1-3B30-4054-A52E-9DB91E975E25}">
  <dimension ref="B1:F5"/>
  <sheetViews>
    <sheetView workbookViewId="0">
      <selection sqref="A1:XFD1048576"/>
    </sheetView>
  </sheetViews>
  <sheetFormatPr defaultColWidth="10.140625" defaultRowHeight="15" x14ac:dyDescent="0.25"/>
  <cols>
    <col min="1" max="1" width="2.28515625" customWidth="1"/>
    <col min="2" max="2" width="19.85546875" customWidth="1"/>
    <col min="3" max="3" width="19.42578125" customWidth="1"/>
    <col min="4" max="4" width="46.28515625" customWidth="1"/>
    <col min="5" max="5" width="15.42578125" hidden="1" customWidth="1"/>
    <col min="6" max="6" width="18.85546875" customWidth="1"/>
  </cols>
  <sheetData>
    <row r="1" spans="2:6" ht="15.75" thickBot="1" x14ac:dyDescent="0.3"/>
    <row r="2" spans="2:6" ht="19.5" thickBot="1" x14ac:dyDescent="0.35">
      <c r="B2" s="129" t="s">
        <v>543</v>
      </c>
      <c r="C2" s="130"/>
      <c r="D2" s="130"/>
      <c r="E2" s="130"/>
      <c r="F2" s="131"/>
    </row>
    <row r="3" spans="2:6" ht="15.75" thickBot="1" x14ac:dyDescent="0.3"/>
    <row r="4" spans="2:6" ht="16.5" thickBot="1" x14ac:dyDescent="0.3">
      <c r="B4" s="13" t="s">
        <v>584</v>
      </c>
      <c r="C4" s="13" t="s">
        <v>600</v>
      </c>
      <c r="D4" s="13" t="s">
        <v>585</v>
      </c>
      <c r="E4" s="28" t="s">
        <v>586</v>
      </c>
      <c r="F4" s="13" t="s">
        <v>587</v>
      </c>
    </row>
    <row r="5" spans="2:6" ht="16.5" thickBot="1" x14ac:dyDescent="0.3">
      <c r="B5" s="23" t="s">
        <v>544</v>
      </c>
      <c r="C5" s="24" t="s">
        <v>640</v>
      </c>
      <c r="D5" s="64" t="s">
        <v>641</v>
      </c>
      <c r="E5" s="15"/>
      <c r="F5" s="65" t="s">
        <v>591</v>
      </c>
    </row>
  </sheetData>
  <mergeCells count="1">
    <mergeCell ref="B2:F2"/>
  </mergeCells>
  <hyperlinks>
    <hyperlink ref="D5" r:id="rId1" xr:uid="{09AD04D5-394B-491E-AE7F-3A7718B47866}"/>
    <hyperlink ref="B2:E2" location="Index!B49" display="Education - Campus and Schools" xr:uid="{F3D20AB8-3810-400F-B255-0500A5B61A34}"/>
    <hyperlink ref="F5" r:id="rId2" xr:uid="{DA90F69E-D228-4835-892C-C97163663FDE}"/>
    <hyperlink ref="B2:F2" location="Index!B50" display="Education - Campus and Schools" xr:uid="{23E939B0-BC34-416C-82F5-56E5AFCCCFE6}"/>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7AF9A-68EF-4F20-9103-E100C55DAFB2}">
  <dimension ref="B1:F5"/>
  <sheetViews>
    <sheetView workbookViewId="0">
      <selection sqref="A1:XFD1048576"/>
    </sheetView>
  </sheetViews>
  <sheetFormatPr defaultColWidth="10.140625" defaultRowHeight="15" x14ac:dyDescent="0.25"/>
  <cols>
    <col min="1" max="1" width="2.28515625" customWidth="1"/>
    <col min="2" max="2" width="19.85546875" customWidth="1"/>
    <col min="3" max="3" width="19.42578125" customWidth="1"/>
    <col min="4" max="4" width="46.28515625" customWidth="1"/>
    <col min="5" max="5" width="15.42578125" hidden="1" customWidth="1"/>
    <col min="6" max="6" width="18.85546875" customWidth="1"/>
  </cols>
  <sheetData>
    <row r="1" spans="2:6" ht="15.75" thickBot="1" x14ac:dyDescent="0.3"/>
    <row r="2" spans="2:6" ht="19.5" thickBot="1" x14ac:dyDescent="0.35">
      <c r="B2" s="129" t="s">
        <v>543</v>
      </c>
      <c r="C2" s="130"/>
      <c r="D2" s="130"/>
      <c r="E2" s="130"/>
      <c r="F2" s="131"/>
    </row>
    <row r="3" spans="2:6" ht="15.75" thickBot="1" x14ac:dyDescent="0.3"/>
    <row r="4" spans="2:6" ht="16.5" thickBot="1" x14ac:dyDescent="0.3">
      <c r="B4" s="13" t="s">
        <v>584</v>
      </c>
      <c r="C4" s="13" t="s">
        <v>600</v>
      </c>
      <c r="D4" s="13" t="s">
        <v>585</v>
      </c>
      <c r="E4" s="28" t="s">
        <v>586</v>
      </c>
      <c r="F4" s="13" t="s">
        <v>587</v>
      </c>
    </row>
    <row r="5" spans="2:6" ht="16.5" thickBot="1" x14ac:dyDescent="0.3">
      <c r="B5" s="23" t="s">
        <v>1340</v>
      </c>
      <c r="C5" s="24" t="s">
        <v>606</v>
      </c>
      <c r="D5" s="64"/>
      <c r="E5" s="15"/>
      <c r="F5" s="79" t="s">
        <v>591</v>
      </c>
    </row>
  </sheetData>
  <mergeCells count="1">
    <mergeCell ref="B2:F2"/>
  </mergeCells>
  <hyperlinks>
    <hyperlink ref="B2:E2" location="Index!B49" display="Education - Campus and Schools" xr:uid="{65E1844B-0908-431D-948C-607AE2458D1B}"/>
    <hyperlink ref="F5" r:id="rId1" xr:uid="{6DEC075C-B442-4021-9805-353985CD08A8}"/>
    <hyperlink ref="B2:F2" location="Index!B50" display="Education - Campus and Schools" xr:uid="{40E1B749-566E-42AC-AADE-D445BFFAA3EC}"/>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27D73-22CD-4023-BA59-6B675EB07BEA}">
  <dimension ref="B1:F10"/>
  <sheetViews>
    <sheetView workbookViewId="0">
      <selection sqref="A1:XFD1048576"/>
    </sheetView>
  </sheetViews>
  <sheetFormatPr defaultColWidth="10.140625" defaultRowHeight="15" x14ac:dyDescent="0.25"/>
  <cols>
    <col min="1" max="1" width="2.28515625" customWidth="1"/>
    <col min="2" max="3" width="19.85546875" customWidth="1"/>
    <col min="4" max="4" width="19.85546875" hidden="1" customWidth="1"/>
    <col min="5" max="5" width="23.28515625" customWidth="1"/>
    <col min="6" max="6" width="20" customWidth="1"/>
  </cols>
  <sheetData>
    <row r="1" spans="2:6" ht="15.75" thickBot="1" x14ac:dyDescent="0.3"/>
    <row r="2" spans="2:6" ht="19.5" thickBot="1" x14ac:dyDescent="0.35">
      <c r="B2" s="129" t="s">
        <v>546</v>
      </c>
      <c r="C2" s="130"/>
      <c r="D2" s="130"/>
      <c r="E2" s="130"/>
      <c r="F2" s="131"/>
    </row>
    <row r="3" spans="2:6" ht="15.75" thickBot="1" x14ac:dyDescent="0.3"/>
    <row r="4" spans="2:6" ht="16.5" thickBot="1" x14ac:dyDescent="0.3">
      <c r="B4" s="13" t="s">
        <v>584</v>
      </c>
      <c r="C4" s="13" t="s">
        <v>600</v>
      </c>
      <c r="D4" s="13" t="s">
        <v>585</v>
      </c>
      <c r="E4" s="28" t="s">
        <v>642</v>
      </c>
      <c r="F4" s="13" t="s">
        <v>587</v>
      </c>
    </row>
    <row r="5" spans="2:6" ht="16.5" thickBot="1" x14ac:dyDescent="0.3">
      <c r="B5" s="23" t="s">
        <v>547</v>
      </c>
      <c r="C5" s="24" t="s">
        <v>640</v>
      </c>
      <c r="D5" s="35"/>
      <c r="E5" s="65" t="s">
        <v>643</v>
      </c>
      <c r="F5" s="65" t="s">
        <v>591</v>
      </c>
    </row>
    <row r="7" spans="2:6" ht="15.75" x14ac:dyDescent="0.25">
      <c r="E7" s="12" t="s">
        <v>644</v>
      </c>
    </row>
    <row r="8" spans="2:6" ht="15.75" x14ac:dyDescent="0.25">
      <c r="E8" s="12" t="s">
        <v>645</v>
      </c>
    </row>
    <row r="9" spans="2:6" ht="15.75" x14ac:dyDescent="0.25">
      <c r="E9" s="12" t="s">
        <v>646</v>
      </c>
    </row>
    <row r="10" spans="2:6" ht="15.75" x14ac:dyDescent="0.25">
      <c r="E10" s="12" t="s">
        <v>647</v>
      </c>
    </row>
  </sheetData>
  <mergeCells count="1">
    <mergeCell ref="B2:F2"/>
  </mergeCells>
  <hyperlinks>
    <hyperlink ref="B2:E2" location="Index!B52" display="Field Service" xr:uid="{D9A24ABA-23B3-4D94-8B69-83C696F8F1B5}"/>
    <hyperlink ref="E5" r:id="rId1" xr:uid="{E1DAC1B4-02D1-4206-8D4B-64DA3E91E1CF}"/>
    <hyperlink ref="F5" r:id="rId2" xr:uid="{3DDB8E6A-8F57-4EFF-9BC8-5049F2A2138E}"/>
    <hyperlink ref="B2:F2" location="Index!B54" display="Field Service" xr:uid="{0A8A8F54-2D9A-4FB9-8DA2-748D5012CC21}"/>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0C181-A7CB-4CAB-9AE7-CEF0D4D81539}">
  <dimension ref="B1:F5"/>
  <sheetViews>
    <sheetView workbookViewId="0">
      <selection sqref="A1:XFD1048576"/>
    </sheetView>
  </sheetViews>
  <sheetFormatPr defaultColWidth="10.140625" defaultRowHeight="15" x14ac:dyDescent="0.25"/>
  <cols>
    <col min="1" max="1" width="2.28515625" customWidth="1"/>
    <col min="2" max="3" width="19.85546875" customWidth="1"/>
    <col min="4" max="4" width="43.85546875" customWidth="1"/>
    <col min="5" max="5" width="21.7109375" hidden="1" customWidth="1"/>
    <col min="6" max="6" width="19" customWidth="1"/>
  </cols>
  <sheetData>
    <row r="1" spans="2:6" ht="15.75" thickBot="1" x14ac:dyDescent="0.3"/>
    <row r="2" spans="2:6" ht="19.5" thickBot="1" x14ac:dyDescent="0.35">
      <c r="B2" s="129" t="s">
        <v>549</v>
      </c>
      <c r="C2" s="130"/>
      <c r="D2" s="130"/>
      <c r="E2" s="130"/>
      <c r="F2" s="131"/>
    </row>
    <row r="3" spans="2:6" ht="15.75" thickBot="1" x14ac:dyDescent="0.3"/>
    <row r="4" spans="2:6" ht="16.5" thickBot="1" x14ac:dyDescent="0.3">
      <c r="B4" s="13" t="s">
        <v>584</v>
      </c>
      <c r="C4" s="13" t="s">
        <v>600</v>
      </c>
      <c r="D4" s="13" t="s">
        <v>585</v>
      </c>
      <c r="E4" s="28" t="s">
        <v>586</v>
      </c>
      <c r="F4" s="13" t="s">
        <v>587</v>
      </c>
    </row>
    <row r="5" spans="2:6" ht="16.5" thickBot="1" x14ac:dyDescent="0.3">
      <c r="B5" s="23" t="s">
        <v>648</v>
      </c>
      <c r="C5" s="24" t="s">
        <v>619</v>
      </c>
      <c r="D5" s="64" t="s">
        <v>649</v>
      </c>
      <c r="E5" s="15"/>
      <c r="F5" s="65" t="s">
        <v>591</v>
      </c>
    </row>
  </sheetData>
  <mergeCells count="1">
    <mergeCell ref="B2:F2"/>
  </mergeCells>
  <hyperlinks>
    <hyperlink ref="D5" r:id="rId1" xr:uid="{BB6BA518-7636-41C3-BC7A-85039DD5C52D}"/>
    <hyperlink ref="B2:E2" location="Index!B55" display="Governance, Risk and Compliance" xr:uid="{078C423C-8021-4725-8A54-4094B9549CF3}"/>
    <hyperlink ref="F5" r:id="rId2" xr:uid="{541C80EF-9328-4AD2-B704-BD8FF894AB2F}"/>
    <hyperlink ref="B2:F2" location="Index!B58" display="Governance, Risk and Compliance" xr:uid="{AD74A01D-AF8A-4120-9684-B57C07E43458}"/>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88D63-58F3-44BD-9FE1-49BCA90DF8BF}">
  <dimension ref="B1:F5"/>
  <sheetViews>
    <sheetView workbookViewId="0">
      <selection sqref="A1:XFD1048576"/>
    </sheetView>
  </sheetViews>
  <sheetFormatPr defaultColWidth="10.140625" defaultRowHeight="15" x14ac:dyDescent="0.25"/>
  <cols>
    <col min="1" max="1" width="2.28515625" customWidth="1"/>
    <col min="2" max="2" width="19.42578125" customWidth="1"/>
    <col min="3" max="3" width="19.85546875" customWidth="1"/>
    <col min="4" max="4" width="42.85546875" customWidth="1"/>
    <col min="5" max="5" width="19.42578125" hidden="1" customWidth="1"/>
    <col min="6" max="6" width="21.140625" customWidth="1"/>
  </cols>
  <sheetData>
    <row r="1" spans="2:6" ht="15.75" thickBot="1" x14ac:dyDescent="0.3"/>
    <row r="2" spans="2:6" ht="19.5" thickBot="1" x14ac:dyDescent="0.35">
      <c r="B2" s="129" t="s">
        <v>552</v>
      </c>
      <c r="C2" s="130"/>
      <c r="D2" s="130"/>
      <c r="E2" s="130"/>
      <c r="F2" s="131"/>
    </row>
    <row r="3" spans="2:6" ht="15.75" thickBot="1" x14ac:dyDescent="0.3"/>
    <row r="4" spans="2:6" ht="16.5" thickBot="1" x14ac:dyDescent="0.3">
      <c r="B4" s="13" t="s">
        <v>584</v>
      </c>
      <c r="C4" s="13" t="s">
        <v>600</v>
      </c>
      <c r="D4" s="13" t="s">
        <v>585</v>
      </c>
      <c r="E4" s="28" t="s">
        <v>586</v>
      </c>
      <c r="F4" s="13" t="s">
        <v>587</v>
      </c>
    </row>
    <row r="5" spans="2:6" ht="16.5" thickBot="1" x14ac:dyDescent="0.3">
      <c r="B5" s="23" t="s">
        <v>553</v>
      </c>
      <c r="C5" s="24" t="s">
        <v>640</v>
      </c>
      <c r="D5" s="64" t="s">
        <v>650</v>
      </c>
      <c r="E5" s="15"/>
      <c r="F5" s="65" t="s">
        <v>591</v>
      </c>
    </row>
  </sheetData>
  <mergeCells count="1">
    <mergeCell ref="B2:F2"/>
  </mergeCells>
  <hyperlinks>
    <hyperlink ref="D5" r:id="rId1" xr:uid="{13848769-755A-430C-8A31-7F0D456A4420}"/>
    <hyperlink ref="B2:E2" location="Index!B58" display="Healthcare" xr:uid="{027D074C-4CDB-4BE0-986B-BAE2FE5C03A9}"/>
    <hyperlink ref="F5" r:id="rId2" xr:uid="{AC85C8B8-133E-4F98-B7BA-69BF89F2BD45}"/>
    <hyperlink ref="B2:F2" location="Index!B62" display="Healthcare" xr:uid="{BE43C6B9-88AB-4B88-858A-27D5F9FE7497}"/>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581A4-3CBD-4692-9824-32228FC8CF54}">
  <dimension ref="B1:F5"/>
  <sheetViews>
    <sheetView workbookViewId="0">
      <selection activeCell="I37" sqref="I37"/>
    </sheetView>
  </sheetViews>
  <sheetFormatPr defaultColWidth="10.140625" defaultRowHeight="15" x14ac:dyDescent="0.25"/>
  <cols>
    <col min="1" max="1" width="2.28515625" customWidth="1"/>
    <col min="2" max="2" width="19.42578125" customWidth="1"/>
    <col min="3" max="3" width="19.85546875" customWidth="1"/>
    <col min="4" max="4" width="43" customWidth="1"/>
    <col min="5" max="5" width="23" hidden="1" customWidth="1"/>
    <col min="6" max="6" width="21" customWidth="1"/>
  </cols>
  <sheetData>
    <row r="1" spans="2:6" ht="15.75" thickBot="1" x14ac:dyDescent="0.3"/>
    <row r="2" spans="2:6" ht="19.5" thickBot="1" x14ac:dyDescent="0.35">
      <c r="B2" s="129" t="s">
        <v>555</v>
      </c>
      <c r="C2" s="130"/>
      <c r="D2" s="130"/>
      <c r="E2" s="130"/>
      <c r="F2" s="131"/>
    </row>
    <row r="3" spans="2:6" ht="15.75" thickBot="1" x14ac:dyDescent="0.3"/>
    <row r="4" spans="2:6" ht="16.5" thickBot="1" x14ac:dyDescent="0.3">
      <c r="B4" s="13" t="s">
        <v>584</v>
      </c>
      <c r="C4" s="13" t="s">
        <v>600</v>
      </c>
      <c r="D4" s="13" t="s">
        <v>585</v>
      </c>
      <c r="E4" s="28" t="s">
        <v>586</v>
      </c>
      <c r="F4" s="13" t="s">
        <v>587</v>
      </c>
    </row>
    <row r="5" spans="2:6" ht="16.5" thickBot="1" x14ac:dyDescent="0.3">
      <c r="B5" s="23" t="s">
        <v>556</v>
      </c>
      <c r="C5" s="24" t="s">
        <v>640</v>
      </c>
      <c r="D5" s="64" t="s">
        <v>651</v>
      </c>
      <c r="E5" s="15"/>
      <c r="F5" s="65" t="s">
        <v>591</v>
      </c>
    </row>
  </sheetData>
  <mergeCells count="1">
    <mergeCell ref="B2:F2"/>
  </mergeCells>
  <hyperlinks>
    <hyperlink ref="D5" r:id="rId1" xr:uid="{80208941-DB20-4DD8-B55E-A0F165BC2AC3}"/>
    <hyperlink ref="B2:E2" location="Index!B61" display="Payment Services" xr:uid="{28BC40C9-13B6-4409-A865-E64C401C58B7}"/>
    <hyperlink ref="F5" r:id="rId2" xr:uid="{3CC9B2B6-35EF-472E-8442-A72A5D42613C}"/>
    <hyperlink ref="B2:F2" location="Index!B66" display="Payment Services" xr:uid="{36CD34D3-515F-4829-BA1B-B69586E3D4F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EDBCB-040B-4C10-9197-931255394443}">
  <dimension ref="B1:G17"/>
  <sheetViews>
    <sheetView workbookViewId="0">
      <selection sqref="A1:XFD1048576"/>
    </sheetView>
  </sheetViews>
  <sheetFormatPr defaultColWidth="10.140625" defaultRowHeight="15" x14ac:dyDescent="0.25"/>
  <cols>
    <col min="1" max="1" width="2.28515625" customWidth="1"/>
    <col min="2" max="2" width="32.5703125" customWidth="1"/>
    <col min="3" max="3" width="28.42578125" customWidth="1"/>
    <col min="4" max="4" width="32" customWidth="1"/>
    <col min="5" max="5" width="52" customWidth="1"/>
    <col min="6" max="6" width="38.140625" customWidth="1"/>
    <col min="7" max="7" width="18.7109375" customWidth="1"/>
  </cols>
  <sheetData>
    <row r="1" spans="2:7" ht="15.75" thickBot="1" x14ac:dyDescent="0.3"/>
    <row r="2" spans="2:7" ht="19.5" thickBot="1" x14ac:dyDescent="0.35">
      <c r="B2" s="129" t="s">
        <v>652</v>
      </c>
      <c r="C2" s="130"/>
      <c r="D2" s="130"/>
      <c r="E2" s="130"/>
      <c r="F2" s="130"/>
      <c r="G2" s="131"/>
    </row>
    <row r="3" spans="2:7" ht="15.75" thickBot="1" x14ac:dyDescent="0.3"/>
    <row r="4" spans="2:7" ht="16.5" thickBot="1" x14ac:dyDescent="0.3">
      <c r="B4" s="13" t="s">
        <v>608</v>
      </c>
      <c r="C4" s="13" t="s">
        <v>584</v>
      </c>
      <c r="D4" s="13" t="s">
        <v>600</v>
      </c>
      <c r="E4" s="13" t="s">
        <v>585</v>
      </c>
      <c r="F4" s="28" t="s">
        <v>586</v>
      </c>
      <c r="G4" s="13" t="s">
        <v>587</v>
      </c>
    </row>
    <row r="5" spans="2:7" ht="16.5" thickBot="1" x14ac:dyDescent="0.3">
      <c r="B5" s="36" t="s">
        <v>653</v>
      </c>
      <c r="C5" s="32" t="s">
        <v>654</v>
      </c>
      <c r="D5" s="32" t="s">
        <v>655</v>
      </c>
      <c r="E5" s="75" t="s">
        <v>656</v>
      </c>
      <c r="F5" s="31" t="s">
        <v>619</v>
      </c>
      <c r="G5" s="63" t="s">
        <v>591</v>
      </c>
    </row>
    <row r="6" spans="2:7" s="2" customFormat="1" ht="16.5" thickBot="1" x14ac:dyDescent="0.3">
      <c r="B6" s="36" t="s">
        <v>657</v>
      </c>
      <c r="C6" s="32" t="s">
        <v>560</v>
      </c>
      <c r="D6" s="31" t="s">
        <v>655</v>
      </c>
      <c r="E6" s="75" t="s">
        <v>658</v>
      </c>
      <c r="F6" s="37" t="s">
        <v>619</v>
      </c>
      <c r="G6" s="63" t="s">
        <v>591</v>
      </c>
    </row>
    <row r="7" spans="2:7" ht="16.5" thickBot="1" x14ac:dyDescent="0.3">
      <c r="B7" s="38" t="s">
        <v>659</v>
      </c>
      <c r="C7" s="39" t="s">
        <v>660</v>
      </c>
      <c r="D7" s="40" t="s">
        <v>655</v>
      </c>
      <c r="E7" s="74" t="s">
        <v>661</v>
      </c>
      <c r="F7" s="40" t="s">
        <v>619</v>
      </c>
      <c r="G7" s="72" t="s">
        <v>591</v>
      </c>
    </row>
    <row r="8" spans="2:7" ht="15.75" x14ac:dyDescent="0.25">
      <c r="B8" s="132" t="s">
        <v>558</v>
      </c>
      <c r="C8" s="132" t="s">
        <v>558</v>
      </c>
      <c r="D8" s="134" t="s">
        <v>640</v>
      </c>
      <c r="E8" s="145" t="s">
        <v>662</v>
      </c>
      <c r="F8" s="73" t="s">
        <v>663</v>
      </c>
      <c r="G8" s="145" t="s">
        <v>591</v>
      </c>
    </row>
    <row r="9" spans="2:7" ht="15.75" x14ac:dyDescent="0.25">
      <c r="B9" s="144"/>
      <c r="C9" s="144"/>
      <c r="D9" s="139"/>
      <c r="E9" s="143"/>
      <c r="F9" s="73" t="s">
        <v>873</v>
      </c>
      <c r="G9" s="143"/>
    </row>
    <row r="10" spans="2:7" ht="16.5" hidden="1" customHeight="1" x14ac:dyDescent="0.25">
      <c r="B10" s="144"/>
      <c r="C10" s="144"/>
      <c r="D10" s="139"/>
      <c r="E10" s="143"/>
      <c r="F10" s="67" t="s">
        <v>874</v>
      </c>
      <c r="G10" s="143"/>
    </row>
    <row r="11" spans="2:7" ht="28.35" hidden="1" customHeight="1" thickBot="1" x14ac:dyDescent="0.3">
      <c r="B11" s="38" t="s">
        <v>664</v>
      </c>
      <c r="C11" s="39" t="s">
        <v>665</v>
      </c>
      <c r="D11" s="40" t="s">
        <v>655</v>
      </c>
      <c r="E11" s="74" t="s">
        <v>875</v>
      </c>
      <c r="F11" s="84" t="s">
        <v>619</v>
      </c>
      <c r="G11" s="82" t="s">
        <v>591</v>
      </c>
    </row>
    <row r="12" spans="2:7" ht="15.75" x14ac:dyDescent="0.25">
      <c r="B12" s="144" t="s">
        <v>666</v>
      </c>
      <c r="C12" s="144" t="s">
        <v>667</v>
      </c>
      <c r="D12" s="139" t="s">
        <v>655</v>
      </c>
      <c r="E12" s="141" t="s">
        <v>668</v>
      </c>
      <c r="F12" s="73" t="s">
        <v>669</v>
      </c>
      <c r="G12" s="143" t="s">
        <v>591</v>
      </c>
    </row>
    <row r="13" spans="2:7" ht="16.5" thickBot="1" x14ac:dyDescent="0.3">
      <c r="B13" s="133"/>
      <c r="C13" s="133"/>
      <c r="D13" s="135"/>
      <c r="E13" s="142"/>
      <c r="F13" s="67" t="s">
        <v>670</v>
      </c>
      <c r="G13" s="137"/>
    </row>
    <row r="14" spans="2:7" ht="16.5" thickBot="1" x14ac:dyDescent="0.3">
      <c r="B14" s="48" t="s">
        <v>791</v>
      </c>
      <c r="C14" s="39" t="s">
        <v>792</v>
      </c>
      <c r="D14" s="40" t="s">
        <v>793</v>
      </c>
      <c r="E14" s="74" t="s">
        <v>794</v>
      </c>
      <c r="F14" s="40" t="s">
        <v>619</v>
      </c>
      <c r="G14" s="72" t="s">
        <v>591</v>
      </c>
    </row>
    <row r="15" spans="2:7" ht="15.75" x14ac:dyDescent="0.25">
      <c r="B15" s="47"/>
      <c r="C15" s="47"/>
      <c r="D15" s="2"/>
      <c r="E15" s="76"/>
      <c r="F15" s="50"/>
      <c r="G15" s="77"/>
    </row>
    <row r="16" spans="2:7" ht="15.75" x14ac:dyDescent="0.25">
      <c r="D16" s="2"/>
      <c r="F16" s="12" t="s">
        <v>671</v>
      </c>
    </row>
    <row r="17" spans="6:6" ht="15.75" x14ac:dyDescent="0.25">
      <c r="F17" s="12" t="s">
        <v>628</v>
      </c>
    </row>
  </sheetData>
  <mergeCells count="11">
    <mergeCell ref="B2:G2"/>
    <mergeCell ref="B8:B10"/>
    <mergeCell ref="C8:C10"/>
    <mergeCell ref="D8:D10"/>
    <mergeCell ref="E8:E10"/>
    <mergeCell ref="G8:G10"/>
    <mergeCell ref="B12:B13"/>
    <mergeCell ref="C12:C13"/>
    <mergeCell ref="D12:D13"/>
    <mergeCell ref="E12:E13"/>
    <mergeCell ref="G12:G13"/>
  </mergeCells>
  <hyperlinks>
    <hyperlink ref="E5" r:id="rId1" xr:uid="{D230C4C5-C439-4063-BB64-A8085D70DC2D}"/>
    <hyperlink ref="B2:F2" location="Index!B64" display="Payroll and HR" xr:uid="{A0E377B7-907C-463A-8FB2-ED84ED47433C}"/>
    <hyperlink ref="E12" r:id="rId2" xr:uid="{6B83A166-D26E-4094-BE43-5C18BE827B90}"/>
    <hyperlink ref="F12" r:id="rId3" xr:uid="{1DA60040-7785-43C9-9FF2-8DD54BCFBF31}"/>
    <hyperlink ref="F13" r:id="rId4" xr:uid="{9CC2FD19-6F99-482D-8B75-DBE622A0AA6C}"/>
    <hyperlink ref="F8" r:id="rId5" xr:uid="{E83E3EEE-3E7F-424F-B5C0-19E1F9BFD05C}"/>
    <hyperlink ref="G5" r:id="rId6" xr:uid="{ACE540BE-6C47-4287-90BA-AA74B16774F7}"/>
    <hyperlink ref="G12" r:id="rId7" xr:uid="{4AFBDB81-09B9-413B-A0CD-6C634F6B2D29}"/>
    <hyperlink ref="B2:G2" location="Index!B70" display="Payroll and HR" xr:uid="{0DF00375-4283-450D-B856-BC6366BA83F8}"/>
    <hyperlink ref="G9:G10" r:id="rId8" display="Request Quote" xr:uid="{585919DF-0FBD-41DE-92C0-8B63246AF962}"/>
    <hyperlink ref="G12:G13" r:id="rId9" display="Request Quote" xr:uid="{0D350699-B4F9-4DE8-A93C-F3A2A45AC601}"/>
    <hyperlink ref="G7" r:id="rId10" xr:uid="{7D0D9300-3BC6-4B44-8F68-DEB5266223C8}"/>
    <hyperlink ref="E7" r:id="rId11" xr:uid="{D594FE48-C5F0-4753-98AF-BCA7DAAA2565}"/>
    <hyperlink ref="G6" r:id="rId12" xr:uid="{C6253B09-1A88-4703-AFF1-11FB76806841}"/>
    <hyperlink ref="E6" r:id="rId13" xr:uid="{F1132569-DDF3-4B2B-9FE6-0E0AEDE55CFA}"/>
    <hyperlink ref="E14" r:id="rId14" xr:uid="{BA9A25A9-FACA-4449-89AD-632FCEB05AD5}"/>
    <hyperlink ref="G14" r:id="rId15" xr:uid="{6AC662DD-21F9-48DC-941C-63C088673130}"/>
    <hyperlink ref="E11" r:id="rId16" xr:uid="{6856FFB4-CA9E-4F6B-BDCC-645C5E4E41EB}"/>
    <hyperlink ref="G11" r:id="rId17" xr:uid="{6C437826-CD65-4630-97AD-0C612FBF2F8D}"/>
    <hyperlink ref="F9" r:id="rId18" xr:uid="{6739F688-5C33-47B2-821A-C5FF248D159C}"/>
    <hyperlink ref="F10" r:id="rId19" xr:uid="{45E89197-68C1-475E-B582-AEF6032813F3}"/>
    <hyperlink ref="G8" r:id="rId20" xr:uid="{D8BB0607-033D-4B9F-A8E0-95145E888BEB}"/>
    <hyperlink ref="E8" r:id="rId21" xr:uid="{A684E7D9-153C-4BC8-A5AA-701A6A11EBD9}"/>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964E4-0D15-4216-AAC7-EEA358517840}">
  <dimension ref="B1:G12"/>
  <sheetViews>
    <sheetView workbookViewId="0">
      <selection sqref="A1:XFD1048576"/>
    </sheetView>
  </sheetViews>
  <sheetFormatPr defaultColWidth="10.140625" defaultRowHeight="15" x14ac:dyDescent="0.25"/>
  <cols>
    <col min="1" max="1" width="2.28515625" customWidth="1"/>
    <col min="2" max="2" width="32.5703125" customWidth="1"/>
    <col min="3" max="3" width="22.7109375" customWidth="1"/>
    <col min="4" max="4" width="19.42578125" customWidth="1"/>
    <col min="5" max="5" width="46.7109375" customWidth="1"/>
    <col min="6" max="6" width="20.5703125" customWidth="1"/>
    <col min="7" max="7" width="19.85546875" customWidth="1"/>
  </cols>
  <sheetData>
    <row r="1" spans="2:7" ht="15.75" thickBot="1" x14ac:dyDescent="0.3"/>
    <row r="2" spans="2:7" ht="19.5" thickBot="1" x14ac:dyDescent="0.35">
      <c r="B2" s="129" t="s">
        <v>568</v>
      </c>
      <c r="C2" s="130"/>
      <c r="D2" s="130"/>
      <c r="E2" s="130"/>
      <c r="F2" s="130"/>
      <c r="G2" s="131"/>
    </row>
    <row r="3" spans="2:7" ht="15.75" thickBot="1" x14ac:dyDescent="0.3"/>
    <row r="4" spans="2:7" ht="16.5" thickBot="1" x14ac:dyDescent="0.3">
      <c r="B4" s="13" t="s">
        <v>608</v>
      </c>
      <c r="C4" s="13" t="s">
        <v>584</v>
      </c>
      <c r="D4" s="13" t="s">
        <v>600</v>
      </c>
      <c r="E4" s="13" t="s">
        <v>585</v>
      </c>
      <c r="F4" s="13" t="s">
        <v>586</v>
      </c>
      <c r="G4" s="13" t="s">
        <v>587</v>
      </c>
    </row>
    <row r="5" spans="2:7" ht="16.5" thickBot="1" x14ac:dyDescent="0.3">
      <c r="B5" s="29" t="s">
        <v>672</v>
      </c>
      <c r="C5" s="30" t="s">
        <v>673</v>
      </c>
      <c r="D5" s="30" t="s">
        <v>640</v>
      </c>
      <c r="E5" s="68" t="s">
        <v>674</v>
      </c>
      <c r="F5" s="41" t="s">
        <v>619</v>
      </c>
      <c r="G5" s="71" t="s">
        <v>591</v>
      </c>
    </row>
    <row r="6" spans="2:7" ht="16.5" thickBot="1" x14ac:dyDescent="0.3">
      <c r="B6" s="14" t="s">
        <v>568</v>
      </c>
      <c r="C6" s="24" t="s">
        <v>675</v>
      </c>
      <c r="D6" s="24" t="s">
        <v>640</v>
      </c>
      <c r="E6" s="64" t="s">
        <v>676</v>
      </c>
      <c r="F6" s="65" t="s">
        <v>677</v>
      </c>
      <c r="G6" s="72" t="s">
        <v>591</v>
      </c>
    </row>
    <row r="7" spans="2:7" ht="15.75" x14ac:dyDescent="0.25">
      <c r="E7" s="42"/>
    </row>
    <row r="8" spans="2:7" ht="15.75" x14ac:dyDescent="0.25">
      <c r="F8" s="12" t="s">
        <v>644</v>
      </c>
    </row>
    <row r="9" spans="2:7" ht="15.75" x14ac:dyDescent="0.25">
      <c r="F9" s="12" t="s">
        <v>678</v>
      </c>
    </row>
    <row r="10" spans="2:7" ht="15.75" x14ac:dyDescent="0.25">
      <c r="F10" s="12" t="s">
        <v>679</v>
      </c>
    </row>
    <row r="11" spans="2:7" ht="15.75" x14ac:dyDescent="0.25">
      <c r="F11" s="12" t="s">
        <v>680</v>
      </c>
    </row>
    <row r="12" spans="2:7" ht="15.75" x14ac:dyDescent="0.25">
      <c r="F12" s="12" t="s">
        <v>681</v>
      </c>
    </row>
  </sheetData>
  <mergeCells count="1">
    <mergeCell ref="B2:G2"/>
  </mergeCells>
  <hyperlinks>
    <hyperlink ref="E5" r:id="rId1" xr:uid="{0A4C7829-97E4-4D30-9CF5-1EE398B1B24E}"/>
    <hyperlink ref="E6" r:id="rId2" xr:uid="{AE17C421-C51C-4651-B88E-4100518F7DC3}"/>
    <hyperlink ref="B2:F2" location="Index!B72" display="Point of Sale" xr:uid="{43BB126C-BE04-41A5-8110-9226206456AA}"/>
    <hyperlink ref="F6" r:id="rId3" xr:uid="{D3E93F9E-8C0D-45D6-9DE5-A2C7A36753F3}"/>
    <hyperlink ref="G5" r:id="rId4" xr:uid="{57567E3A-D7AC-413E-B5E5-23B8F56513F5}"/>
    <hyperlink ref="G6" r:id="rId5" xr:uid="{DBEF6EEC-7E3D-4267-93C7-19C704E8211C}"/>
    <hyperlink ref="B2:G2" location="Index!B79" display="Point of Sale" xr:uid="{FE781B1B-29A6-435D-AB7B-11A134D4B9B6}"/>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D55E9-5988-4C3F-A0E2-46DDA40A5C56}">
  <dimension ref="B1:F6"/>
  <sheetViews>
    <sheetView workbookViewId="0">
      <selection sqref="A1:XFD1048576"/>
    </sheetView>
  </sheetViews>
  <sheetFormatPr defaultColWidth="10.140625" defaultRowHeight="15" x14ac:dyDescent="0.25"/>
  <cols>
    <col min="1" max="1" width="2.28515625" customWidth="1"/>
    <col min="2" max="3" width="19.85546875" customWidth="1"/>
    <col min="4" max="4" width="38.85546875" customWidth="1"/>
    <col min="5" max="5" width="17.28515625" hidden="1" customWidth="1"/>
    <col min="6" max="6" width="20.5703125" customWidth="1"/>
  </cols>
  <sheetData>
    <row r="1" spans="2:6" ht="15.75" thickBot="1" x14ac:dyDescent="0.3"/>
    <row r="2" spans="2:6" ht="19.5" thickBot="1" x14ac:dyDescent="0.35">
      <c r="B2" s="129" t="s">
        <v>573</v>
      </c>
      <c r="C2" s="130"/>
      <c r="D2" s="130"/>
      <c r="E2" s="130"/>
      <c r="F2" s="131"/>
    </row>
    <row r="3" spans="2:6" ht="15.75" thickBot="1" x14ac:dyDescent="0.3"/>
    <row r="4" spans="2:6" ht="16.5" thickBot="1" x14ac:dyDescent="0.3">
      <c r="B4" s="13" t="s">
        <v>584</v>
      </c>
      <c r="C4" s="13" t="s">
        <v>600</v>
      </c>
      <c r="D4" s="13" t="s">
        <v>585</v>
      </c>
      <c r="E4" s="28" t="s">
        <v>586</v>
      </c>
      <c r="F4" s="13" t="s">
        <v>587</v>
      </c>
    </row>
    <row r="5" spans="2:6" ht="16.5" thickBot="1" x14ac:dyDescent="0.3">
      <c r="B5" s="23" t="s">
        <v>574</v>
      </c>
      <c r="C5" s="24" t="s">
        <v>640</v>
      </c>
      <c r="D5" s="64" t="s">
        <v>682</v>
      </c>
      <c r="E5" s="15"/>
      <c r="F5" s="65" t="s">
        <v>591</v>
      </c>
    </row>
    <row r="6" spans="2:6" ht="15.75" x14ac:dyDescent="0.25">
      <c r="D6" s="43"/>
    </row>
  </sheetData>
  <mergeCells count="1">
    <mergeCell ref="B2:F2"/>
  </mergeCells>
  <hyperlinks>
    <hyperlink ref="D5" r:id="rId1" xr:uid="{C668FAFC-81CB-4DBB-B41B-265A888686AF}"/>
    <hyperlink ref="B2:E2" location="Index!B76" display="Property Management" xr:uid="{725FA3B2-B11E-43F2-8584-C083BD2158EC}"/>
    <hyperlink ref="F5" r:id="rId2" xr:uid="{7C99DBBB-37AC-43B3-9881-E86C00B09523}"/>
    <hyperlink ref="B2:F2" location="Index!B84" display="Property Management" xr:uid="{24323C53-D161-49A3-891A-59FFD44C8F35}"/>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D5C04-7462-4AE7-9C41-29EE27665393}">
  <dimension ref="B1:G8"/>
  <sheetViews>
    <sheetView workbookViewId="0">
      <selection sqref="A1:XFD1048576"/>
    </sheetView>
  </sheetViews>
  <sheetFormatPr defaultColWidth="10.140625" defaultRowHeight="15" x14ac:dyDescent="0.25"/>
  <cols>
    <col min="1" max="1" width="2.28515625" customWidth="1"/>
    <col min="2" max="2" width="38.28515625" customWidth="1"/>
    <col min="3" max="3" width="14.7109375" customWidth="1"/>
    <col min="4" max="4" width="19.85546875" customWidth="1"/>
    <col min="5" max="5" width="41.140625" customWidth="1"/>
    <col min="6" max="6" width="18.7109375" hidden="1" customWidth="1"/>
    <col min="7" max="7" width="21.140625" customWidth="1"/>
  </cols>
  <sheetData>
    <row r="1" spans="2:7" ht="15.75" thickBot="1" x14ac:dyDescent="0.3"/>
    <row r="2" spans="2:7" ht="19.5" thickBot="1" x14ac:dyDescent="0.35">
      <c r="B2" s="129" t="s">
        <v>576</v>
      </c>
      <c r="C2" s="130"/>
      <c r="D2" s="130"/>
      <c r="E2" s="130"/>
      <c r="F2" s="130"/>
      <c r="G2" s="131"/>
    </row>
    <row r="3" spans="2:7" ht="15.75" thickBot="1" x14ac:dyDescent="0.3"/>
    <row r="4" spans="2:7" ht="16.5" thickBot="1" x14ac:dyDescent="0.3">
      <c r="B4" s="13" t="s">
        <v>608</v>
      </c>
      <c r="C4" s="13" t="s">
        <v>584</v>
      </c>
      <c r="D4" s="13" t="s">
        <v>600</v>
      </c>
      <c r="E4" s="13" t="s">
        <v>585</v>
      </c>
      <c r="F4" s="28" t="s">
        <v>586</v>
      </c>
      <c r="G4" s="13" t="s">
        <v>587</v>
      </c>
    </row>
    <row r="5" spans="2:7" ht="16.5" thickBot="1" x14ac:dyDescent="0.3">
      <c r="B5" s="29" t="s">
        <v>683</v>
      </c>
      <c r="C5" s="30" t="s">
        <v>684</v>
      </c>
      <c r="D5" s="30" t="s">
        <v>640</v>
      </c>
      <c r="E5" s="68" t="s">
        <v>685</v>
      </c>
      <c r="F5" s="33"/>
      <c r="G5" s="66" t="s">
        <v>591</v>
      </c>
    </row>
    <row r="6" spans="2:7" ht="16.5" thickBot="1" x14ac:dyDescent="0.3">
      <c r="B6" s="14" t="s">
        <v>686</v>
      </c>
      <c r="C6" s="24" t="s">
        <v>687</v>
      </c>
      <c r="D6" s="24" t="s">
        <v>640</v>
      </c>
      <c r="E6" s="64" t="s">
        <v>688</v>
      </c>
      <c r="F6" s="15"/>
      <c r="G6" s="65" t="s">
        <v>591</v>
      </c>
    </row>
    <row r="7" spans="2:7" ht="16.5" thickBot="1" x14ac:dyDescent="0.3">
      <c r="B7" s="16" t="s">
        <v>689</v>
      </c>
      <c r="C7" s="34" t="s">
        <v>690</v>
      </c>
      <c r="D7" s="34" t="s">
        <v>640</v>
      </c>
      <c r="E7" s="69" t="s">
        <v>691</v>
      </c>
      <c r="F7" s="17"/>
      <c r="G7" s="67" t="s">
        <v>591</v>
      </c>
    </row>
    <row r="8" spans="2:7" ht="15.75" x14ac:dyDescent="0.25">
      <c r="E8" s="44"/>
    </row>
  </sheetData>
  <mergeCells count="1">
    <mergeCell ref="B2:G2"/>
  </mergeCells>
  <hyperlinks>
    <hyperlink ref="E5" r:id="rId1" xr:uid="{32D8AFAE-C9F1-4473-86CA-6BC3918F3A12}"/>
    <hyperlink ref="E6" r:id="rId2" xr:uid="{5DB8D6DB-E7C6-4BAF-8D6D-9DA103838613}"/>
    <hyperlink ref="E7" r:id="rId3" xr:uid="{EB68D5E1-2009-49C9-B92F-A0BC4263C404}"/>
    <hyperlink ref="B2:F2" location="Index!B79" display="Reporting and Forecasting" xr:uid="{37E9D9DA-3E3F-4566-861B-A11DCF9486A3}"/>
    <hyperlink ref="G5" r:id="rId4" xr:uid="{90ED737B-5CA2-4120-A5B7-2A68BAE0B4BD}"/>
    <hyperlink ref="G6" r:id="rId5" xr:uid="{938E2337-B2B2-4360-A970-B90953E12600}"/>
    <hyperlink ref="G7" r:id="rId6" xr:uid="{0C0C65FB-D8BC-4555-9B57-BB25D6FDD425}"/>
    <hyperlink ref="B2:G2" location="Index!B88" display="Reporting and Forecasting" xr:uid="{5DE0362A-31FB-4ADA-A999-611118D9419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46b7895-e14e-4249-baf1-9ea4123d630a" xsi:nil="true"/>
    <lcf76f155ced4ddcb4097134ff3c332f xmlns="498a99dc-cf3e-4c16-8e24-a026cd851e2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7EBC693F86B904EB06C80335F0CD439" ma:contentTypeVersion="18" ma:contentTypeDescription="Create a new document." ma:contentTypeScope="" ma:versionID="25059f97b00c59b4bf7afd32a35eda5c">
  <xsd:schema xmlns:xsd="http://www.w3.org/2001/XMLSchema" xmlns:xs="http://www.w3.org/2001/XMLSchema" xmlns:p="http://schemas.microsoft.com/office/2006/metadata/properties" xmlns:ns2="498a99dc-cf3e-4c16-8e24-a026cd851e2d" xmlns:ns3="f46b7895-e14e-4249-baf1-9ea4123d630a" targetNamespace="http://schemas.microsoft.com/office/2006/metadata/properties" ma:root="true" ma:fieldsID="322f14495a45d15c25e477319ec04499" ns2:_="" ns3:_="">
    <xsd:import namespace="498a99dc-cf3e-4c16-8e24-a026cd851e2d"/>
    <xsd:import namespace="f46b7895-e14e-4249-baf1-9ea4123d630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8a99dc-cf3e-4c16-8e24-a026cd851e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46bf604-087f-42a5-8317-596654009f4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6b7895-e14e-4249-baf1-9ea4123d630a"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d903079-1545-462e-abaf-55a6cf31da0b}" ma:internalName="TaxCatchAll" ma:showField="CatchAllData" ma:web="f46b7895-e14e-4249-baf1-9ea4123d63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6DC875-BC98-430D-A502-C13573A3D181}">
  <ds:schemaRefs>
    <ds:schemaRef ds:uri="http://schemas.microsoft.com/office/2006/metadata/properties"/>
    <ds:schemaRef ds:uri="http://schemas.microsoft.com/office/infopath/2007/PartnerControls"/>
    <ds:schemaRef ds:uri="f46b7895-e14e-4249-baf1-9ea4123d630a"/>
    <ds:schemaRef ds:uri="498a99dc-cf3e-4c16-8e24-a026cd851e2d"/>
  </ds:schemaRefs>
</ds:datastoreItem>
</file>

<file path=customXml/itemProps2.xml><?xml version="1.0" encoding="utf-8"?>
<ds:datastoreItem xmlns:ds="http://schemas.openxmlformats.org/officeDocument/2006/customXml" ds:itemID="{0008CD1E-9678-4240-B8BF-4D417010AA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8a99dc-cf3e-4c16-8e24-a026cd851e2d"/>
    <ds:schemaRef ds:uri="f46b7895-e14e-4249-baf1-9ea4123d63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3F4022B-9279-4093-B9DE-3AFA00498A6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Notes &amp; Instructions</vt:lpstr>
      <vt:lpstr>Corporate Reseller USD</vt:lpstr>
      <vt:lpstr>Academic Reseller USD</vt:lpstr>
      <vt:lpstr>Charity Reseller USD</vt:lpstr>
      <vt:lpstr>ISV Index</vt:lpstr>
      <vt:lpstr>4Sight</vt:lpstr>
      <vt:lpstr>Agriculture</vt:lpstr>
      <vt:lpstr>Banking &amp; Insurance</vt:lpstr>
      <vt:lpstr>Collections</vt:lpstr>
      <vt:lpstr>Communications</vt:lpstr>
      <vt:lpstr>Cyber Security</vt:lpstr>
      <vt:lpstr>Digital Transformation</vt:lpstr>
      <vt:lpstr>Document Management</vt:lpstr>
      <vt:lpstr>E-Commerce</vt:lpstr>
      <vt:lpstr>e-Learning</vt:lpstr>
      <vt:lpstr>Education - Campus &amp; School</vt:lpstr>
      <vt:lpstr>Email Signature Management</vt:lpstr>
      <vt:lpstr>Field Service</vt:lpstr>
      <vt:lpstr>Goverance, Risk &amp; Compliance</vt:lpstr>
      <vt:lpstr>Healthcare</vt:lpstr>
      <vt:lpstr>Payment Services</vt:lpstr>
      <vt:lpstr>Payroll &amp; HR</vt:lpstr>
      <vt:lpstr>Point of Sale</vt:lpstr>
      <vt:lpstr>Property Management</vt:lpstr>
      <vt:lpstr>Reporting &amp; Forecasting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Cecelia Stapelberg</dc:creator>
  <cp:lastModifiedBy>Cecelia Stapelberg [4Sight Channel Cluster]</cp:lastModifiedBy>
  <cp:lastPrinted>2021-11-30T14:11:59Z</cp:lastPrinted>
  <dcterms:created xsi:type="dcterms:W3CDTF">2021-11-30T13:15:17Z</dcterms:created>
  <dcterms:modified xsi:type="dcterms:W3CDTF">2024-07-01T11:15:29Z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0x010100A7EBC693F86B904EB06C80335F0CD439</vt:lpwstr>
  </property>
  <property fmtid="{D5CDD505-2E9C-101B-9397-08002B2CF9AE}" pid="3" name="MediaServiceImageTags">
    <vt:lpwstr/>
  </property>
</Properties>
</file>